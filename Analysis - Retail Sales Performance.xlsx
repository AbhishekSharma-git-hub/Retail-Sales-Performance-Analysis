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996AFD0-8374-44B5-AAB1-0C2E8D37E6F5}" xr6:coauthVersionLast="47" xr6:coauthVersionMax="47" xr10:uidLastSave="{00000000-0000-0000-0000-000000000000}"/>
  <bookViews>
    <workbookView xWindow="-108" yWindow="-108" windowWidth="23256" windowHeight="13896" tabRatio="500" firstSheet="6" activeTab="6" xr2:uid="{00000000-000D-0000-FFFF-FFFF00000000}"/>
  </bookViews>
  <sheets>
    <sheet name="Read Me" sheetId="1" r:id="rId1"/>
    <sheet name="Data Dictionary" sheetId="2" r:id="rId2"/>
    <sheet name="Cleaning Log" sheetId="3" r:id="rId3"/>
    <sheet name="Raw Data" sheetId="4" r:id="rId4"/>
    <sheet name="Enriched Data" sheetId="5" r:id="rId5"/>
    <sheet name="Summary Tables" sheetId="6" r:id="rId6"/>
    <sheet name="KPI Dashboard" sheetId="7" r:id="rId7"/>
    <sheet name="Business Questions" sheetId="8" r:id="rId8"/>
    <sheet name="Insights &amp; Recommendation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" i="7" l="1"/>
  <c r="F8" i="7"/>
  <c r="N5" i="7"/>
  <c r="F5" i="7"/>
  <c r="J5" i="7" s="1"/>
  <c r="B5" i="7"/>
  <c r="B8" i="7" s="1"/>
  <c r="C68" i="6"/>
  <c r="D68" i="6" s="1"/>
  <c r="B68" i="6"/>
  <c r="C67" i="6"/>
  <c r="B67" i="6"/>
  <c r="D67" i="6" s="1"/>
  <c r="C66" i="6"/>
  <c r="B66" i="6"/>
  <c r="C65" i="6"/>
  <c r="D65" i="6" s="1"/>
  <c r="B65" i="6"/>
  <c r="C64" i="6"/>
  <c r="D64" i="6" s="1"/>
  <c r="B64" i="6"/>
  <c r="C63" i="6"/>
  <c r="B63" i="6"/>
  <c r="D63" i="6" s="1"/>
  <c r="C62" i="6"/>
  <c r="B62" i="6"/>
  <c r="C61" i="6"/>
  <c r="D61" i="6" s="1"/>
  <c r="B61" i="6"/>
  <c r="C60" i="6"/>
  <c r="D60" i="6" s="1"/>
  <c r="B60" i="6"/>
  <c r="C59" i="6"/>
  <c r="B59" i="6"/>
  <c r="D59" i="6" s="1"/>
  <c r="E52" i="6"/>
  <c r="E48" i="6"/>
  <c r="C48" i="6"/>
  <c r="B48" i="6"/>
  <c r="D48" i="6" s="1"/>
  <c r="E47" i="6"/>
  <c r="C47" i="6"/>
  <c r="B47" i="6"/>
  <c r="D47" i="6" s="1"/>
  <c r="E46" i="6"/>
  <c r="C46" i="6"/>
  <c r="D46" i="6" s="1"/>
  <c r="B46" i="6"/>
  <c r="E45" i="6"/>
  <c r="C45" i="6"/>
  <c r="D45" i="6" s="1"/>
  <c r="B45" i="6"/>
  <c r="E41" i="6"/>
  <c r="C41" i="6"/>
  <c r="B41" i="6"/>
  <c r="D41" i="6" s="1"/>
  <c r="E40" i="6"/>
  <c r="C40" i="6"/>
  <c r="D40" i="6" s="1"/>
  <c r="B40" i="6"/>
  <c r="E39" i="6"/>
  <c r="C39" i="6"/>
  <c r="D39" i="6" s="1"/>
  <c r="B39" i="6"/>
  <c r="D35" i="6"/>
  <c r="C35" i="6"/>
  <c r="B35" i="6"/>
  <c r="E35" i="6" s="1"/>
  <c r="C34" i="6"/>
  <c r="D34" i="6" s="1"/>
  <c r="B34" i="6"/>
  <c r="E34" i="6" s="1"/>
  <c r="E33" i="6"/>
  <c r="C33" i="6"/>
  <c r="D33" i="6" s="1"/>
  <c r="B33" i="6"/>
  <c r="E32" i="6"/>
  <c r="D32" i="6"/>
  <c r="C32" i="6"/>
  <c r="B32" i="6"/>
  <c r="E28" i="6"/>
  <c r="C28" i="6"/>
  <c r="D28" i="6" s="1"/>
  <c r="B28" i="6"/>
  <c r="E27" i="6"/>
  <c r="C27" i="6"/>
  <c r="D27" i="6" s="1"/>
  <c r="B27" i="6"/>
  <c r="E26" i="6"/>
  <c r="C26" i="6"/>
  <c r="B26" i="6"/>
  <c r="D26" i="6" s="1"/>
  <c r="E25" i="6"/>
  <c r="C25" i="6"/>
  <c r="D25" i="6" s="1"/>
  <c r="B25" i="6"/>
  <c r="E24" i="6"/>
  <c r="C24" i="6"/>
  <c r="D24" i="6" s="1"/>
  <c r="B24" i="6"/>
  <c r="E23" i="6"/>
  <c r="D23" i="6"/>
  <c r="C23" i="6"/>
  <c r="B23" i="6"/>
  <c r="E22" i="6"/>
  <c r="C22" i="6"/>
  <c r="D22" i="6" s="1"/>
  <c r="B22" i="6"/>
  <c r="E21" i="6"/>
  <c r="C21" i="6"/>
  <c r="D21" i="6" s="1"/>
  <c r="B21" i="6"/>
  <c r="E20" i="6"/>
  <c r="D20" i="6"/>
  <c r="C20" i="6"/>
  <c r="B20" i="6"/>
  <c r="E19" i="6"/>
  <c r="C19" i="6"/>
  <c r="D19" i="6" s="1"/>
  <c r="B19" i="6"/>
  <c r="E18" i="6"/>
  <c r="C18" i="6"/>
  <c r="D18" i="6" s="1"/>
  <c r="B18" i="6"/>
  <c r="E17" i="6"/>
  <c r="C17" i="6"/>
  <c r="B17" i="6"/>
  <c r="D17" i="6" s="1"/>
  <c r="E16" i="6"/>
  <c r="C16" i="6"/>
  <c r="D16" i="6" s="1"/>
  <c r="B16" i="6"/>
  <c r="E15" i="6"/>
  <c r="C15" i="6"/>
  <c r="D15" i="6" s="1"/>
  <c r="B15" i="6"/>
  <c r="E14" i="6"/>
  <c r="D14" i="6"/>
  <c r="C14" i="6"/>
  <c r="B14" i="6"/>
  <c r="E13" i="6"/>
  <c r="C13" i="6"/>
  <c r="D13" i="6" s="1"/>
  <c r="B13" i="6"/>
  <c r="E12" i="6"/>
  <c r="C12" i="6"/>
  <c r="D12" i="6" s="1"/>
  <c r="B12" i="6"/>
  <c r="E8" i="6"/>
  <c r="D8" i="6"/>
  <c r="C8" i="6"/>
  <c r="B8" i="6"/>
  <c r="E7" i="6"/>
  <c r="C7" i="6"/>
  <c r="D7" i="6" s="1"/>
  <c r="B7" i="6"/>
  <c r="E6" i="6"/>
  <c r="C6" i="6"/>
  <c r="D6" i="6" s="1"/>
  <c r="B6" i="6"/>
  <c r="AI1001" i="5"/>
  <c r="AH1001" i="5"/>
  <c r="AG1001" i="5"/>
  <c r="AF1001" i="5"/>
  <c r="AE1001" i="5"/>
  <c r="AD1001" i="5"/>
  <c r="AC1001" i="5"/>
  <c r="AB1001" i="5"/>
  <c r="AA1001" i="5"/>
  <c r="Z1001" i="5"/>
  <c r="Y1001" i="5"/>
  <c r="X1001" i="5"/>
  <c r="W1001" i="5"/>
  <c r="V1001" i="5"/>
  <c r="AI1000" i="5"/>
  <c r="AH1000" i="5"/>
  <c r="AG1000" i="5"/>
  <c r="AF1000" i="5"/>
  <c r="AE1000" i="5"/>
  <c r="AD1000" i="5"/>
  <c r="AC1000" i="5"/>
  <c r="AB1000" i="5"/>
  <c r="AA1000" i="5"/>
  <c r="Z1000" i="5"/>
  <c r="Y1000" i="5"/>
  <c r="X1000" i="5"/>
  <c r="W1000" i="5"/>
  <c r="V1000" i="5"/>
  <c r="AH999" i="5"/>
  <c r="AG999" i="5"/>
  <c r="AF999" i="5"/>
  <c r="AE999" i="5"/>
  <c r="AD999" i="5"/>
  <c r="AC999" i="5"/>
  <c r="AB999" i="5"/>
  <c r="AA999" i="5"/>
  <c r="Z999" i="5"/>
  <c r="AI999" i="5" s="1"/>
  <c r="Y999" i="5"/>
  <c r="X999" i="5"/>
  <c r="W999" i="5"/>
  <c r="V999" i="5"/>
  <c r="AH998" i="5"/>
  <c r="AG998" i="5"/>
  <c r="AF998" i="5"/>
  <c r="AE998" i="5"/>
  <c r="AD998" i="5"/>
  <c r="AC998" i="5"/>
  <c r="AB998" i="5"/>
  <c r="AA998" i="5"/>
  <c r="Z998" i="5"/>
  <c r="AI998" i="5" s="1"/>
  <c r="Y998" i="5"/>
  <c r="X998" i="5"/>
  <c r="W998" i="5"/>
  <c r="V998" i="5"/>
  <c r="AH997" i="5"/>
  <c r="AF997" i="5"/>
  <c r="AE997" i="5"/>
  <c r="AD997" i="5"/>
  <c r="AC997" i="5"/>
  <c r="AB997" i="5"/>
  <c r="AG997" i="5" s="1"/>
  <c r="AA997" i="5"/>
  <c r="Z997" i="5"/>
  <c r="AI997" i="5" s="1"/>
  <c r="Y997" i="5"/>
  <c r="X997" i="5"/>
  <c r="W997" i="5"/>
  <c r="V997" i="5"/>
  <c r="AI996" i="5"/>
  <c r="AH996" i="5"/>
  <c r="AF996" i="5"/>
  <c r="AE996" i="5"/>
  <c r="AD996" i="5"/>
  <c r="AC996" i="5"/>
  <c r="AB996" i="5"/>
  <c r="AG996" i="5" s="1"/>
  <c r="AA996" i="5"/>
  <c r="Z996" i="5"/>
  <c r="Y996" i="5"/>
  <c r="X996" i="5"/>
  <c r="W996" i="5"/>
  <c r="V996" i="5"/>
  <c r="AI995" i="5"/>
  <c r="AH995" i="5"/>
  <c r="AG995" i="5"/>
  <c r="AF995" i="5"/>
  <c r="AE995" i="5"/>
  <c r="AD995" i="5"/>
  <c r="AC995" i="5"/>
  <c r="AB995" i="5"/>
  <c r="AA995" i="5"/>
  <c r="Z995" i="5"/>
  <c r="Y995" i="5"/>
  <c r="X995" i="5"/>
  <c r="W995" i="5"/>
  <c r="V995" i="5"/>
  <c r="AH994" i="5"/>
  <c r="AG994" i="5"/>
  <c r="AF994" i="5"/>
  <c r="AE994" i="5"/>
  <c r="AD994" i="5"/>
  <c r="AC994" i="5"/>
  <c r="AB994" i="5"/>
  <c r="AA994" i="5"/>
  <c r="Z994" i="5"/>
  <c r="AI994" i="5" s="1"/>
  <c r="Y994" i="5"/>
  <c r="X994" i="5"/>
  <c r="W994" i="5"/>
  <c r="V994" i="5"/>
  <c r="AH993" i="5"/>
  <c r="AG993" i="5"/>
  <c r="AF993" i="5"/>
  <c r="AE993" i="5"/>
  <c r="AD993" i="5"/>
  <c r="AC993" i="5"/>
  <c r="AB993" i="5"/>
  <c r="AA993" i="5"/>
  <c r="Z993" i="5"/>
  <c r="AI993" i="5" s="1"/>
  <c r="Y993" i="5"/>
  <c r="X993" i="5"/>
  <c r="W993" i="5"/>
  <c r="V993" i="5"/>
  <c r="AI992" i="5"/>
  <c r="AH992" i="5"/>
  <c r="AF992" i="5"/>
  <c r="AE992" i="5"/>
  <c r="AD992" i="5"/>
  <c r="AC992" i="5"/>
  <c r="AB992" i="5"/>
  <c r="AG992" i="5" s="1"/>
  <c r="AA992" i="5"/>
  <c r="Z992" i="5"/>
  <c r="Y992" i="5"/>
  <c r="X992" i="5"/>
  <c r="W992" i="5"/>
  <c r="V992" i="5"/>
  <c r="AH991" i="5"/>
  <c r="AF991" i="5"/>
  <c r="AE991" i="5"/>
  <c r="AD991" i="5"/>
  <c r="AC991" i="5"/>
  <c r="AB991" i="5"/>
  <c r="AG991" i="5" s="1"/>
  <c r="AA991" i="5"/>
  <c r="Z991" i="5"/>
  <c r="AI991" i="5" s="1"/>
  <c r="Y991" i="5"/>
  <c r="X991" i="5"/>
  <c r="W991" i="5"/>
  <c r="V991" i="5"/>
  <c r="AI990" i="5"/>
  <c r="AH990" i="5"/>
  <c r="AF990" i="5"/>
  <c r="AE990" i="5"/>
  <c r="AD990" i="5"/>
  <c r="AC990" i="5"/>
  <c r="AB990" i="5"/>
  <c r="AG990" i="5" s="1"/>
  <c r="AA990" i="5"/>
  <c r="Z990" i="5"/>
  <c r="Y990" i="5"/>
  <c r="X990" i="5"/>
  <c r="W990" i="5"/>
  <c r="V990" i="5"/>
  <c r="AI989" i="5"/>
  <c r="AH989" i="5"/>
  <c r="AF989" i="5"/>
  <c r="AE989" i="5"/>
  <c r="AD989" i="5"/>
  <c r="AC989" i="5"/>
  <c r="AB989" i="5"/>
  <c r="AG989" i="5" s="1"/>
  <c r="AA989" i="5"/>
  <c r="Z989" i="5"/>
  <c r="Y989" i="5"/>
  <c r="X989" i="5"/>
  <c r="W989" i="5"/>
  <c r="V989" i="5"/>
  <c r="AH988" i="5"/>
  <c r="AG988" i="5"/>
  <c r="AF988" i="5"/>
  <c r="AE988" i="5"/>
  <c r="AD988" i="5"/>
  <c r="AC988" i="5"/>
  <c r="AB988" i="5"/>
  <c r="AA988" i="5"/>
  <c r="Z988" i="5"/>
  <c r="AI988" i="5" s="1"/>
  <c r="Y988" i="5"/>
  <c r="X988" i="5"/>
  <c r="W988" i="5"/>
  <c r="V988" i="5"/>
  <c r="AH987" i="5"/>
  <c r="AG987" i="5"/>
  <c r="AF987" i="5"/>
  <c r="AE987" i="5"/>
  <c r="AD987" i="5"/>
  <c r="AC987" i="5"/>
  <c r="AB987" i="5"/>
  <c r="AA987" i="5"/>
  <c r="Z987" i="5"/>
  <c r="AI987" i="5" s="1"/>
  <c r="Y987" i="5"/>
  <c r="X987" i="5"/>
  <c r="W987" i="5"/>
  <c r="V987" i="5"/>
  <c r="AH986" i="5"/>
  <c r="AG986" i="5"/>
  <c r="AF986" i="5"/>
  <c r="AE986" i="5"/>
  <c r="AD986" i="5"/>
  <c r="AC986" i="5"/>
  <c r="AB986" i="5"/>
  <c r="AA986" i="5"/>
  <c r="Z986" i="5"/>
  <c r="AI986" i="5" s="1"/>
  <c r="Y986" i="5"/>
  <c r="X986" i="5"/>
  <c r="W986" i="5"/>
  <c r="V986" i="5"/>
  <c r="AI985" i="5"/>
  <c r="AH985" i="5"/>
  <c r="AG985" i="5"/>
  <c r="AF985" i="5"/>
  <c r="AE985" i="5"/>
  <c r="AD985" i="5"/>
  <c r="AC985" i="5"/>
  <c r="AB985" i="5"/>
  <c r="AA985" i="5"/>
  <c r="Z985" i="5"/>
  <c r="Y985" i="5"/>
  <c r="X985" i="5"/>
  <c r="W985" i="5"/>
  <c r="V985" i="5"/>
  <c r="AI984" i="5"/>
  <c r="AH984" i="5"/>
  <c r="AG984" i="5"/>
  <c r="AF984" i="5"/>
  <c r="AE984" i="5"/>
  <c r="AD984" i="5"/>
  <c r="AC984" i="5"/>
  <c r="AB984" i="5"/>
  <c r="AA984" i="5"/>
  <c r="Z984" i="5"/>
  <c r="Y984" i="5"/>
  <c r="X984" i="5"/>
  <c r="W984" i="5"/>
  <c r="V984" i="5"/>
  <c r="AI983" i="5"/>
  <c r="AH983" i="5"/>
  <c r="AF983" i="5"/>
  <c r="AE983" i="5"/>
  <c r="AD983" i="5"/>
  <c r="AC983" i="5"/>
  <c r="AB983" i="5"/>
  <c r="AG983" i="5" s="1"/>
  <c r="AA983" i="5"/>
  <c r="Z983" i="5"/>
  <c r="Y983" i="5"/>
  <c r="X983" i="5"/>
  <c r="W983" i="5"/>
  <c r="V983" i="5"/>
  <c r="AH982" i="5"/>
  <c r="AG982" i="5"/>
  <c r="AF982" i="5"/>
  <c r="AE982" i="5"/>
  <c r="AD982" i="5"/>
  <c r="AC982" i="5"/>
  <c r="AB982" i="5"/>
  <c r="AA982" i="5"/>
  <c r="Z982" i="5"/>
  <c r="AI982" i="5" s="1"/>
  <c r="Y982" i="5"/>
  <c r="X982" i="5"/>
  <c r="W982" i="5"/>
  <c r="V982" i="5"/>
  <c r="AH981" i="5"/>
  <c r="AF981" i="5"/>
  <c r="AE981" i="5"/>
  <c r="AD981" i="5"/>
  <c r="AC981" i="5"/>
  <c r="AB981" i="5"/>
  <c r="AG981" i="5" s="1"/>
  <c r="AA981" i="5"/>
  <c r="Z981" i="5"/>
  <c r="AI981" i="5" s="1"/>
  <c r="Y981" i="5"/>
  <c r="X981" i="5"/>
  <c r="W981" i="5"/>
  <c r="V981" i="5"/>
  <c r="AH980" i="5"/>
  <c r="AF980" i="5"/>
  <c r="AE980" i="5"/>
  <c r="AD980" i="5"/>
  <c r="AC980" i="5"/>
  <c r="AB980" i="5"/>
  <c r="AG980" i="5" s="1"/>
  <c r="AA980" i="5"/>
  <c r="Z980" i="5"/>
  <c r="AI980" i="5" s="1"/>
  <c r="Y980" i="5"/>
  <c r="X980" i="5"/>
  <c r="W980" i="5"/>
  <c r="V980" i="5"/>
  <c r="AH979" i="5"/>
  <c r="AF979" i="5"/>
  <c r="AE979" i="5"/>
  <c r="AD979" i="5"/>
  <c r="AC979" i="5"/>
  <c r="AB979" i="5"/>
  <c r="AG979" i="5" s="1"/>
  <c r="AA979" i="5"/>
  <c r="Z979" i="5"/>
  <c r="AI979" i="5" s="1"/>
  <c r="Y979" i="5"/>
  <c r="X979" i="5"/>
  <c r="W979" i="5"/>
  <c r="V979" i="5"/>
  <c r="AH978" i="5"/>
  <c r="AG978" i="5"/>
  <c r="AF978" i="5"/>
  <c r="AE978" i="5"/>
  <c r="AD978" i="5"/>
  <c r="AC978" i="5"/>
  <c r="AB978" i="5"/>
  <c r="AA978" i="5"/>
  <c r="Z978" i="5"/>
  <c r="AI978" i="5" s="1"/>
  <c r="Y978" i="5"/>
  <c r="X978" i="5"/>
  <c r="W978" i="5"/>
  <c r="V978" i="5"/>
  <c r="AI977" i="5"/>
  <c r="AH977" i="5"/>
  <c r="AF977" i="5"/>
  <c r="AE977" i="5"/>
  <c r="AD977" i="5"/>
  <c r="AC977" i="5"/>
  <c r="AB977" i="5"/>
  <c r="AG977" i="5" s="1"/>
  <c r="AA977" i="5"/>
  <c r="Z977" i="5"/>
  <c r="Y977" i="5"/>
  <c r="X977" i="5"/>
  <c r="W977" i="5"/>
  <c r="V977" i="5"/>
  <c r="AH976" i="5"/>
  <c r="AG976" i="5"/>
  <c r="AF976" i="5"/>
  <c r="AE976" i="5"/>
  <c r="AD976" i="5"/>
  <c r="AC976" i="5"/>
  <c r="AB976" i="5"/>
  <c r="AA976" i="5"/>
  <c r="Z976" i="5"/>
  <c r="AI976" i="5" s="1"/>
  <c r="Y976" i="5"/>
  <c r="X976" i="5"/>
  <c r="W976" i="5"/>
  <c r="V976" i="5"/>
  <c r="AH975" i="5"/>
  <c r="AG975" i="5"/>
  <c r="AF975" i="5"/>
  <c r="AE975" i="5"/>
  <c r="AD975" i="5"/>
  <c r="AC975" i="5"/>
  <c r="AB975" i="5"/>
  <c r="AA975" i="5"/>
  <c r="Z975" i="5"/>
  <c r="AI975" i="5" s="1"/>
  <c r="Y975" i="5"/>
  <c r="X975" i="5"/>
  <c r="W975" i="5"/>
  <c r="V975" i="5"/>
  <c r="AI974" i="5"/>
  <c r="AH974" i="5"/>
  <c r="AG974" i="5"/>
  <c r="AF974" i="5"/>
  <c r="AE974" i="5"/>
  <c r="AD974" i="5"/>
  <c r="AC974" i="5"/>
  <c r="AB974" i="5"/>
  <c r="AA974" i="5"/>
  <c r="Z974" i="5"/>
  <c r="Y974" i="5"/>
  <c r="X974" i="5"/>
  <c r="W974" i="5"/>
  <c r="V974" i="5"/>
  <c r="AH973" i="5"/>
  <c r="AF973" i="5"/>
  <c r="AE973" i="5"/>
  <c r="AD973" i="5"/>
  <c r="AC973" i="5"/>
  <c r="AB973" i="5"/>
  <c r="AG973" i="5" s="1"/>
  <c r="AA973" i="5"/>
  <c r="Z973" i="5"/>
  <c r="AI973" i="5" s="1"/>
  <c r="Y973" i="5"/>
  <c r="X973" i="5"/>
  <c r="W973" i="5"/>
  <c r="V973" i="5"/>
  <c r="AI972" i="5"/>
  <c r="AH972" i="5"/>
  <c r="AF972" i="5"/>
  <c r="AE972" i="5"/>
  <c r="AD972" i="5"/>
  <c r="AC972" i="5"/>
  <c r="AB972" i="5"/>
  <c r="AG972" i="5" s="1"/>
  <c r="AA972" i="5"/>
  <c r="Z972" i="5"/>
  <c r="Y972" i="5"/>
  <c r="X972" i="5"/>
  <c r="W972" i="5"/>
  <c r="V972" i="5"/>
  <c r="AI971" i="5"/>
  <c r="AH971" i="5"/>
  <c r="AF971" i="5"/>
  <c r="AE971" i="5"/>
  <c r="AD971" i="5"/>
  <c r="AC971" i="5"/>
  <c r="AB971" i="5"/>
  <c r="AG971" i="5" s="1"/>
  <c r="AA971" i="5"/>
  <c r="Z971" i="5"/>
  <c r="Y971" i="5"/>
  <c r="X971" i="5"/>
  <c r="W971" i="5"/>
  <c r="V971" i="5"/>
  <c r="AH970" i="5"/>
  <c r="AG970" i="5"/>
  <c r="AF970" i="5"/>
  <c r="AE970" i="5"/>
  <c r="AD970" i="5"/>
  <c r="AC970" i="5"/>
  <c r="AB970" i="5"/>
  <c r="AA970" i="5"/>
  <c r="Z970" i="5"/>
  <c r="AI970" i="5" s="1"/>
  <c r="Y970" i="5"/>
  <c r="X970" i="5"/>
  <c r="W970" i="5"/>
  <c r="V970" i="5"/>
  <c r="AH969" i="5"/>
  <c r="AG969" i="5"/>
  <c r="AF969" i="5"/>
  <c r="AE969" i="5"/>
  <c r="AD969" i="5"/>
  <c r="AC969" i="5"/>
  <c r="AB969" i="5"/>
  <c r="AA969" i="5"/>
  <c r="Z969" i="5"/>
  <c r="AI969" i="5" s="1"/>
  <c r="Y969" i="5"/>
  <c r="X969" i="5"/>
  <c r="W969" i="5"/>
  <c r="V969" i="5"/>
  <c r="AI968" i="5"/>
  <c r="AH968" i="5"/>
  <c r="AF968" i="5"/>
  <c r="AE968" i="5"/>
  <c r="AD968" i="5"/>
  <c r="AC968" i="5"/>
  <c r="AB968" i="5"/>
  <c r="AG968" i="5" s="1"/>
  <c r="AA968" i="5"/>
  <c r="Z968" i="5"/>
  <c r="Y968" i="5"/>
  <c r="X968" i="5"/>
  <c r="W968" i="5"/>
  <c r="V968" i="5"/>
  <c r="AH967" i="5"/>
  <c r="AG967" i="5"/>
  <c r="AF967" i="5"/>
  <c r="AE967" i="5"/>
  <c r="AD967" i="5"/>
  <c r="AC967" i="5"/>
  <c r="AB967" i="5"/>
  <c r="AA967" i="5"/>
  <c r="Z967" i="5"/>
  <c r="AI967" i="5" s="1"/>
  <c r="Y967" i="5"/>
  <c r="X967" i="5"/>
  <c r="W967" i="5"/>
  <c r="V967" i="5"/>
  <c r="AH966" i="5"/>
  <c r="AF966" i="5"/>
  <c r="AE966" i="5"/>
  <c r="AD966" i="5"/>
  <c r="AC966" i="5"/>
  <c r="AB966" i="5"/>
  <c r="AG966" i="5" s="1"/>
  <c r="AA966" i="5"/>
  <c r="Z966" i="5"/>
  <c r="AI966" i="5" s="1"/>
  <c r="Y966" i="5"/>
  <c r="X966" i="5"/>
  <c r="W966" i="5"/>
  <c r="V966" i="5"/>
  <c r="AI965" i="5"/>
  <c r="AH965" i="5"/>
  <c r="AF965" i="5"/>
  <c r="AE965" i="5"/>
  <c r="AD965" i="5"/>
  <c r="AC965" i="5"/>
  <c r="AB965" i="5"/>
  <c r="AG965" i="5" s="1"/>
  <c r="AA965" i="5"/>
  <c r="Z965" i="5"/>
  <c r="Y965" i="5"/>
  <c r="X965" i="5"/>
  <c r="W965" i="5"/>
  <c r="V965" i="5"/>
  <c r="AH964" i="5"/>
  <c r="AG964" i="5"/>
  <c r="AF964" i="5"/>
  <c r="AE964" i="5"/>
  <c r="AD964" i="5"/>
  <c r="AC964" i="5"/>
  <c r="AB964" i="5"/>
  <c r="AA964" i="5"/>
  <c r="Z964" i="5"/>
  <c r="AI964" i="5" s="1"/>
  <c r="Y964" i="5"/>
  <c r="X964" i="5"/>
  <c r="W964" i="5"/>
  <c r="V964" i="5"/>
  <c r="AH963" i="5"/>
  <c r="AF963" i="5"/>
  <c r="AE963" i="5"/>
  <c r="AD963" i="5"/>
  <c r="AC963" i="5"/>
  <c r="AB963" i="5"/>
  <c r="AG963" i="5" s="1"/>
  <c r="AA963" i="5"/>
  <c r="Z963" i="5"/>
  <c r="AI963" i="5" s="1"/>
  <c r="Y963" i="5"/>
  <c r="X963" i="5"/>
  <c r="W963" i="5"/>
  <c r="V963" i="5"/>
  <c r="AH962" i="5"/>
  <c r="AG962" i="5"/>
  <c r="AF962" i="5"/>
  <c r="AE962" i="5"/>
  <c r="AD962" i="5"/>
  <c r="AC962" i="5"/>
  <c r="AB962" i="5"/>
  <c r="AA962" i="5"/>
  <c r="Z962" i="5"/>
  <c r="AI962" i="5" s="1"/>
  <c r="Y962" i="5"/>
  <c r="X962" i="5"/>
  <c r="W962" i="5"/>
  <c r="V962" i="5"/>
  <c r="AI961" i="5"/>
  <c r="AH961" i="5"/>
  <c r="AG961" i="5"/>
  <c r="AF961" i="5"/>
  <c r="AE961" i="5"/>
  <c r="AD961" i="5"/>
  <c r="AC961" i="5"/>
  <c r="AB961" i="5"/>
  <c r="AA961" i="5"/>
  <c r="Z961" i="5"/>
  <c r="Y961" i="5"/>
  <c r="X961" i="5"/>
  <c r="W961" i="5"/>
  <c r="V961" i="5"/>
  <c r="AI960" i="5"/>
  <c r="AH960" i="5"/>
  <c r="AG960" i="5"/>
  <c r="AF960" i="5"/>
  <c r="AE960" i="5"/>
  <c r="AD960" i="5"/>
  <c r="AC960" i="5"/>
  <c r="AB960" i="5"/>
  <c r="AA960" i="5"/>
  <c r="Z960" i="5"/>
  <c r="Y960" i="5"/>
  <c r="X960" i="5"/>
  <c r="W960" i="5"/>
  <c r="V960" i="5"/>
  <c r="AI959" i="5"/>
  <c r="AH959" i="5"/>
  <c r="AF959" i="5"/>
  <c r="AE959" i="5"/>
  <c r="AD959" i="5"/>
  <c r="AC959" i="5"/>
  <c r="AB959" i="5"/>
  <c r="AG959" i="5" s="1"/>
  <c r="AA959" i="5"/>
  <c r="Z959" i="5"/>
  <c r="Y959" i="5"/>
  <c r="X959" i="5"/>
  <c r="W959" i="5"/>
  <c r="V959" i="5"/>
  <c r="AH958" i="5"/>
  <c r="AG958" i="5"/>
  <c r="AF958" i="5"/>
  <c r="AE958" i="5"/>
  <c r="AD958" i="5"/>
  <c r="AC958" i="5"/>
  <c r="AB958" i="5"/>
  <c r="AA958" i="5"/>
  <c r="Z958" i="5"/>
  <c r="AI958" i="5" s="1"/>
  <c r="Y958" i="5"/>
  <c r="X958" i="5"/>
  <c r="W958" i="5"/>
  <c r="V958" i="5"/>
  <c r="AH957" i="5"/>
  <c r="AF957" i="5"/>
  <c r="AE957" i="5"/>
  <c r="AD957" i="5"/>
  <c r="AC957" i="5"/>
  <c r="AB957" i="5"/>
  <c r="AG957" i="5" s="1"/>
  <c r="AA957" i="5"/>
  <c r="Z957" i="5"/>
  <c r="AI957" i="5" s="1"/>
  <c r="Y957" i="5"/>
  <c r="X957" i="5"/>
  <c r="W957" i="5"/>
  <c r="V957" i="5"/>
  <c r="AH956" i="5"/>
  <c r="AF956" i="5"/>
  <c r="AE956" i="5"/>
  <c r="AD956" i="5"/>
  <c r="AC956" i="5"/>
  <c r="AB956" i="5"/>
  <c r="AG956" i="5" s="1"/>
  <c r="AA956" i="5"/>
  <c r="Z956" i="5"/>
  <c r="AI956" i="5" s="1"/>
  <c r="Y956" i="5"/>
  <c r="X956" i="5"/>
  <c r="W956" i="5"/>
  <c r="V956" i="5"/>
  <c r="AH955" i="5"/>
  <c r="AF955" i="5"/>
  <c r="AE955" i="5"/>
  <c r="AD955" i="5"/>
  <c r="AC955" i="5"/>
  <c r="AB955" i="5"/>
  <c r="AG955" i="5" s="1"/>
  <c r="AA955" i="5"/>
  <c r="Z955" i="5"/>
  <c r="AI955" i="5" s="1"/>
  <c r="Y955" i="5"/>
  <c r="X955" i="5"/>
  <c r="W955" i="5"/>
  <c r="V955" i="5"/>
  <c r="AH954" i="5"/>
  <c r="AG954" i="5"/>
  <c r="AF954" i="5"/>
  <c r="AE954" i="5"/>
  <c r="AD954" i="5"/>
  <c r="AC954" i="5"/>
  <c r="AB954" i="5"/>
  <c r="AA954" i="5"/>
  <c r="Z954" i="5"/>
  <c r="AI954" i="5" s="1"/>
  <c r="Y954" i="5"/>
  <c r="X954" i="5"/>
  <c r="W954" i="5"/>
  <c r="V954" i="5"/>
  <c r="AI953" i="5"/>
  <c r="AH953" i="5"/>
  <c r="AF953" i="5"/>
  <c r="AE953" i="5"/>
  <c r="AD953" i="5"/>
  <c r="AC953" i="5"/>
  <c r="AB953" i="5"/>
  <c r="AG953" i="5" s="1"/>
  <c r="AA953" i="5"/>
  <c r="Z953" i="5"/>
  <c r="Y953" i="5"/>
  <c r="X953" i="5"/>
  <c r="W953" i="5"/>
  <c r="V953" i="5"/>
  <c r="AH952" i="5"/>
  <c r="AG952" i="5"/>
  <c r="AF952" i="5"/>
  <c r="AE952" i="5"/>
  <c r="AD952" i="5"/>
  <c r="AC952" i="5"/>
  <c r="AB952" i="5"/>
  <c r="AA952" i="5"/>
  <c r="Z952" i="5"/>
  <c r="AI952" i="5" s="1"/>
  <c r="Y952" i="5"/>
  <c r="X952" i="5"/>
  <c r="W952" i="5"/>
  <c r="V952" i="5"/>
  <c r="AH951" i="5"/>
  <c r="AG951" i="5"/>
  <c r="AF951" i="5"/>
  <c r="AE951" i="5"/>
  <c r="AD951" i="5"/>
  <c r="AC951" i="5"/>
  <c r="AB951" i="5"/>
  <c r="AA951" i="5"/>
  <c r="Z951" i="5"/>
  <c r="AI951" i="5" s="1"/>
  <c r="Y951" i="5"/>
  <c r="X951" i="5"/>
  <c r="W951" i="5"/>
  <c r="V951" i="5"/>
  <c r="AI950" i="5"/>
  <c r="AH950" i="5"/>
  <c r="AG950" i="5"/>
  <c r="AF950" i="5"/>
  <c r="AE950" i="5"/>
  <c r="AD950" i="5"/>
  <c r="AC950" i="5"/>
  <c r="AB950" i="5"/>
  <c r="AA950" i="5"/>
  <c r="Z950" i="5"/>
  <c r="Y950" i="5"/>
  <c r="X950" i="5"/>
  <c r="W950" i="5"/>
  <c r="V950" i="5"/>
  <c r="AH949" i="5"/>
  <c r="AG949" i="5"/>
  <c r="AF949" i="5"/>
  <c r="AE949" i="5"/>
  <c r="AD949" i="5"/>
  <c r="AC949" i="5"/>
  <c r="AB949" i="5"/>
  <c r="AA949" i="5"/>
  <c r="Z949" i="5"/>
  <c r="AI949" i="5" s="1"/>
  <c r="Y949" i="5"/>
  <c r="X949" i="5"/>
  <c r="W949" i="5"/>
  <c r="V949" i="5"/>
  <c r="AI948" i="5"/>
  <c r="AH948" i="5"/>
  <c r="AF948" i="5"/>
  <c r="AE948" i="5"/>
  <c r="AD948" i="5"/>
  <c r="AC948" i="5"/>
  <c r="AB948" i="5"/>
  <c r="AG948" i="5" s="1"/>
  <c r="AA948" i="5"/>
  <c r="Z948" i="5"/>
  <c r="Y948" i="5"/>
  <c r="X948" i="5"/>
  <c r="W948" i="5"/>
  <c r="V948" i="5"/>
  <c r="AI947" i="5"/>
  <c r="AH947" i="5"/>
  <c r="AF947" i="5"/>
  <c r="AE947" i="5"/>
  <c r="AD947" i="5"/>
  <c r="AC947" i="5"/>
  <c r="AB947" i="5"/>
  <c r="AG947" i="5" s="1"/>
  <c r="AA947" i="5"/>
  <c r="Z947" i="5"/>
  <c r="Y947" i="5"/>
  <c r="X947" i="5"/>
  <c r="W947" i="5"/>
  <c r="V947" i="5"/>
  <c r="AH946" i="5"/>
  <c r="AG946" i="5"/>
  <c r="AF946" i="5"/>
  <c r="AE946" i="5"/>
  <c r="AD946" i="5"/>
  <c r="AC946" i="5"/>
  <c r="AB946" i="5"/>
  <c r="AA946" i="5"/>
  <c r="Z946" i="5"/>
  <c r="AI946" i="5" s="1"/>
  <c r="Y946" i="5"/>
  <c r="X946" i="5"/>
  <c r="W946" i="5"/>
  <c r="V946" i="5"/>
  <c r="AH945" i="5"/>
  <c r="AG945" i="5"/>
  <c r="AF945" i="5"/>
  <c r="AE945" i="5"/>
  <c r="AD945" i="5"/>
  <c r="AC945" i="5"/>
  <c r="AB945" i="5"/>
  <c r="AA945" i="5"/>
  <c r="Z945" i="5"/>
  <c r="AI945" i="5" s="1"/>
  <c r="Y945" i="5"/>
  <c r="X945" i="5"/>
  <c r="W945" i="5"/>
  <c r="V945" i="5"/>
  <c r="AI944" i="5"/>
  <c r="AH944" i="5"/>
  <c r="AF944" i="5"/>
  <c r="AE944" i="5"/>
  <c r="AD944" i="5"/>
  <c r="AC944" i="5"/>
  <c r="AB944" i="5"/>
  <c r="AG944" i="5" s="1"/>
  <c r="AA944" i="5"/>
  <c r="Z944" i="5"/>
  <c r="Y944" i="5"/>
  <c r="X944" i="5"/>
  <c r="W944" i="5"/>
  <c r="V944" i="5"/>
  <c r="AH943" i="5"/>
  <c r="AG943" i="5"/>
  <c r="AF943" i="5"/>
  <c r="AE943" i="5"/>
  <c r="AD943" i="5"/>
  <c r="AC943" i="5"/>
  <c r="AB943" i="5"/>
  <c r="AA943" i="5"/>
  <c r="Z943" i="5"/>
  <c r="AI943" i="5" s="1"/>
  <c r="Y943" i="5"/>
  <c r="X943" i="5"/>
  <c r="W943" i="5"/>
  <c r="V943" i="5"/>
  <c r="AH942" i="5"/>
  <c r="AF942" i="5"/>
  <c r="AE942" i="5"/>
  <c r="AD942" i="5"/>
  <c r="AC942" i="5"/>
  <c r="AB942" i="5"/>
  <c r="AG942" i="5" s="1"/>
  <c r="AA942" i="5"/>
  <c r="Z942" i="5"/>
  <c r="AI942" i="5" s="1"/>
  <c r="Y942" i="5"/>
  <c r="X942" i="5"/>
  <c r="W942" i="5"/>
  <c r="V942" i="5"/>
  <c r="AI941" i="5"/>
  <c r="AH941" i="5"/>
  <c r="AF941" i="5"/>
  <c r="AE941" i="5"/>
  <c r="AD941" i="5"/>
  <c r="AC941" i="5"/>
  <c r="AB941" i="5"/>
  <c r="AG941" i="5" s="1"/>
  <c r="AA941" i="5"/>
  <c r="Z941" i="5"/>
  <c r="Y941" i="5"/>
  <c r="X941" i="5"/>
  <c r="W941" i="5"/>
  <c r="V941" i="5"/>
  <c r="AH940" i="5"/>
  <c r="AF940" i="5"/>
  <c r="AE940" i="5"/>
  <c r="AD940" i="5"/>
  <c r="AC940" i="5"/>
  <c r="AB940" i="5"/>
  <c r="AG940" i="5" s="1"/>
  <c r="AA940" i="5"/>
  <c r="Z940" i="5"/>
  <c r="AI940" i="5" s="1"/>
  <c r="Y940" i="5"/>
  <c r="X940" i="5"/>
  <c r="W940" i="5"/>
  <c r="V940" i="5"/>
  <c r="AH939" i="5"/>
  <c r="AF939" i="5"/>
  <c r="AE939" i="5"/>
  <c r="AD939" i="5"/>
  <c r="AC939" i="5"/>
  <c r="AB939" i="5"/>
  <c r="AG939" i="5" s="1"/>
  <c r="AA939" i="5"/>
  <c r="Z939" i="5"/>
  <c r="AI939" i="5" s="1"/>
  <c r="Y939" i="5"/>
  <c r="X939" i="5"/>
  <c r="W939" i="5"/>
  <c r="V939" i="5"/>
  <c r="AH938" i="5"/>
  <c r="AF938" i="5"/>
  <c r="AE938" i="5"/>
  <c r="AD938" i="5"/>
  <c r="AC938" i="5"/>
  <c r="AB938" i="5"/>
  <c r="AG938" i="5" s="1"/>
  <c r="AA938" i="5"/>
  <c r="Z938" i="5"/>
  <c r="AI938" i="5" s="1"/>
  <c r="Y938" i="5"/>
  <c r="X938" i="5"/>
  <c r="W938" i="5"/>
  <c r="V938" i="5"/>
  <c r="AH937" i="5"/>
  <c r="AG937" i="5"/>
  <c r="AF937" i="5"/>
  <c r="AE937" i="5"/>
  <c r="AD937" i="5"/>
  <c r="AC937" i="5"/>
  <c r="AB937" i="5"/>
  <c r="AA937" i="5"/>
  <c r="Z937" i="5"/>
  <c r="AI937" i="5" s="1"/>
  <c r="Y937" i="5"/>
  <c r="X937" i="5"/>
  <c r="W937" i="5"/>
  <c r="V937" i="5"/>
  <c r="AI936" i="5"/>
  <c r="AH936" i="5"/>
  <c r="AF936" i="5"/>
  <c r="AE936" i="5"/>
  <c r="AD936" i="5"/>
  <c r="AC936" i="5"/>
  <c r="AB936" i="5"/>
  <c r="AG936" i="5" s="1"/>
  <c r="AA936" i="5"/>
  <c r="Z936" i="5"/>
  <c r="Y936" i="5"/>
  <c r="X936" i="5"/>
  <c r="W936" i="5"/>
  <c r="V936" i="5"/>
  <c r="AI935" i="5"/>
  <c r="AH935" i="5"/>
  <c r="AG935" i="5"/>
  <c r="AF935" i="5"/>
  <c r="AE935" i="5"/>
  <c r="AD935" i="5"/>
  <c r="AC935" i="5"/>
  <c r="AB935" i="5"/>
  <c r="AA935" i="5"/>
  <c r="Z935" i="5"/>
  <c r="Y935" i="5"/>
  <c r="X935" i="5"/>
  <c r="W935" i="5"/>
  <c r="V935" i="5"/>
  <c r="AH934" i="5"/>
  <c r="AF934" i="5"/>
  <c r="AE934" i="5"/>
  <c r="AD934" i="5"/>
  <c r="AC934" i="5"/>
  <c r="AB934" i="5"/>
  <c r="AG934" i="5" s="1"/>
  <c r="AA934" i="5"/>
  <c r="Z934" i="5"/>
  <c r="AI934" i="5" s="1"/>
  <c r="Y934" i="5"/>
  <c r="X934" i="5"/>
  <c r="W934" i="5"/>
  <c r="V934" i="5"/>
  <c r="AH933" i="5"/>
  <c r="AF933" i="5"/>
  <c r="AE933" i="5"/>
  <c r="AD933" i="5"/>
  <c r="AC933" i="5"/>
  <c r="AB933" i="5"/>
  <c r="AG933" i="5" s="1"/>
  <c r="AA933" i="5"/>
  <c r="Z933" i="5"/>
  <c r="AI933" i="5" s="1"/>
  <c r="Y933" i="5"/>
  <c r="X933" i="5"/>
  <c r="W933" i="5"/>
  <c r="V933" i="5"/>
  <c r="AH932" i="5"/>
  <c r="AF932" i="5"/>
  <c r="AE932" i="5"/>
  <c r="AD932" i="5"/>
  <c r="AC932" i="5"/>
  <c r="AB932" i="5"/>
  <c r="AG932" i="5" s="1"/>
  <c r="AA932" i="5"/>
  <c r="Z932" i="5"/>
  <c r="AI932" i="5" s="1"/>
  <c r="Y932" i="5"/>
  <c r="X932" i="5"/>
  <c r="W932" i="5"/>
  <c r="V932" i="5"/>
  <c r="AH931" i="5"/>
  <c r="AF931" i="5"/>
  <c r="AE931" i="5"/>
  <c r="AD931" i="5"/>
  <c r="AC931" i="5"/>
  <c r="AB931" i="5"/>
  <c r="AG931" i="5" s="1"/>
  <c r="AA931" i="5"/>
  <c r="Z931" i="5"/>
  <c r="AI931" i="5" s="1"/>
  <c r="Y931" i="5"/>
  <c r="X931" i="5"/>
  <c r="W931" i="5"/>
  <c r="V931" i="5"/>
  <c r="AH930" i="5"/>
  <c r="AG930" i="5"/>
  <c r="AF930" i="5"/>
  <c r="AE930" i="5"/>
  <c r="AD930" i="5"/>
  <c r="AC930" i="5"/>
  <c r="AB930" i="5"/>
  <c r="AA930" i="5"/>
  <c r="Z930" i="5"/>
  <c r="AI930" i="5" s="1"/>
  <c r="Y930" i="5"/>
  <c r="X930" i="5"/>
  <c r="W930" i="5"/>
  <c r="V930" i="5"/>
  <c r="AI929" i="5"/>
  <c r="AH929" i="5"/>
  <c r="AF929" i="5"/>
  <c r="AE929" i="5"/>
  <c r="AD929" i="5"/>
  <c r="AC929" i="5"/>
  <c r="AB929" i="5"/>
  <c r="AG929" i="5" s="1"/>
  <c r="AA929" i="5"/>
  <c r="Z929" i="5"/>
  <c r="Y929" i="5"/>
  <c r="X929" i="5"/>
  <c r="W929" i="5"/>
  <c r="V929" i="5"/>
  <c r="AI928" i="5"/>
  <c r="AH928" i="5"/>
  <c r="AF928" i="5"/>
  <c r="AE928" i="5"/>
  <c r="AD928" i="5"/>
  <c r="AC928" i="5"/>
  <c r="AB928" i="5"/>
  <c r="AG928" i="5" s="1"/>
  <c r="AA928" i="5"/>
  <c r="Z928" i="5"/>
  <c r="Y928" i="5"/>
  <c r="X928" i="5"/>
  <c r="W928" i="5"/>
  <c r="V928" i="5"/>
  <c r="AH927" i="5"/>
  <c r="AG927" i="5"/>
  <c r="AF927" i="5"/>
  <c r="AE927" i="5"/>
  <c r="AD927" i="5"/>
  <c r="AC927" i="5"/>
  <c r="AB927" i="5"/>
  <c r="AA927" i="5"/>
  <c r="Z927" i="5"/>
  <c r="AI927" i="5" s="1"/>
  <c r="Y927" i="5"/>
  <c r="X927" i="5"/>
  <c r="W927" i="5"/>
  <c r="V927" i="5"/>
  <c r="AH926" i="5"/>
  <c r="AF926" i="5"/>
  <c r="AE926" i="5"/>
  <c r="AD926" i="5"/>
  <c r="AC926" i="5"/>
  <c r="AB926" i="5"/>
  <c r="AG926" i="5" s="1"/>
  <c r="AA926" i="5"/>
  <c r="Z926" i="5"/>
  <c r="AI926" i="5" s="1"/>
  <c r="Y926" i="5"/>
  <c r="X926" i="5"/>
  <c r="W926" i="5"/>
  <c r="V926" i="5"/>
  <c r="AH925" i="5"/>
  <c r="AF925" i="5"/>
  <c r="AE925" i="5"/>
  <c r="AD925" i="5"/>
  <c r="AC925" i="5"/>
  <c r="AB925" i="5"/>
  <c r="AG925" i="5" s="1"/>
  <c r="AA925" i="5"/>
  <c r="Z925" i="5"/>
  <c r="AI925" i="5" s="1"/>
  <c r="Y925" i="5"/>
  <c r="X925" i="5"/>
  <c r="W925" i="5"/>
  <c r="V925" i="5"/>
  <c r="AH924" i="5"/>
  <c r="AF924" i="5"/>
  <c r="AE924" i="5"/>
  <c r="AD924" i="5"/>
  <c r="AC924" i="5"/>
  <c r="AB924" i="5"/>
  <c r="AG924" i="5" s="1"/>
  <c r="AA924" i="5"/>
  <c r="Z924" i="5"/>
  <c r="AI924" i="5" s="1"/>
  <c r="Y924" i="5"/>
  <c r="X924" i="5"/>
  <c r="W924" i="5"/>
  <c r="V924" i="5"/>
  <c r="AI923" i="5"/>
  <c r="AH923" i="5"/>
  <c r="AG923" i="5"/>
  <c r="AF923" i="5"/>
  <c r="AE923" i="5"/>
  <c r="AD923" i="5"/>
  <c r="AC923" i="5"/>
  <c r="AB923" i="5"/>
  <c r="AA923" i="5"/>
  <c r="Z923" i="5"/>
  <c r="Y923" i="5"/>
  <c r="X923" i="5"/>
  <c r="W923" i="5"/>
  <c r="V923" i="5"/>
  <c r="AI922" i="5"/>
  <c r="AH922" i="5"/>
  <c r="AF922" i="5"/>
  <c r="AE922" i="5"/>
  <c r="AD922" i="5"/>
  <c r="AC922" i="5"/>
  <c r="AB922" i="5"/>
  <c r="AG922" i="5" s="1"/>
  <c r="AA922" i="5"/>
  <c r="Z922" i="5"/>
  <c r="Y922" i="5"/>
  <c r="X922" i="5"/>
  <c r="W922" i="5"/>
  <c r="V922" i="5"/>
  <c r="AH921" i="5"/>
  <c r="AF921" i="5"/>
  <c r="AE921" i="5"/>
  <c r="AD921" i="5"/>
  <c r="AC921" i="5"/>
  <c r="AB921" i="5"/>
  <c r="AG921" i="5" s="1"/>
  <c r="AA921" i="5"/>
  <c r="Z921" i="5"/>
  <c r="AI921" i="5" s="1"/>
  <c r="Y921" i="5"/>
  <c r="X921" i="5"/>
  <c r="W921" i="5"/>
  <c r="V921" i="5"/>
  <c r="AH920" i="5"/>
  <c r="AF920" i="5"/>
  <c r="AE920" i="5"/>
  <c r="AD920" i="5"/>
  <c r="AC920" i="5"/>
  <c r="AB920" i="5"/>
  <c r="AG920" i="5" s="1"/>
  <c r="AA920" i="5"/>
  <c r="Z920" i="5"/>
  <c r="AI920" i="5" s="1"/>
  <c r="Y920" i="5"/>
  <c r="X920" i="5"/>
  <c r="W920" i="5"/>
  <c r="V920" i="5"/>
  <c r="AH919" i="5"/>
  <c r="AF919" i="5"/>
  <c r="AE919" i="5"/>
  <c r="AD919" i="5"/>
  <c r="AC919" i="5"/>
  <c r="AB919" i="5"/>
  <c r="AG919" i="5" s="1"/>
  <c r="AA919" i="5"/>
  <c r="Z919" i="5"/>
  <c r="AI919" i="5" s="1"/>
  <c r="Y919" i="5"/>
  <c r="X919" i="5"/>
  <c r="W919" i="5"/>
  <c r="V919" i="5"/>
  <c r="AH918" i="5"/>
  <c r="AF918" i="5"/>
  <c r="AE918" i="5"/>
  <c r="AD918" i="5"/>
  <c r="AC918" i="5"/>
  <c r="AB918" i="5"/>
  <c r="AG918" i="5" s="1"/>
  <c r="AA918" i="5"/>
  <c r="Z918" i="5"/>
  <c r="AI918" i="5" s="1"/>
  <c r="Y918" i="5"/>
  <c r="X918" i="5"/>
  <c r="W918" i="5"/>
  <c r="V918" i="5"/>
  <c r="AI917" i="5"/>
  <c r="AH917" i="5"/>
  <c r="AF917" i="5"/>
  <c r="AE917" i="5"/>
  <c r="AD917" i="5"/>
  <c r="AC917" i="5"/>
  <c r="AB917" i="5"/>
  <c r="AG917" i="5" s="1"/>
  <c r="AA917" i="5"/>
  <c r="Z917" i="5"/>
  <c r="Y917" i="5"/>
  <c r="X917" i="5"/>
  <c r="W917" i="5"/>
  <c r="V917" i="5"/>
  <c r="AH916" i="5"/>
  <c r="AF916" i="5"/>
  <c r="AE916" i="5"/>
  <c r="AD916" i="5"/>
  <c r="AC916" i="5"/>
  <c r="AB916" i="5"/>
  <c r="AG916" i="5" s="1"/>
  <c r="AA916" i="5"/>
  <c r="Z916" i="5"/>
  <c r="AI916" i="5" s="1"/>
  <c r="Y916" i="5"/>
  <c r="X916" i="5"/>
  <c r="W916" i="5"/>
  <c r="V916" i="5"/>
  <c r="AH915" i="5"/>
  <c r="AG915" i="5"/>
  <c r="AF915" i="5"/>
  <c r="AE915" i="5"/>
  <c r="AD915" i="5"/>
  <c r="AC915" i="5"/>
  <c r="AB915" i="5"/>
  <c r="AA915" i="5"/>
  <c r="Z915" i="5"/>
  <c r="AI915" i="5" s="1"/>
  <c r="Y915" i="5"/>
  <c r="X915" i="5"/>
  <c r="W915" i="5"/>
  <c r="V915" i="5"/>
  <c r="AH914" i="5"/>
  <c r="AF914" i="5"/>
  <c r="AE914" i="5"/>
  <c r="AD914" i="5"/>
  <c r="AC914" i="5"/>
  <c r="AB914" i="5"/>
  <c r="AG914" i="5" s="1"/>
  <c r="AA914" i="5"/>
  <c r="Z914" i="5"/>
  <c r="AI914" i="5" s="1"/>
  <c r="Y914" i="5"/>
  <c r="X914" i="5"/>
  <c r="W914" i="5"/>
  <c r="V914" i="5"/>
  <c r="AH913" i="5"/>
  <c r="AF913" i="5"/>
  <c r="AE913" i="5"/>
  <c r="AD913" i="5"/>
  <c r="AC913" i="5"/>
  <c r="AB913" i="5"/>
  <c r="AG913" i="5" s="1"/>
  <c r="AA913" i="5"/>
  <c r="Z913" i="5"/>
  <c r="AI913" i="5" s="1"/>
  <c r="Y913" i="5"/>
  <c r="X913" i="5"/>
  <c r="W913" i="5"/>
  <c r="V913" i="5"/>
  <c r="AH912" i="5"/>
  <c r="AF912" i="5"/>
  <c r="AE912" i="5"/>
  <c r="AD912" i="5"/>
  <c r="AC912" i="5"/>
  <c r="AB912" i="5"/>
  <c r="AG912" i="5" s="1"/>
  <c r="AA912" i="5"/>
  <c r="Z912" i="5"/>
  <c r="AI912" i="5" s="1"/>
  <c r="Y912" i="5"/>
  <c r="X912" i="5"/>
  <c r="W912" i="5"/>
  <c r="V912" i="5"/>
  <c r="AH911" i="5"/>
  <c r="AF911" i="5"/>
  <c r="AE911" i="5"/>
  <c r="AD911" i="5"/>
  <c r="AC911" i="5"/>
  <c r="AB911" i="5"/>
  <c r="AG911" i="5" s="1"/>
  <c r="AA911" i="5"/>
  <c r="Z911" i="5"/>
  <c r="AI911" i="5" s="1"/>
  <c r="Y911" i="5"/>
  <c r="X911" i="5"/>
  <c r="W911" i="5"/>
  <c r="V911" i="5"/>
  <c r="AH910" i="5"/>
  <c r="AF910" i="5"/>
  <c r="AE910" i="5"/>
  <c r="AD910" i="5"/>
  <c r="AC910" i="5"/>
  <c r="AB910" i="5"/>
  <c r="AG910" i="5" s="1"/>
  <c r="AA910" i="5"/>
  <c r="Z910" i="5"/>
  <c r="AI910" i="5" s="1"/>
  <c r="Y910" i="5"/>
  <c r="X910" i="5"/>
  <c r="W910" i="5"/>
  <c r="V910" i="5"/>
  <c r="AH909" i="5"/>
  <c r="AF909" i="5"/>
  <c r="AE909" i="5"/>
  <c r="AD909" i="5"/>
  <c r="AC909" i="5"/>
  <c r="AB909" i="5"/>
  <c r="AG909" i="5" s="1"/>
  <c r="AA909" i="5"/>
  <c r="Z909" i="5"/>
  <c r="AI909" i="5" s="1"/>
  <c r="Y909" i="5"/>
  <c r="X909" i="5"/>
  <c r="W909" i="5"/>
  <c r="V909" i="5"/>
  <c r="AH908" i="5"/>
  <c r="AG908" i="5"/>
  <c r="AF908" i="5"/>
  <c r="AE908" i="5"/>
  <c r="AD908" i="5"/>
  <c r="AC908" i="5"/>
  <c r="AB908" i="5"/>
  <c r="AA908" i="5"/>
  <c r="Z908" i="5"/>
  <c r="AI908" i="5" s="1"/>
  <c r="Y908" i="5"/>
  <c r="X908" i="5"/>
  <c r="W908" i="5"/>
  <c r="V908" i="5"/>
  <c r="AH907" i="5"/>
  <c r="AF907" i="5"/>
  <c r="AE907" i="5"/>
  <c r="AD907" i="5"/>
  <c r="AC907" i="5"/>
  <c r="AB907" i="5"/>
  <c r="AG907" i="5" s="1"/>
  <c r="AA907" i="5"/>
  <c r="Z907" i="5"/>
  <c r="AI907" i="5" s="1"/>
  <c r="Y907" i="5"/>
  <c r="X907" i="5"/>
  <c r="W907" i="5"/>
  <c r="V907" i="5"/>
  <c r="AH906" i="5"/>
  <c r="AF906" i="5"/>
  <c r="AE906" i="5"/>
  <c r="AD906" i="5"/>
  <c r="AC906" i="5"/>
  <c r="AB906" i="5"/>
  <c r="AG906" i="5" s="1"/>
  <c r="AA906" i="5"/>
  <c r="Z906" i="5"/>
  <c r="AI906" i="5" s="1"/>
  <c r="Y906" i="5"/>
  <c r="X906" i="5"/>
  <c r="W906" i="5"/>
  <c r="V906" i="5"/>
  <c r="AH905" i="5"/>
  <c r="AF905" i="5"/>
  <c r="AE905" i="5"/>
  <c r="AD905" i="5"/>
  <c r="AC905" i="5"/>
  <c r="AB905" i="5"/>
  <c r="AG905" i="5" s="1"/>
  <c r="AA905" i="5"/>
  <c r="Z905" i="5"/>
  <c r="AI905" i="5" s="1"/>
  <c r="Y905" i="5"/>
  <c r="X905" i="5"/>
  <c r="W905" i="5"/>
  <c r="V905" i="5"/>
  <c r="AH904" i="5"/>
  <c r="AF904" i="5"/>
  <c r="AE904" i="5"/>
  <c r="AD904" i="5"/>
  <c r="AC904" i="5"/>
  <c r="AB904" i="5"/>
  <c r="AG904" i="5" s="1"/>
  <c r="AA904" i="5"/>
  <c r="Z904" i="5"/>
  <c r="AI904" i="5" s="1"/>
  <c r="Y904" i="5"/>
  <c r="X904" i="5"/>
  <c r="W904" i="5"/>
  <c r="V904" i="5"/>
  <c r="AH903" i="5"/>
  <c r="AF903" i="5"/>
  <c r="AE903" i="5"/>
  <c r="AD903" i="5"/>
  <c r="AC903" i="5"/>
  <c r="AB903" i="5"/>
  <c r="AG903" i="5" s="1"/>
  <c r="AA903" i="5"/>
  <c r="Z903" i="5"/>
  <c r="AI903" i="5" s="1"/>
  <c r="Y903" i="5"/>
  <c r="X903" i="5"/>
  <c r="W903" i="5"/>
  <c r="V903" i="5"/>
  <c r="AH902" i="5"/>
  <c r="AF902" i="5"/>
  <c r="AE902" i="5"/>
  <c r="AD902" i="5"/>
  <c r="AC902" i="5"/>
  <c r="AB902" i="5"/>
  <c r="AG902" i="5" s="1"/>
  <c r="AA902" i="5"/>
  <c r="Z902" i="5"/>
  <c r="AI902" i="5" s="1"/>
  <c r="Y902" i="5"/>
  <c r="X902" i="5"/>
  <c r="W902" i="5"/>
  <c r="V902" i="5"/>
  <c r="AH901" i="5"/>
  <c r="AG901" i="5"/>
  <c r="AF901" i="5"/>
  <c r="AE901" i="5"/>
  <c r="AD901" i="5"/>
  <c r="AC901" i="5"/>
  <c r="AB901" i="5"/>
  <c r="AA901" i="5"/>
  <c r="Z901" i="5"/>
  <c r="AI901" i="5" s="1"/>
  <c r="Y901" i="5"/>
  <c r="X901" i="5"/>
  <c r="W901" i="5"/>
  <c r="V901" i="5"/>
  <c r="AH900" i="5"/>
  <c r="AF900" i="5"/>
  <c r="AE900" i="5"/>
  <c r="AD900" i="5"/>
  <c r="AC900" i="5"/>
  <c r="AB900" i="5"/>
  <c r="AG900" i="5" s="1"/>
  <c r="AA900" i="5"/>
  <c r="Z900" i="5"/>
  <c r="AI900" i="5" s="1"/>
  <c r="Y900" i="5"/>
  <c r="X900" i="5"/>
  <c r="W900" i="5"/>
  <c r="V900" i="5"/>
  <c r="AH899" i="5"/>
  <c r="AF899" i="5"/>
  <c r="AE899" i="5"/>
  <c r="AD899" i="5"/>
  <c r="AC899" i="5"/>
  <c r="AB899" i="5"/>
  <c r="AG899" i="5" s="1"/>
  <c r="AA899" i="5"/>
  <c r="Z899" i="5"/>
  <c r="AI899" i="5" s="1"/>
  <c r="Y899" i="5"/>
  <c r="X899" i="5"/>
  <c r="W899" i="5"/>
  <c r="V899" i="5"/>
  <c r="AH898" i="5"/>
  <c r="AF898" i="5"/>
  <c r="AE898" i="5"/>
  <c r="AD898" i="5"/>
  <c r="AC898" i="5"/>
  <c r="AB898" i="5"/>
  <c r="AG898" i="5" s="1"/>
  <c r="AA898" i="5"/>
  <c r="Z898" i="5"/>
  <c r="AI898" i="5" s="1"/>
  <c r="Y898" i="5"/>
  <c r="X898" i="5"/>
  <c r="W898" i="5"/>
  <c r="V898" i="5"/>
  <c r="AH897" i="5"/>
  <c r="AF897" i="5"/>
  <c r="AE897" i="5"/>
  <c r="AD897" i="5"/>
  <c r="AC897" i="5"/>
  <c r="AB897" i="5"/>
  <c r="AG897" i="5" s="1"/>
  <c r="AA897" i="5"/>
  <c r="Z897" i="5"/>
  <c r="AI897" i="5" s="1"/>
  <c r="Y897" i="5"/>
  <c r="X897" i="5"/>
  <c r="W897" i="5"/>
  <c r="V897" i="5"/>
  <c r="AH896" i="5"/>
  <c r="AF896" i="5"/>
  <c r="AE896" i="5"/>
  <c r="AD896" i="5"/>
  <c r="AC896" i="5"/>
  <c r="AB896" i="5"/>
  <c r="AG896" i="5" s="1"/>
  <c r="AA896" i="5"/>
  <c r="Z896" i="5"/>
  <c r="AI896" i="5" s="1"/>
  <c r="Y896" i="5"/>
  <c r="X896" i="5"/>
  <c r="W896" i="5"/>
  <c r="V896" i="5"/>
  <c r="AH895" i="5"/>
  <c r="AF895" i="5"/>
  <c r="AE895" i="5"/>
  <c r="AD895" i="5"/>
  <c r="AC895" i="5"/>
  <c r="AB895" i="5"/>
  <c r="AG895" i="5" s="1"/>
  <c r="AA895" i="5"/>
  <c r="Z895" i="5"/>
  <c r="AI895" i="5" s="1"/>
  <c r="Y895" i="5"/>
  <c r="X895" i="5"/>
  <c r="W895" i="5"/>
  <c r="V895" i="5"/>
  <c r="AH894" i="5"/>
  <c r="AG894" i="5"/>
  <c r="AF894" i="5"/>
  <c r="AE894" i="5"/>
  <c r="AD894" i="5"/>
  <c r="AC894" i="5"/>
  <c r="AB894" i="5"/>
  <c r="AA894" i="5"/>
  <c r="Z894" i="5"/>
  <c r="AI894" i="5" s="1"/>
  <c r="Y894" i="5"/>
  <c r="X894" i="5"/>
  <c r="W894" i="5"/>
  <c r="V894" i="5"/>
  <c r="AH893" i="5"/>
  <c r="AF893" i="5"/>
  <c r="AE893" i="5"/>
  <c r="AD893" i="5"/>
  <c r="AC893" i="5"/>
  <c r="AB893" i="5"/>
  <c r="AG893" i="5" s="1"/>
  <c r="AA893" i="5"/>
  <c r="Z893" i="5"/>
  <c r="AI893" i="5" s="1"/>
  <c r="Y893" i="5"/>
  <c r="X893" i="5"/>
  <c r="W893" i="5"/>
  <c r="V893" i="5"/>
  <c r="AH892" i="5"/>
  <c r="AF892" i="5"/>
  <c r="AE892" i="5"/>
  <c r="AD892" i="5"/>
  <c r="AC892" i="5"/>
  <c r="AB892" i="5"/>
  <c r="AG892" i="5" s="1"/>
  <c r="AA892" i="5"/>
  <c r="Z892" i="5"/>
  <c r="AI892" i="5" s="1"/>
  <c r="Y892" i="5"/>
  <c r="X892" i="5"/>
  <c r="W892" i="5"/>
  <c r="V892" i="5"/>
  <c r="AH891" i="5"/>
  <c r="AF891" i="5"/>
  <c r="AE891" i="5"/>
  <c r="AD891" i="5"/>
  <c r="AC891" i="5"/>
  <c r="AB891" i="5"/>
  <c r="AG891" i="5" s="1"/>
  <c r="AA891" i="5"/>
  <c r="Z891" i="5"/>
  <c r="AI891" i="5" s="1"/>
  <c r="Y891" i="5"/>
  <c r="X891" i="5"/>
  <c r="W891" i="5"/>
  <c r="V891" i="5"/>
  <c r="AH890" i="5"/>
  <c r="AF890" i="5"/>
  <c r="AE890" i="5"/>
  <c r="AD890" i="5"/>
  <c r="AC890" i="5"/>
  <c r="AB890" i="5"/>
  <c r="AG890" i="5" s="1"/>
  <c r="AA890" i="5"/>
  <c r="Z890" i="5"/>
  <c r="AI890" i="5" s="1"/>
  <c r="Y890" i="5"/>
  <c r="X890" i="5"/>
  <c r="W890" i="5"/>
  <c r="V890" i="5"/>
  <c r="AH889" i="5"/>
  <c r="AF889" i="5"/>
  <c r="AE889" i="5"/>
  <c r="AD889" i="5"/>
  <c r="AC889" i="5"/>
  <c r="AB889" i="5"/>
  <c r="AG889" i="5" s="1"/>
  <c r="AA889" i="5"/>
  <c r="Z889" i="5"/>
  <c r="AI889" i="5" s="1"/>
  <c r="Y889" i="5"/>
  <c r="X889" i="5"/>
  <c r="W889" i="5"/>
  <c r="V889" i="5"/>
  <c r="AH888" i="5"/>
  <c r="AF888" i="5"/>
  <c r="AE888" i="5"/>
  <c r="AD888" i="5"/>
  <c r="AC888" i="5"/>
  <c r="AB888" i="5"/>
  <c r="AG888" i="5" s="1"/>
  <c r="AA888" i="5"/>
  <c r="Z888" i="5"/>
  <c r="AI888" i="5" s="1"/>
  <c r="Y888" i="5"/>
  <c r="X888" i="5"/>
  <c r="W888" i="5"/>
  <c r="V888" i="5"/>
  <c r="AI887" i="5"/>
  <c r="AH887" i="5"/>
  <c r="AG887" i="5"/>
  <c r="AF887" i="5"/>
  <c r="AE887" i="5"/>
  <c r="AD887" i="5"/>
  <c r="AC887" i="5"/>
  <c r="AB887" i="5"/>
  <c r="AA887" i="5"/>
  <c r="Z887" i="5"/>
  <c r="Y887" i="5"/>
  <c r="X887" i="5"/>
  <c r="W887" i="5"/>
  <c r="V887" i="5"/>
  <c r="AI886" i="5"/>
  <c r="AH886" i="5"/>
  <c r="AF886" i="5"/>
  <c r="AE886" i="5"/>
  <c r="AD886" i="5"/>
  <c r="AC886" i="5"/>
  <c r="AB886" i="5"/>
  <c r="AG886" i="5" s="1"/>
  <c r="AA886" i="5"/>
  <c r="Z886" i="5"/>
  <c r="Y886" i="5"/>
  <c r="X886" i="5"/>
  <c r="W886" i="5"/>
  <c r="V886" i="5"/>
  <c r="AH885" i="5"/>
  <c r="AF885" i="5"/>
  <c r="AE885" i="5"/>
  <c r="AD885" i="5"/>
  <c r="AC885" i="5"/>
  <c r="AB885" i="5"/>
  <c r="AG885" i="5" s="1"/>
  <c r="AA885" i="5"/>
  <c r="Z885" i="5"/>
  <c r="AI885" i="5" s="1"/>
  <c r="Y885" i="5"/>
  <c r="X885" i="5"/>
  <c r="W885" i="5"/>
  <c r="V885" i="5"/>
  <c r="AH884" i="5"/>
  <c r="AF884" i="5"/>
  <c r="AE884" i="5"/>
  <c r="AD884" i="5"/>
  <c r="AC884" i="5"/>
  <c r="AB884" i="5"/>
  <c r="AG884" i="5" s="1"/>
  <c r="AA884" i="5"/>
  <c r="Z884" i="5"/>
  <c r="AI884" i="5" s="1"/>
  <c r="Y884" i="5"/>
  <c r="X884" i="5"/>
  <c r="W884" i="5"/>
  <c r="V884" i="5"/>
  <c r="AH883" i="5"/>
  <c r="AF883" i="5"/>
  <c r="AE883" i="5"/>
  <c r="AD883" i="5"/>
  <c r="AC883" i="5"/>
  <c r="AB883" i="5"/>
  <c r="AG883" i="5" s="1"/>
  <c r="AA883" i="5"/>
  <c r="Z883" i="5"/>
  <c r="AI883" i="5" s="1"/>
  <c r="Y883" i="5"/>
  <c r="X883" i="5"/>
  <c r="W883" i="5"/>
  <c r="V883" i="5"/>
  <c r="AH882" i="5"/>
  <c r="AF882" i="5"/>
  <c r="AE882" i="5"/>
  <c r="AD882" i="5"/>
  <c r="AC882" i="5"/>
  <c r="AB882" i="5"/>
  <c r="AG882" i="5" s="1"/>
  <c r="AA882" i="5"/>
  <c r="Z882" i="5"/>
  <c r="AI882" i="5" s="1"/>
  <c r="Y882" i="5"/>
  <c r="X882" i="5"/>
  <c r="W882" i="5"/>
  <c r="V882" i="5"/>
  <c r="AH881" i="5"/>
  <c r="AG881" i="5"/>
  <c r="AF881" i="5"/>
  <c r="AE881" i="5"/>
  <c r="AD881" i="5"/>
  <c r="AC881" i="5"/>
  <c r="AB881" i="5"/>
  <c r="AA881" i="5"/>
  <c r="Z881" i="5"/>
  <c r="AI881" i="5" s="1"/>
  <c r="Y881" i="5"/>
  <c r="X881" i="5"/>
  <c r="W881" i="5"/>
  <c r="V881" i="5"/>
  <c r="AI880" i="5"/>
  <c r="AH880" i="5"/>
  <c r="AF880" i="5"/>
  <c r="AE880" i="5"/>
  <c r="AD880" i="5"/>
  <c r="AC880" i="5"/>
  <c r="AB880" i="5"/>
  <c r="AG880" i="5" s="1"/>
  <c r="AA880" i="5"/>
  <c r="Z880" i="5"/>
  <c r="Y880" i="5"/>
  <c r="X880" i="5"/>
  <c r="W880" i="5"/>
  <c r="V880" i="5"/>
  <c r="AH879" i="5"/>
  <c r="AG879" i="5"/>
  <c r="AF879" i="5"/>
  <c r="AE879" i="5"/>
  <c r="AD879" i="5"/>
  <c r="AC879" i="5"/>
  <c r="AB879" i="5"/>
  <c r="AA879" i="5"/>
  <c r="Z879" i="5"/>
  <c r="AI879" i="5" s="1"/>
  <c r="Y879" i="5"/>
  <c r="X879" i="5"/>
  <c r="W879" i="5"/>
  <c r="V879" i="5"/>
  <c r="AH878" i="5"/>
  <c r="AF878" i="5"/>
  <c r="AE878" i="5"/>
  <c r="AD878" i="5"/>
  <c r="AC878" i="5"/>
  <c r="AB878" i="5"/>
  <c r="AG878" i="5" s="1"/>
  <c r="AA878" i="5"/>
  <c r="Z878" i="5"/>
  <c r="AI878" i="5" s="1"/>
  <c r="Y878" i="5"/>
  <c r="X878" i="5"/>
  <c r="W878" i="5"/>
  <c r="V878" i="5"/>
  <c r="AH877" i="5"/>
  <c r="AF877" i="5"/>
  <c r="AE877" i="5"/>
  <c r="AD877" i="5"/>
  <c r="AC877" i="5"/>
  <c r="AB877" i="5"/>
  <c r="AG877" i="5" s="1"/>
  <c r="AA877" i="5"/>
  <c r="Z877" i="5"/>
  <c r="AI877" i="5" s="1"/>
  <c r="Y877" i="5"/>
  <c r="X877" i="5"/>
  <c r="W877" i="5"/>
  <c r="V877" i="5"/>
  <c r="AH876" i="5"/>
  <c r="AF876" i="5"/>
  <c r="AE876" i="5"/>
  <c r="AD876" i="5"/>
  <c r="AC876" i="5"/>
  <c r="AB876" i="5"/>
  <c r="AG876" i="5" s="1"/>
  <c r="AA876" i="5"/>
  <c r="Z876" i="5"/>
  <c r="AI876" i="5" s="1"/>
  <c r="Y876" i="5"/>
  <c r="X876" i="5"/>
  <c r="W876" i="5"/>
  <c r="V876" i="5"/>
  <c r="AH875" i="5"/>
  <c r="AF875" i="5"/>
  <c r="AE875" i="5"/>
  <c r="AD875" i="5"/>
  <c r="AC875" i="5"/>
  <c r="AB875" i="5"/>
  <c r="AG875" i="5" s="1"/>
  <c r="AA875" i="5"/>
  <c r="Z875" i="5"/>
  <c r="AI875" i="5" s="1"/>
  <c r="Y875" i="5"/>
  <c r="X875" i="5"/>
  <c r="W875" i="5"/>
  <c r="V875" i="5"/>
  <c r="AH874" i="5"/>
  <c r="AF874" i="5"/>
  <c r="AE874" i="5"/>
  <c r="AD874" i="5"/>
  <c r="AC874" i="5"/>
  <c r="AB874" i="5"/>
  <c r="AG874" i="5" s="1"/>
  <c r="AA874" i="5"/>
  <c r="Z874" i="5"/>
  <c r="AI874" i="5" s="1"/>
  <c r="Y874" i="5"/>
  <c r="X874" i="5"/>
  <c r="W874" i="5"/>
  <c r="V874" i="5"/>
  <c r="AH873" i="5"/>
  <c r="AG873" i="5"/>
  <c r="AF873" i="5"/>
  <c r="AE873" i="5"/>
  <c r="AD873" i="5"/>
  <c r="AC873" i="5"/>
  <c r="AB873" i="5"/>
  <c r="AA873" i="5"/>
  <c r="Z873" i="5"/>
  <c r="AI873" i="5" s="1"/>
  <c r="Y873" i="5"/>
  <c r="X873" i="5"/>
  <c r="W873" i="5"/>
  <c r="V873" i="5"/>
  <c r="AI872" i="5"/>
  <c r="AH872" i="5"/>
  <c r="AG872" i="5"/>
  <c r="AF872" i="5"/>
  <c r="AE872" i="5"/>
  <c r="AD872" i="5"/>
  <c r="AC872" i="5"/>
  <c r="AB872" i="5"/>
  <c r="AA872" i="5"/>
  <c r="Z872" i="5"/>
  <c r="Y872" i="5"/>
  <c r="X872" i="5"/>
  <c r="W872" i="5"/>
  <c r="V872" i="5"/>
  <c r="AH871" i="5"/>
  <c r="AF871" i="5"/>
  <c r="AE871" i="5"/>
  <c r="AD871" i="5"/>
  <c r="AC871" i="5"/>
  <c r="AB871" i="5"/>
  <c r="AG871" i="5" s="1"/>
  <c r="AA871" i="5"/>
  <c r="Z871" i="5"/>
  <c r="AI871" i="5" s="1"/>
  <c r="Y871" i="5"/>
  <c r="X871" i="5"/>
  <c r="W871" i="5"/>
  <c r="V871" i="5"/>
  <c r="AH870" i="5"/>
  <c r="AF870" i="5"/>
  <c r="AE870" i="5"/>
  <c r="AD870" i="5"/>
  <c r="AC870" i="5"/>
  <c r="AB870" i="5"/>
  <c r="AG870" i="5" s="1"/>
  <c r="AA870" i="5"/>
  <c r="Z870" i="5"/>
  <c r="AI870" i="5" s="1"/>
  <c r="Y870" i="5"/>
  <c r="X870" i="5"/>
  <c r="W870" i="5"/>
  <c r="V870" i="5"/>
  <c r="AH869" i="5"/>
  <c r="AF869" i="5"/>
  <c r="AE869" i="5"/>
  <c r="AD869" i="5"/>
  <c r="AC869" i="5"/>
  <c r="AB869" i="5"/>
  <c r="AG869" i="5" s="1"/>
  <c r="AA869" i="5"/>
  <c r="Z869" i="5"/>
  <c r="AI869" i="5" s="1"/>
  <c r="Y869" i="5"/>
  <c r="X869" i="5"/>
  <c r="W869" i="5"/>
  <c r="V869" i="5"/>
  <c r="AH868" i="5"/>
  <c r="AF868" i="5"/>
  <c r="AE868" i="5"/>
  <c r="AD868" i="5"/>
  <c r="AC868" i="5"/>
  <c r="AB868" i="5"/>
  <c r="AG868" i="5" s="1"/>
  <c r="AA868" i="5"/>
  <c r="Z868" i="5"/>
  <c r="AI868" i="5" s="1"/>
  <c r="Y868" i="5"/>
  <c r="X868" i="5"/>
  <c r="W868" i="5"/>
  <c r="V868" i="5"/>
  <c r="AH867" i="5"/>
  <c r="AF867" i="5"/>
  <c r="AE867" i="5"/>
  <c r="AD867" i="5"/>
  <c r="AC867" i="5"/>
  <c r="AB867" i="5"/>
  <c r="AG867" i="5" s="1"/>
  <c r="AA867" i="5"/>
  <c r="Z867" i="5"/>
  <c r="AI867" i="5" s="1"/>
  <c r="Y867" i="5"/>
  <c r="X867" i="5"/>
  <c r="W867" i="5"/>
  <c r="V867" i="5"/>
  <c r="AH866" i="5"/>
  <c r="AF866" i="5"/>
  <c r="AE866" i="5"/>
  <c r="AD866" i="5"/>
  <c r="AC866" i="5"/>
  <c r="AB866" i="5"/>
  <c r="AG866" i="5" s="1"/>
  <c r="AA866" i="5"/>
  <c r="Z866" i="5"/>
  <c r="AI866" i="5" s="1"/>
  <c r="Y866" i="5"/>
  <c r="X866" i="5"/>
  <c r="W866" i="5"/>
  <c r="V866" i="5"/>
  <c r="AH865" i="5"/>
  <c r="AG865" i="5"/>
  <c r="AF865" i="5"/>
  <c r="AE865" i="5"/>
  <c r="AD865" i="5"/>
  <c r="AC865" i="5"/>
  <c r="AB865" i="5"/>
  <c r="AA865" i="5"/>
  <c r="Z865" i="5"/>
  <c r="AI865" i="5" s="1"/>
  <c r="Y865" i="5"/>
  <c r="X865" i="5"/>
  <c r="W865" i="5"/>
  <c r="V865" i="5"/>
  <c r="AH864" i="5"/>
  <c r="AF864" i="5"/>
  <c r="AE864" i="5"/>
  <c r="AD864" i="5"/>
  <c r="AC864" i="5"/>
  <c r="AB864" i="5"/>
  <c r="AG864" i="5" s="1"/>
  <c r="AA864" i="5"/>
  <c r="Z864" i="5"/>
  <c r="AI864" i="5" s="1"/>
  <c r="Y864" i="5"/>
  <c r="X864" i="5"/>
  <c r="W864" i="5"/>
  <c r="V864" i="5"/>
  <c r="AH863" i="5"/>
  <c r="AF863" i="5"/>
  <c r="AE863" i="5"/>
  <c r="AD863" i="5"/>
  <c r="AC863" i="5"/>
  <c r="AB863" i="5"/>
  <c r="AG863" i="5" s="1"/>
  <c r="AA863" i="5"/>
  <c r="Z863" i="5"/>
  <c r="AI863" i="5" s="1"/>
  <c r="Y863" i="5"/>
  <c r="X863" i="5"/>
  <c r="W863" i="5"/>
  <c r="V863" i="5"/>
  <c r="AH862" i="5"/>
  <c r="AF862" i="5"/>
  <c r="AE862" i="5"/>
  <c r="AD862" i="5"/>
  <c r="AC862" i="5"/>
  <c r="AB862" i="5"/>
  <c r="AG862" i="5" s="1"/>
  <c r="AA862" i="5"/>
  <c r="Z862" i="5"/>
  <c r="AI862" i="5" s="1"/>
  <c r="Y862" i="5"/>
  <c r="X862" i="5"/>
  <c r="W862" i="5"/>
  <c r="V862" i="5"/>
  <c r="AH861" i="5"/>
  <c r="AF861" i="5"/>
  <c r="AE861" i="5"/>
  <c r="AD861" i="5"/>
  <c r="AC861" i="5"/>
  <c r="AB861" i="5"/>
  <c r="AG861" i="5" s="1"/>
  <c r="AA861" i="5"/>
  <c r="Z861" i="5"/>
  <c r="AI861" i="5" s="1"/>
  <c r="Y861" i="5"/>
  <c r="X861" i="5"/>
  <c r="W861" i="5"/>
  <c r="V861" i="5"/>
  <c r="AH860" i="5"/>
  <c r="AF860" i="5"/>
  <c r="AE860" i="5"/>
  <c r="AD860" i="5"/>
  <c r="AC860" i="5"/>
  <c r="AB860" i="5"/>
  <c r="AG860" i="5" s="1"/>
  <c r="AA860" i="5"/>
  <c r="Z860" i="5"/>
  <c r="AI860" i="5" s="1"/>
  <c r="Y860" i="5"/>
  <c r="X860" i="5"/>
  <c r="W860" i="5"/>
  <c r="V860" i="5"/>
  <c r="AH859" i="5"/>
  <c r="AF859" i="5"/>
  <c r="AE859" i="5"/>
  <c r="AD859" i="5"/>
  <c r="AC859" i="5"/>
  <c r="AB859" i="5"/>
  <c r="AG859" i="5" s="1"/>
  <c r="AA859" i="5"/>
  <c r="Z859" i="5"/>
  <c r="AI859" i="5" s="1"/>
  <c r="Y859" i="5"/>
  <c r="X859" i="5"/>
  <c r="W859" i="5"/>
  <c r="V859" i="5"/>
  <c r="AI858" i="5"/>
  <c r="AH858" i="5"/>
  <c r="AG858" i="5"/>
  <c r="AF858" i="5"/>
  <c r="AE858" i="5"/>
  <c r="AD858" i="5"/>
  <c r="AC858" i="5"/>
  <c r="AB858" i="5"/>
  <c r="AA858" i="5"/>
  <c r="Z858" i="5"/>
  <c r="Y858" i="5"/>
  <c r="X858" i="5"/>
  <c r="W858" i="5"/>
  <c r="V858" i="5"/>
  <c r="AH857" i="5"/>
  <c r="AF857" i="5"/>
  <c r="AE857" i="5"/>
  <c r="AD857" i="5"/>
  <c r="AC857" i="5"/>
  <c r="AB857" i="5"/>
  <c r="AG857" i="5" s="1"/>
  <c r="AA857" i="5"/>
  <c r="Z857" i="5"/>
  <c r="AI857" i="5" s="1"/>
  <c r="Y857" i="5"/>
  <c r="X857" i="5"/>
  <c r="W857" i="5"/>
  <c r="V857" i="5"/>
  <c r="AH856" i="5"/>
  <c r="AF856" i="5"/>
  <c r="AE856" i="5"/>
  <c r="AD856" i="5"/>
  <c r="AC856" i="5"/>
  <c r="AB856" i="5"/>
  <c r="AG856" i="5" s="1"/>
  <c r="AA856" i="5"/>
  <c r="Z856" i="5"/>
  <c r="AI856" i="5" s="1"/>
  <c r="Y856" i="5"/>
  <c r="X856" i="5"/>
  <c r="W856" i="5"/>
  <c r="V856" i="5"/>
  <c r="AH855" i="5"/>
  <c r="AF855" i="5"/>
  <c r="AE855" i="5"/>
  <c r="AD855" i="5"/>
  <c r="AC855" i="5"/>
  <c r="AB855" i="5"/>
  <c r="AG855" i="5" s="1"/>
  <c r="AA855" i="5"/>
  <c r="Z855" i="5"/>
  <c r="AI855" i="5" s="1"/>
  <c r="Y855" i="5"/>
  <c r="X855" i="5"/>
  <c r="W855" i="5"/>
  <c r="V855" i="5"/>
  <c r="AH854" i="5"/>
  <c r="AF854" i="5"/>
  <c r="AE854" i="5"/>
  <c r="AD854" i="5"/>
  <c r="AC854" i="5"/>
  <c r="AB854" i="5"/>
  <c r="AG854" i="5" s="1"/>
  <c r="AA854" i="5"/>
  <c r="Z854" i="5"/>
  <c r="AI854" i="5" s="1"/>
  <c r="Y854" i="5"/>
  <c r="X854" i="5"/>
  <c r="W854" i="5"/>
  <c r="V854" i="5"/>
  <c r="AH853" i="5"/>
  <c r="AF853" i="5"/>
  <c r="AE853" i="5"/>
  <c r="AD853" i="5"/>
  <c r="AC853" i="5"/>
  <c r="AB853" i="5"/>
  <c r="AG853" i="5" s="1"/>
  <c r="AA853" i="5"/>
  <c r="Z853" i="5"/>
  <c r="AI853" i="5" s="1"/>
  <c r="Y853" i="5"/>
  <c r="X853" i="5"/>
  <c r="W853" i="5"/>
  <c r="V853" i="5"/>
  <c r="AH852" i="5"/>
  <c r="AF852" i="5"/>
  <c r="AE852" i="5"/>
  <c r="AD852" i="5"/>
  <c r="AC852" i="5"/>
  <c r="AB852" i="5"/>
  <c r="AG852" i="5" s="1"/>
  <c r="AA852" i="5"/>
  <c r="Z852" i="5"/>
  <c r="AI852" i="5" s="1"/>
  <c r="Y852" i="5"/>
  <c r="X852" i="5"/>
  <c r="W852" i="5"/>
  <c r="V852" i="5"/>
  <c r="AH851" i="5"/>
  <c r="AG851" i="5"/>
  <c r="AF851" i="5"/>
  <c r="AE851" i="5"/>
  <c r="AD851" i="5"/>
  <c r="AC851" i="5"/>
  <c r="AB851" i="5"/>
  <c r="AA851" i="5"/>
  <c r="Z851" i="5"/>
  <c r="AI851" i="5" s="1"/>
  <c r="Y851" i="5"/>
  <c r="X851" i="5"/>
  <c r="W851" i="5"/>
  <c r="V851" i="5"/>
  <c r="AI850" i="5"/>
  <c r="AH850" i="5"/>
  <c r="AF850" i="5"/>
  <c r="AE850" i="5"/>
  <c r="AD850" i="5"/>
  <c r="AC850" i="5"/>
  <c r="AB850" i="5"/>
  <c r="AG850" i="5" s="1"/>
  <c r="AA850" i="5"/>
  <c r="Z850" i="5"/>
  <c r="Y850" i="5"/>
  <c r="X850" i="5"/>
  <c r="W850" i="5"/>
  <c r="V850" i="5"/>
  <c r="AH849" i="5"/>
  <c r="AF849" i="5"/>
  <c r="AE849" i="5"/>
  <c r="AD849" i="5"/>
  <c r="AC849" i="5"/>
  <c r="AB849" i="5"/>
  <c r="AG849" i="5" s="1"/>
  <c r="AA849" i="5"/>
  <c r="Z849" i="5"/>
  <c r="AI849" i="5" s="1"/>
  <c r="Y849" i="5"/>
  <c r="X849" i="5"/>
  <c r="W849" i="5"/>
  <c r="V849" i="5"/>
  <c r="AH848" i="5"/>
  <c r="AF848" i="5"/>
  <c r="AE848" i="5"/>
  <c r="AD848" i="5"/>
  <c r="AC848" i="5"/>
  <c r="AB848" i="5"/>
  <c r="AG848" i="5" s="1"/>
  <c r="AA848" i="5"/>
  <c r="Z848" i="5"/>
  <c r="AI848" i="5" s="1"/>
  <c r="Y848" i="5"/>
  <c r="X848" i="5"/>
  <c r="W848" i="5"/>
  <c r="V848" i="5"/>
  <c r="AH847" i="5"/>
  <c r="AF847" i="5"/>
  <c r="AE847" i="5"/>
  <c r="AD847" i="5"/>
  <c r="AC847" i="5"/>
  <c r="AB847" i="5"/>
  <c r="AG847" i="5" s="1"/>
  <c r="AA847" i="5"/>
  <c r="Z847" i="5"/>
  <c r="AI847" i="5" s="1"/>
  <c r="Y847" i="5"/>
  <c r="X847" i="5"/>
  <c r="W847" i="5"/>
  <c r="V847" i="5"/>
  <c r="AH846" i="5"/>
  <c r="AF846" i="5"/>
  <c r="AE846" i="5"/>
  <c r="AD846" i="5"/>
  <c r="AC846" i="5"/>
  <c r="AB846" i="5"/>
  <c r="AG846" i="5" s="1"/>
  <c r="AA846" i="5"/>
  <c r="Z846" i="5"/>
  <c r="AI846" i="5" s="1"/>
  <c r="Y846" i="5"/>
  <c r="X846" i="5"/>
  <c r="W846" i="5"/>
  <c r="V846" i="5"/>
  <c r="AH845" i="5"/>
  <c r="AG845" i="5"/>
  <c r="AF845" i="5"/>
  <c r="AE845" i="5"/>
  <c r="AD845" i="5"/>
  <c r="AC845" i="5"/>
  <c r="AB845" i="5"/>
  <c r="AA845" i="5"/>
  <c r="Z845" i="5"/>
  <c r="AI845" i="5" s="1"/>
  <c r="Y845" i="5"/>
  <c r="X845" i="5"/>
  <c r="W845" i="5"/>
  <c r="V845" i="5"/>
  <c r="AI844" i="5"/>
  <c r="AH844" i="5"/>
  <c r="AF844" i="5"/>
  <c r="AE844" i="5"/>
  <c r="AD844" i="5"/>
  <c r="AC844" i="5"/>
  <c r="AB844" i="5"/>
  <c r="AG844" i="5" s="1"/>
  <c r="AA844" i="5"/>
  <c r="Z844" i="5"/>
  <c r="Y844" i="5"/>
  <c r="X844" i="5"/>
  <c r="W844" i="5"/>
  <c r="V844" i="5"/>
  <c r="AH843" i="5"/>
  <c r="AG843" i="5"/>
  <c r="AF843" i="5"/>
  <c r="AE843" i="5"/>
  <c r="AD843" i="5"/>
  <c r="AC843" i="5"/>
  <c r="AB843" i="5"/>
  <c r="AA843" i="5"/>
  <c r="Z843" i="5"/>
  <c r="AI843" i="5" s="1"/>
  <c r="Y843" i="5"/>
  <c r="X843" i="5"/>
  <c r="W843" i="5"/>
  <c r="V843" i="5"/>
  <c r="AH842" i="5"/>
  <c r="AF842" i="5"/>
  <c r="AE842" i="5"/>
  <c r="AD842" i="5"/>
  <c r="AC842" i="5"/>
  <c r="AB842" i="5"/>
  <c r="AG842" i="5" s="1"/>
  <c r="AA842" i="5"/>
  <c r="Z842" i="5"/>
  <c r="AI842" i="5" s="1"/>
  <c r="Y842" i="5"/>
  <c r="X842" i="5"/>
  <c r="W842" i="5"/>
  <c r="V842" i="5"/>
  <c r="AH841" i="5"/>
  <c r="AF841" i="5"/>
  <c r="AE841" i="5"/>
  <c r="AD841" i="5"/>
  <c r="AC841" i="5"/>
  <c r="AB841" i="5"/>
  <c r="AG841" i="5" s="1"/>
  <c r="AA841" i="5"/>
  <c r="Z841" i="5"/>
  <c r="AI841" i="5" s="1"/>
  <c r="Y841" i="5"/>
  <c r="X841" i="5"/>
  <c r="W841" i="5"/>
  <c r="V841" i="5"/>
  <c r="AH840" i="5"/>
  <c r="AF840" i="5"/>
  <c r="AE840" i="5"/>
  <c r="AD840" i="5"/>
  <c r="AC840" i="5"/>
  <c r="AB840" i="5"/>
  <c r="AG840" i="5" s="1"/>
  <c r="AA840" i="5"/>
  <c r="Z840" i="5"/>
  <c r="AI840" i="5" s="1"/>
  <c r="Y840" i="5"/>
  <c r="X840" i="5"/>
  <c r="W840" i="5"/>
  <c r="V840" i="5"/>
  <c r="AH839" i="5"/>
  <c r="AF839" i="5"/>
  <c r="AE839" i="5"/>
  <c r="AD839" i="5"/>
  <c r="AC839" i="5"/>
  <c r="AB839" i="5"/>
  <c r="AG839" i="5" s="1"/>
  <c r="AA839" i="5"/>
  <c r="Z839" i="5"/>
  <c r="AI839" i="5" s="1"/>
  <c r="Y839" i="5"/>
  <c r="X839" i="5"/>
  <c r="W839" i="5"/>
  <c r="V839" i="5"/>
  <c r="AH838" i="5"/>
  <c r="AF838" i="5"/>
  <c r="AE838" i="5"/>
  <c r="AD838" i="5"/>
  <c r="AC838" i="5"/>
  <c r="AB838" i="5"/>
  <c r="AG838" i="5" s="1"/>
  <c r="AA838" i="5"/>
  <c r="Z838" i="5"/>
  <c r="AI838" i="5" s="1"/>
  <c r="Y838" i="5"/>
  <c r="X838" i="5"/>
  <c r="W838" i="5"/>
  <c r="V838" i="5"/>
  <c r="AH837" i="5"/>
  <c r="AG837" i="5"/>
  <c r="AF837" i="5"/>
  <c r="AE837" i="5"/>
  <c r="AD837" i="5"/>
  <c r="AC837" i="5"/>
  <c r="AB837" i="5"/>
  <c r="AA837" i="5"/>
  <c r="Z837" i="5"/>
  <c r="AI837" i="5" s="1"/>
  <c r="Y837" i="5"/>
  <c r="X837" i="5"/>
  <c r="W837" i="5"/>
  <c r="V837" i="5"/>
  <c r="AI836" i="5"/>
  <c r="AH836" i="5"/>
  <c r="AG836" i="5"/>
  <c r="AF836" i="5"/>
  <c r="AE836" i="5"/>
  <c r="AD836" i="5"/>
  <c r="AC836" i="5"/>
  <c r="AB836" i="5"/>
  <c r="AA836" i="5"/>
  <c r="Z836" i="5"/>
  <c r="Y836" i="5"/>
  <c r="X836" i="5"/>
  <c r="W836" i="5"/>
  <c r="V836" i="5"/>
  <c r="AH835" i="5"/>
  <c r="AF835" i="5"/>
  <c r="AE835" i="5"/>
  <c r="AD835" i="5"/>
  <c r="AC835" i="5"/>
  <c r="AB835" i="5"/>
  <c r="AG835" i="5" s="1"/>
  <c r="AA835" i="5"/>
  <c r="Z835" i="5"/>
  <c r="AI835" i="5" s="1"/>
  <c r="Y835" i="5"/>
  <c r="X835" i="5"/>
  <c r="W835" i="5"/>
  <c r="V835" i="5"/>
  <c r="AH834" i="5"/>
  <c r="AF834" i="5"/>
  <c r="AE834" i="5"/>
  <c r="AD834" i="5"/>
  <c r="AC834" i="5"/>
  <c r="AB834" i="5"/>
  <c r="AG834" i="5" s="1"/>
  <c r="AA834" i="5"/>
  <c r="Z834" i="5"/>
  <c r="AI834" i="5" s="1"/>
  <c r="Y834" i="5"/>
  <c r="X834" i="5"/>
  <c r="W834" i="5"/>
  <c r="V834" i="5"/>
  <c r="AH833" i="5"/>
  <c r="AF833" i="5"/>
  <c r="AE833" i="5"/>
  <c r="AD833" i="5"/>
  <c r="AC833" i="5"/>
  <c r="AB833" i="5"/>
  <c r="AG833" i="5" s="1"/>
  <c r="AA833" i="5"/>
  <c r="Z833" i="5"/>
  <c r="AI833" i="5" s="1"/>
  <c r="Y833" i="5"/>
  <c r="X833" i="5"/>
  <c r="W833" i="5"/>
  <c r="V833" i="5"/>
  <c r="AH832" i="5"/>
  <c r="AF832" i="5"/>
  <c r="AE832" i="5"/>
  <c r="AD832" i="5"/>
  <c r="AC832" i="5"/>
  <c r="AB832" i="5"/>
  <c r="AG832" i="5" s="1"/>
  <c r="AA832" i="5"/>
  <c r="Z832" i="5"/>
  <c r="AI832" i="5" s="1"/>
  <c r="Y832" i="5"/>
  <c r="X832" i="5"/>
  <c r="W832" i="5"/>
  <c r="V832" i="5"/>
  <c r="AH831" i="5"/>
  <c r="AF831" i="5"/>
  <c r="AE831" i="5"/>
  <c r="AD831" i="5"/>
  <c r="AC831" i="5"/>
  <c r="AB831" i="5"/>
  <c r="AG831" i="5" s="1"/>
  <c r="AA831" i="5"/>
  <c r="Z831" i="5"/>
  <c r="AI831" i="5" s="1"/>
  <c r="Y831" i="5"/>
  <c r="X831" i="5"/>
  <c r="W831" i="5"/>
  <c r="V831" i="5"/>
  <c r="AH830" i="5"/>
  <c r="AG830" i="5"/>
  <c r="AF830" i="5"/>
  <c r="AE830" i="5"/>
  <c r="AD830" i="5"/>
  <c r="AC830" i="5"/>
  <c r="AB830" i="5"/>
  <c r="AA830" i="5"/>
  <c r="Z830" i="5"/>
  <c r="AI830" i="5" s="1"/>
  <c r="Y830" i="5"/>
  <c r="X830" i="5"/>
  <c r="W830" i="5"/>
  <c r="V830" i="5"/>
  <c r="AI829" i="5"/>
  <c r="AH829" i="5"/>
  <c r="AG829" i="5"/>
  <c r="AF829" i="5"/>
  <c r="AE829" i="5"/>
  <c r="AD829" i="5"/>
  <c r="AC829" i="5"/>
  <c r="AB829" i="5"/>
  <c r="AA829" i="5"/>
  <c r="Z829" i="5"/>
  <c r="Y829" i="5"/>
  <c r="X829" i="5"/>
  <c r="W829" i="5"/>
  <c r="V829" i="5"/>
  <c r="AI828" i="5"/>
  <c r="AH828" i="5"/>
  <c r="AF828" i="5"/>
  <c r="AE828" i="5"/>
  <c r="AD828" i="5"/>
  <c r="AC828" i="5"/>
  <c r="AB828" i="5"/>
  <c r="AG828" i="5" s="1"/>
  <c r="AA828" i="5"/>
  <c r="Z828" i="5"/>
  <c r="Y828" i="5"/>
  <c r="X828" i="5"/>
  <c r="W828" i="5"/>
  <c r="V828" i="5"/>
  <c r="AH827" i="5"/>
  <c r="AF827" i="5"/>
  <c r="AE827" i="5"/>
  <c r="AD827" i="5"/>
  <c r="AC827" i="5"/>
  <c r="AB827" i="5"/>
  <c r="AG827" i="5" s="1"/>
  <c r="AA827" i="5"/>
  <c r="Z827" i="5"/>
  <c r="AI827" i="5" s="1"/>
  <c r="Y827" i="5"/>
  <c r="X827" i="5"/>
  <c r="W827" i="5"/>
  <c r="V827" i="5"/>
  <c r="AH826" i="5"/>
  <c r="AF826" i="5"/>
  <c r="AE826" i="5"/>
  <c r="AD826" i="5"/>
  <c r="AC826" i="5"/>
  <c r="AB826" i="5"/>
  <c r="AG826" i="5" s="1"/>
  <c r="AA826" i="5"/>
  <c r="Z826" i="5"/>
  <c r="AI826" i="5" s="1"/>
  <c r="Y826" i="5"/>
  <c r="X826" i="5"/>
  <c r="W826" i="5"/>
  <c r="V826" i="5"/>
  <c r="AH825" i="5"/>
  <c r="AF825" i="5"/>
  <c r="AE825" i="5"/>
  <c r="AD825" i="5"/>
  <c r="AC825" i="5"/>
  <c r="AB825" i="5"/>
  <c r="AG825" i="5" s="1"/>
  <c r="AA825" i="5"/>
  <c r="Z825" i="5"/>
  <c r="AI825" i="5" s="1"/>
  <c r="Y825" i="5"/>
  <c r="X825" i="5"/>
  <c r="W825" i="5"/>
  <c r="V825" i="5"/>
  <c r="AH824" i="5"/>
  <c r="AF824" i="5"/>
  <c r="AE824" i="5"/>
  <c r="AD824" i="5"/>
  <c r="AC824" i="5"/>
  <c r="AB824" i="5"/>
  <c r="AG824" i="5" s="1"/>
  <c r="AA824" i="5"/>
  <c r="Z824" i="5"/>
  <c r="AI824" i="5" s="1"/>
  <c r="Y824" i="5"/>
  <c r="X824" i="5"/>
  <c r="W824" i="5"/>
  <c r="V824" i="5"/>
  <c r="AH823" i="5"/>
  <c r="AG823" i="5"/>
  <c r="AF823" i="5"/>
  <c r="AE823" i="5"/>
  <c r="AD823" i="5"/>
  <c r="AC823" i="5"/>
  <c r="AB823" i="5"/>
  <c r="AA823" i="5"/>
  <c r="Z823" i="5"/>
  <c r="AI823" i="5" s="1"/>
  <c r="Y823" i="5"/>
  <c r="X823" i="5"/>
  <c r="W823" i="5"/>
  <c r="V823" i="5"/>
  <c r="AI822" i="5"/>
  <c r="AH822" i="5"/>
  <c r="AF822" i="5"/>
  <c r="AE822" i="5"/>
  <c r="AD822" i="5"/>
  <c r="AC822" i="5"/>
  <c r="AB822" i="5"/>
  <c r="AG822" i="5" s="1"/>
  <c r="AA822" i="5"/>
  <c r="Z822" i="5"/>
  <c r="Y822" i="5"/>
  <c r="X822" i="5"/>
  <c r="W822" i="5"/>
  <c r="V822" i="5"/>
  <c r="AH821" i="5"/>
  <c r="AF821" i="5"/>
  <c r="AE821" i="5"/>
  <c r="AD821" i="5"/>
  <c r="AC821" i="5"/>
  <c r="AB821" i="5"/>
  <c r="AG821" i="5" s="1"/>
  <c r="AA821" i="5"/>
  <c r="Z821" i="5"/>
  <c r="AI821" i="5" s="1"/>
  <c r="Y821" i="5"/>
  <c r="X821" i="5"/>
  <c r="W821" i="5"/>
  <c r="V821" i="5"/>
  <c r="AH820" i="5"/>
  <c r="AF820" i="5"/>
  <c r="AE820" i="5"/>
  <c r="AD820" i="5"/>
  <c r="AC820" i="5"/>
  <c r="AB820" i="5"/>
  <c r="AG820" i="5" s="1"/>
  <c r="AA820" i="5"/>
  <c r="Z820" i="5"/>
  <c r="AI820" i="5" s="1"/>
  <c r="Y820" i="5"/>
  <c r="X820" i="5"/>
  <c r="W820" i="5"/>
  <c r="V820" i="5"/>
  <c r="AH819" i="5"/>
  <c r="AF819" i="5"/>
  <c r="AE819" i="5"/>
  <c r="AD819" i="5"/>
  <c r="AC819" i="5"/>
  <c r="AB819" i="5"/>
  <c r="AG819" i="5" s="1"/>
  <c r="AA819" i="5"/>
  <c r="Z819" i="5"/>
  <c r="AI819" i="5" s="1"/>
  <c r="Y819" i="5"/>
  <c r="X819" i="5"/>
  <c r="W819" i="5"/>
  <c r="V819" i="5"/>
  <c r="AH818" i="5"/>
  <c r="AF818" i="5"/>
  <c r="AE818" i="5"/>
  <c r="AD818" i="5"/>
  <c r="AC818" i="5"/>
  <c r="AB818" i="5"/>
  <c r="AG818" i="5" s="1"/>
  <c r="AA818" i="5"/>
  <c r="Z818" i="5"/>
  <c r="AI818" i="5" s="1"/>
  <c r="Y818" i="5"/>
  <c r="X818" i="5"/>
  <c r="W818" i="5"/>
  <c r="V818" i="5"/>
  <c r="AH817" i="5"/>
  <c r="AF817" i="5"/>
  <c r="AE817" i="5"/>
  <c r="AD817" i="5"/>
  <c r="AC817" i="5"/>
  <c r="AB817" i="5"/>
  <c r="AG817" i="5" s="1"/>
  <c r="AA817" i="5"/>
  <c r="Z817" i="5"/>
  <c r="AI817" i="5" s="1"/>
  <c r="Y817" i="5"/>
  <c r="X817" i="5"/>
  <c r="W817" i="5"/>
  <c r="V817" i="5"/>
  <c r="AH816" i="5"/>
  <c r="AG816" i="5"/>
  <c r="AF816" i="5"/>
  <c r="AE816" i="5"/>
  <c r="AD816" i="5"/>
  <c r="AC816" i="5"/>
  <c r="AB816" i="5"/>
  <c r="AA816" i="5"/>
  <c r="Z816" i="5"/>
  <c r="AI816" i="5" s="1"/>
  <c r="Y816" i="5"/>
  <c r="X816" i="5"/>
  <c r="W816" i="5"/>
  <c r="V816" i="5"/>
  <c r="AI815" i="5"/>
  <c r="AH815" i="5"/>
  <c r="AF815" i="5"/>
  <c r="AE815" i="5"/>
  <c r="AD815" i="5"/>
  <c r="AC815" i="5"/>
  <c r="AB815" i="5"/>
  <c r="AG815" i="5" s="1"/>
  <c r="AA815" i="5"/>
  <c r="Z815" i="5"/>
  <c r="Y815" i="5"/>
  <c r="X815" i="5"/>
  <c r="W815" i="5"/>
  <c r="V815" i="5"/>
  <c r="AI814" i="5"/>
  <c r="AH814" i="5"/>
  <c r="AF814" i="5"/>
  <c r="AE814" i="5"/>
  <c r="AD814" i="5"/>
  <c r="AC814" i="5"/>
  <c r="AB814" i="5"/>
  <c r="AG814" i="5" s="1"/>
  <c r="AA814" i="5"/>
  <c r="Z814" i="5"/>
  <c r="Y814" i="5"/>
  <c r="X814" i="5"/>
  <c r="W814" i="5"/>
  <c r="V814" i="5"/>
  <c r="AH813" i="5"/>
  <c r="AF813" i="5"/>
  <c r="AE813" i="5"/>
  <c r="AD813" i="5"/>
  <c r="AC813" i="5"/>
  <c r="AB813" i="5"/>
  <c r="AG813" i="5" s="1"/>
  <c r="AA813" i="5"/>
  <c r="Z813" i="5"/>
  <c r="AI813" i="5" s="1"/>
  <c r="Y813" i="5"/>
  <c r="X813" i="5"/>
  <c r="W813" i="5"/>
  <c r="V813" i="5"/>
  <c r="AH812" i="5"/>
  <c r="AF812" i="5"/>
  <c r="AE812" i="5"/>
  <c r="AD812" i="5"/>
  <c r="AC812" i="5"/>
  <c r="AB812" i="5"/>
  <c r="AG812" i="5" s="1"/>
  <c r="AA812" i="5"/>
  <c r="Z812" i="5"/>
  <c r="AI812" i="5" s="1"/>
  <c r="Y812" i="5"/>
  <c r="X812" i="5"/>
  <c r="W812" i="5"/>
  <c r="V812" i="5"/>
  <c r="AH811" i="5"/>
  <c r="AF811" i="5"/>
  <c r="AE811" i="5"/>
  <c r="AD811" i="5"/>
  <c r="AC811" i="5"/>
  <c r="AB811" i="5"/>
  <c r="AG811" i="5" s="1"/>
  <c r="AA811" i="5"/>
  <c r="Z811" i="5"/>
  <c r="AI811" i="5" s="1"/>
  <c r="Y811" i="5"/>
  <c r="X811" i="5"/>
  <c r="W811" i="5"/>
  <c r="V811" i="5"/>
  <c r="AH810" i="5"/>
  <c r="AF810" i="5"/>
  <c r="AE810" i="5"/>
  <c r="AD810" i="5"/>
  <c r="AC810" i="5"/>
  <c r="AB810" i="5"/>
  <c r="AG810" i="5" s="1"/>
  <c r="AA810" i="5"/>
  <c r="Z810" i="5"/>
  <c r="AI810" i="5" s="1"/>
  <c r="Y810" i="5"/>
  <c r="X810" i="5"/>
  <c r="W810" i="5"/>
  <c r="V810" i="5"/>
  <c r="AH809" i="5"/>
  <c r="AG809" i="5"/>
  <c r="AF809" i="5"/>
  <c r="AE809" i="5"/>
  <c r="AD809" i="5"/>
  <c r="AC809" i="5"/>
  <c r="AB809" i="5"/>
  <c r="AA809" i="5"/>
  <c r="Z809" i="5"/>
  <c r="AI809" i="5" s="1"/>
  <c r="Y809" i="5"/>
  <c r="X809" i="5"/>
  <c r="W809" i="5"/>
  <c r="V809" i="5"/>
  <c r="AI808" i="5"/>
  <c r="AH808" i="5"/>
  <c r="AF808" i="5"/>
  <c r="AE808" i="5"/>
  <c r="AD808" i="5"/>
  <c r="AC808" i="5"/>
  <c r="AB808" i="5"/>
  <c r="AG808" i="5" s="1"/>
  <c r="AA808" i="5"/>
  <c r="Z808" i="5"/>
  <c r="Y808" i="5"/>
  <c r="X808" i="5"/>
  <c r="W808" i="5"/>
  <c r="V808" i="5"/>
  <c r="AH807" i="5"/>
  <c r="AG807" i="5"/>
  <c r="AF807" i="5"/>
  <c r="AE807" i="5"/>
  <c r="AD807" i="5"/>
  <c r="AC807" i="5"/>
  <c r="AB807" i="5"/>
  <c r="AA807" i="5"/>
  <c r="Z807" i="5"/>
  <c r="AI807" i="5" s="1"/>
  <c r="Y807" i="5"/>
  <c r="X807" i="5"/>
  <c r="W807" i="5"/>
  <c r="V807" i="5"/>
  <c r="AI806" i="5"/>
  <c r="AH806" i="5"/>
  <c r="AF806" i="5"/>
  <c r="AE806" i="5"/>
  <c r="AD806" i="5"/>
  <c r="AC806" i="5"/>
  <c r="AB806" i="5"/>
  <c r="AG806" i="5" s="1"/>
  <c r="AA806" i="5"/>
  <c r="Z806" i="5"/>
  <c r="Y806" i="5"/>
  <c r="X806" i="5"/>
  <c r="W806" i="5"/>
  <c r="V806" i="5"/>
  <c r="AH805" i="5"/>
  <c r="AF805" i="5"/>
  <c r="AE805" i="5"/>
  <c r="AD805" i="5"/>
  <c r="AC805" i="5"/>
  <c r="AB805" i="5"/>
  <c r="AG805" i="5" s="1"/>
  <c r="AA805" i="5"/>
  <c r="Z805" i="5"/>
  <c r="AI805" i="5" s="1"/>
  <c r="Y805" i="5"/>
  <c r="X805" i="5"/>
  <c r="W805" i="5"/>
  <c r="V805" i="5"/>
  <c r="AH804" i="5"/>
  <c r="AF804" i="5"/>
  <c r="AE804" i="5"/>
  <c r="AD804" i="5"/>
  <c r="AC804" i="5"/>
  <c r="AB804" i="5"/>
  <c r="AG804" i="5" s="1"/>
  <c r="AA804" i="5"/>
  <c r="Z804" i="5"/>
  <c r="AI804" i="5" s="1"/>
  <c r="Y804" i="5"/>
  <c r="X804" i="5"/>
  <c r="W804" i="5"/>
  <c r="V804" i="5"/>
  <c r="AH803" i="5"/>
  <c r="AF803" i="5"/>
  <c r="AE803" i="5"/>
  <c r="AD803" i="5"/>
  <c r="AC803" i="5"/>
  <c r="AB803" i="5"/>
  <c r="AG803" i="5" s="1"/>
  <c r="AA803" i="5"/>
  <c r="Z803" i="5"/>
  <c r="AI803" i="5" s="1"/>
  <c r="Y803" i="5"/>
  <c r="X803" i="5"/>
  <c r="W803" i="5"/>
  <c r="V803" i="5"/>
  <c r="AH802" i="5"/>
  <c r="AF802" i="5"/>
  <c r="AE802" i="5"/>
  <c r="AD802" i="5"/>
  <c r="AC802" i="5"/>
  <c r="AB802" i="5"/>
  <c r="AG802" i="5" s="1"/>
  <c r="AA802" i="5"/>
  <c r="Z802" i="5"/>
  <c r="AI802" i="5" s="1"/>
  <c r="Y802" i="5"/>
  <c r="X802" i="5"/>
  <c r="W802" i="5"/>
  <c r="V802" i="5"/>
  <c r="AH801" i="5"/>
  <c r="AF801" i="5"/>
  <c r="AE801" i="5"/>
  <c r="AD801" i="5"/>
  <c r="AC801" i="5"/>
  <c r="AB801" i="5"/>
  <c r="AG801" i="5" s="1"/>
  <c r="AA801" i="5"/>
  <c r="Z801" i="5"/>
  <c r="AI801" i="5" s="1"/>
  <c r="Y801" i="5"/>
  <c r="X801" i="5"/>
  <c r="W801" i="5"/>
  <c r="V801" i="5"/>
  <c r="AI800" i="5"/>
  <c r="AH800" i="5"/>
  <c r="AF800" i="5"/>
  <c r="AE800" i="5"/>
  <c r="AD800" i="5"/>
  <c r="AC800" i="5"/>
  <c r="AB800" i="5"/>
  <c r="AG800" i="5" s="1"/>
  <c r="AA800" i="5"/>
  <c r="Z800" i="5"/>
  <c r="Y800" i="5"/>
  <c r="X800" i="5"/>
  <c r="W800" i="5"/>
  <c r="V800" i="5"/>
  <c r="AH799" i="5"/>
  <c r="AF799" i="5"/>
  <c r="AE799" i="5"/>
  <c r="AD799" i="5"/>
  <c r="AC799" i="5"/>
  <c r="AB799" i="5"/>
  <c r="AG799" i="5" s="1"/>
  <c r="AA799" i="5"/>
  <c r="Z799" i="5"/>
  <c r="AI799" i="5" s="1"/>
  <c r="Y799" i="5"/>
  <c r="X799" i="5"/>
  <c r="W799" i="5"/>
  <c r="V799" i="5"/>
  <c r="AH798" i="5"/>
  <c r="AF798" i="5"/>
  <c r="AE798" i="5"/>
  <c r="AD798" i="5"/>
  <c r="AC798" i="5"/>
  <c r="AB798" i="5"/>
  <c r="AG798" i="5" s="1"/>
  <c r="AA798" i="5"/>
  <c r="Z798" i="5"/>
  <c r="AI798" i="5" s="1"/>
  <c r="Y798" i="5"/>
  <c r="X798" i="5"/>
  <c r="W798" i="5"/>
  <c r="V798" i="5"/>
  <c r="AH797" i="5"/>
  <c r="AF797" i="5"/>
  <c r="AE797" i="5"/>
  <c r="AD797" i="5"/>
  <c r="AC797" i="5"/>
  <c r="AB797" i="5"/>
  <c r="AG797" i="5" s="1"/>
  <c r="AA797" i="5"/>
  <c r="Z797" i="5"/>
  <c r="AI797" i="5" s="1"/>
  <c r="Y797" i="5"/>
  <c r="X797" i="5"/>
  <c r="W797" i="5"/>
  <c r="V797" i="5"/>
  <c r="AH796" i="5"/>
  <c r="AF796" i="5"/>
  <c r="AE796" i="5"/>
  <c r="AD796" i="5"/>
  <c r="AC796" i="5"/>
  <c r="AB796" i="5"/>
  <c r="AG796" i="5" s="1"/>
  <c r="AA796" i="5"/>
  <c r="Z796" i="5"/>
  <c r="AI796" i="5" s="1"/>
  <c r="Y796" i="5"/>
  <c r="X796" i="5"/>
  <c r="W796" i="5"/>
  <c r="V796" i="5"/>
  <c r="AH795" i="5"/>
  <c r="AF795" i="5"/>
  <c r="AE795" i="5"/>
  <c r="AD795" i="5"/>
  <c r="AC795" i="5"/>
  <c r="AB795" i="5"/>
  <c r="AG795" i="5" s="1"/>
  <c r="AA795" i="5"/>
  <c r="Z795" i="5"/>
  <c r="AI795" i="5" s="1"/>
  <c r="Y795" i="5"/>
  <c r="X795" i="5"/>
  <c r="W795" i="5"/>
  <c r="V795" i="5"/>
  <c r="AH794" i="5"/>
  <c r="AG794" i="5"/>
  <c r="AF794" i="5"/>
  <c r="AE794" i="5"/>
  <c r="AD794" i="5"/>
  <c r="AC794" i="5"/>
  <c r="AB794" i="5"/>
  <c r="AA794" i="5"/>
  <c r="Z794" i="5"/>
  <c r="AI794" i="5" s="1"/>
  <c r="Y794" i="5"/>
  <c r="X794" i="5"/>
  <c r="W794" i="5"/>
  <c r="V794" i="5"/>
  <c r="AH793" i="5"/>
  <c r="AF793" i="5"/>
  <c r="AE793" i="5"/>
  <c r="AD793" i="5"/>
  <c r="AC793" i="5"/>
  <c r="AB793" i="5"/>
  <c r="AG793" i="5" s="1"/>
  <c r="AA793" i="5"/>
  <c r="Z793" i="5"/>
  <c r="AI793" i="5" s="1"/>
  <c r="Y793" i="5"/>
  <c r="X793" i="5"/>
  <c r="W793" i="5"/>
  <c r="V793" i="5"/>
  <c r="AH792" i="5"/>
  <c r="AF792" i="5"/>
  <c r="AE792" i="5"/>
  <c r="AD792" i="5"/>
  <c r="AC792" i="5"/>
  <c r="AB792" i="5"/>
  <c r="AG792" i="5" s="1"/>
  <c r="AA792" i="5"/>
  <c r="Z792" i="5"/>
  <c r="AI792" i="5" s="1"/>
  <c r="Y792" i="5"/>
  <c r="X792" i="5"/>
  <c r="W792" i="5"/>
  <c r="V792" i="5"/>
  <c r="AH791" i="5"/>
  <c r="AF791" i="5"/>
  <c r="AE791" i="5"/>
  <c r="AD791" i="5"/>
  <c r="AC791" i="5"/>
  <c r="AB791" i="5"/>
  <c r="AG791" i="5" s="1"/>
  <c r="AA791" i="5"/>
  <c r="Z791" i="5"/>
  <c r="AI791" i="5" s="1"/>
  <c r="Y791" i="5"/>
  <c r="X791" i="5"/>
  <c r="W791" i="5"/>
  <c r="V791" i="5"/>
  <c r="AH790" i="5"/>
  <c r="AF790" i="5"/>
  <c r="AE790" i="5"/>
  <c r="AD790" i="5"/>
  <c r="AC790" i="5"/>
  <c r="AB790" i="5"/>
  <c r="AG790" i="5" s="1"/>
  <c r="AA790" i="5"/>
  <c r="Z790" i="5"/>
  <c r="AI790" i="5" s="1"/>
  <c r="Y790" i="5"/>
  <c r="X790" i="5"/>
  <c r="W790" i="5"/>
  <c r="V790" i="5"/>
  <c r="AH789" i="5"/>
  <c r="AF789" i="5"/>
  <c r="AE789" i="5"/>
  <c r="AD789" i="5"/>
  <c r="AC789" i="5"/>
  <c r="AB789" i="5"/>
  <c r="AG789" i="5" s="1"/>
  <c r="AA789" i="5"/>
  <c r="Z789" i="5"/>
  <c r="AI789" i="5" s="1"/>
  <c r="Y789" i="5"/>
  <c r="X789" i="5"/>
  <c r="W789" i="5"/>
  <c r="V789" i="5"/>
  <c r="AH788" i="5"/>
  <c r="AF788" i="5"/>
  <c r="AE788" i="5"/>
  <c r="AD788" i="5"/>
  <c r="AC788" i="5"/>
  <c r="AB788" i="5"/>
  <c r="AG788" i="5" s="1"/>
  <c r="AA788" i="5"/>
  <c r="Z788" i="5"/>
  <c r="AI788" i="5" s="1"/>
  <c r="Y788" i="5"/>
  <c r="X788" i="5"/>
  <c r="W788" i="5"/>
  <c r="V788" i="5"/>
  <c r="AH787" i="5"/>
  <c r="AF787" i="5"/>
  <c r="AE787" i="5"/>
  <c r="AD787" i="5"/>
  <c r="AC787" i="5"/>
  <c r="AB787" i="5"/>
  <c r="AG787" i="5" s="1"/>
  <c r="AA787" i="5"/>
  <c r="Z787" i="5"/>
  <c r="AI787" i="5" s="1"/>
  <c r="Y787" i="5"/>
  <c r="X787" i="5"/>
  <c r="W787" i="5"/>
  <c r="V787" i="5"/>
  <c r="AI786" i="5"/>
  <c r="AH786" i="5"/>
  <c r="AG786" i="5"/>
  <c r="AF786" i="5"/>
  <c r="AE786" i="5"/>
  <c r="AD786" i="5"/>
  <c r="AC786" i="5"/>
  <c r="AB786" i="5"/>
  <c r="AA786" i="5"/>
  <c r="Z786" i="5"/>
  <c r="Y786" i="5"/>
  <c r="X786" i="5"/>
  <c r="W786" i="5"/>
  <c r="V786" i="5"/>
  <c r="AI785" i="5"/>
  <c r="AH785" i="5"/>
  <c r="AF785" i="5"/>
  <c r="AE785" i="5"/>
  <c r="AD785" i="5"/>
  <c r="AC785" i="5"/>
  <c r="AB785" i="5"/>
  <c r="AG785" i="5" s="1"/>
  <c r="AA785" i="5"/>
  <c r="Z785" i="5"/>
  <c r="Y785" i="5"/>
  <c r="X785" i="5"/>
  <c r="W785" i="5"/>
  <c r="V785" i="5"/>
  <c r="AH784" i="5"/>
  <c r="AF784" i="5"/>
  <c r="AE784" i="5"/>
  <c r="AD784" i="5"/>
  <c r="AC784" i="5"/>
  <c r="AB784" i="5"/>
  <c r="AG784" i="5" s="1"/>
  <c r="AA784" i="5"/>
  <c r="Z784" i="5"/>
  <c r="AI784" i="5" s="1"/>
  <c r="Y784" i="5"/>
  <c r="X784" i="5"/>
  <c r="W784" i="5"/>
  <c r="V784" i="5"/>
  <c r="AH783" i="5"/>
  <c r="AF783" i="5"/>
  <c r="AE783" i="5"/>
  <c r="AD783" i="5"/>
  <c r="AC783" i="5"/>
  <c r="AB783" i="5"/>
  <c r="AG783" i="5" s="1"/>
  <c r="AA783" i="5"/>
  <c r="Z783" i="5"/>
  <c r="AI783" i="5" s="1"/>
  <c r="Y783" i="5"/>
  <c r="X783" i="5"/>
  <c r="W783" i="5"/>
  <c r="V783" i="5"/>
  <c r="AH782" i="5"/>
  <c r="AF782" i="5"/>
  <c r="AE782" i="5"/>
  <c r="AD782" i="5"/>
  <c r="AC782" i="5"/>
  <c r="AB782" i="5"/>
  <c r="AG782" i="5" s="1"/>
  <c r="AA782" i="5"/>
  <c r="Z782" i="5"/>
  <c r="AI782" i="5" s="1"/>
  <c r="Y782" i="5"/>
  <c r="X782" i="5"/>
  <c r="W782" i="5"/>
  <c r="V782" i="5"/>
  <c r="AH781" i="5"/>
  <c r="AF781" i="5"/>
  <c r="AE781" i="5"/>
  <c r="AD781" i="5"/>
  <c r="AC781" i="5"/>
  <c r="AB781" i="5"/>
  <c r="AG781" i="5" s="1"/>
  <c r="AA781" i="5"/>
  <c r="Z781" i="5"/>
  <c r="AI781" i="5" s="1"/>
  <c r="Y781" i="5"/>
  <c r="X781" i="5"/>
  <c r="W781" i="5"/>
  <c r="V781" i="5"/>
  <c r="AH780" i="5"/>
  <c r="AF780" i="5"/>
  <c r="AE780" i="5"/>
  <c r="AD780" i="5"/>
  <c r="AC780" i="5"/>
  <c r="AB780" i="5"/>
  <c r="AG780" i="5" s="1"/>
  <c r="AA780" i="5"/>
  <c r="Z780" i="5"/>
  <c r="AI780" i="5" s="1"/>
  <c r="Y780" i="5"/>
  <c r="X780" i="5"/>
  <c r="W780" i="5"/>
  <c r="V780" i="5"/>
  <c r="AI779" i="5"/>
  <c r="AH779" i="5"/>
  <c r="AF779" i="5"/>
  <c r="AE779" i="5"/>
  <c r="AD779" i="5"/>
  <c r="AC779" i="5"/>
  <c r="AB779" i="5"/>
  <c r="AG779" i="5" s="1"/>
  <c r="AA779" i="5"/>
  <c r="Z779" i="5"/>
  <c r="Y779" i="5"/>
  <c r="X779" i="5"/>
  <c r="W779" i="5"/>
  <c r="V779" i="5"/>
  <c r="AI778" i="5"/>
  <c r="AH778" i="5"/>
  <c r="AF778" i="5"/>
  <c r="AE778" i="5"/>
  <c r="AD778" i="5"/>
  <c r="AC778" i="5"/>
  <c r="AB778" i="5"/>
  <c r="AG778" i="5" s="1"/>
  <c r="AA778" i="5"/>
  <c r="Z778" i="5"/>
  <c r="Y778" i="5"/>
  <c r="X778" i="5"/>
  <c r="W778" i="5"/>
  <c r="V778" i="5"/>
  <c r="AH777" i="5"/>
  <c r="AF777" i="5"/>
  <c r="AE777" i="5"/>
  <c r="AD777" i="5"/>
  <c r="AC777" i="5"/>
  <c r="AB777" i="5"/>
  <c r="AG777" i="5" s="1"/>
  <c r="AA777" i="5"/>
  <c r="Z777" i="5"/>
  <c r="AI777" i="5" s="1"/>
  <c r="Y777" i="5"/>
  <c r="X777" i="5"/>
  <c r="W777" i="5"/>
  <c r="V777" i="5"/>
  <c r="AH776" i="5"/>
  <c r="AF776" i="5"/>
  <c r="AE776" i="5"/>
  <c r="AD776" i="5"/>
  <c r="AC776" i="5"/>
  <c r="AB776" i="5"/>
  <c r="AG776" i="5" s="1"/>
  <c r="AA776" i="5"/>
  <c r="Z776" i="5"/>
  <c r="AI776" i="5" s="1"/>
  <c r="Y776" i="5"/>
  <c r="X776" i="5"/>
  <c r="W776" i="5"/>
  <c r="V776" i="5"/>
  <c r="AH775" i="5"/>
  <c r="AF775" i="5"/>
  <c r="AE775" i="5"/>
  <c r="AD775" i="5"/>
  <c r="AC775" i="5"/>
  <c r="AB775" i="5"/>
  <c r="AG775" i="5" s="1"/>
  <c r="AA775" i="5"/>
  <c r="Z775" i="5"/>
  <c r="AI775" i="5" s="1"/>
  <c r="Y775" i="5"/>
  <c r="X775" i="5"/>
  <c r="W775" i="5"/>
  <c r="V775" i="5"/>
  <c r="AH774" i="5"/>
  <c r="AF774" i="5"/>
  <c r="AE774" i="5"/>
  <c r="AD774" i="5"/>
  <c r="AC774" i="5"/>
  <c r="AB774" i="5"/>
  <c r="AG774" i="5" s="1"/>
  <c r="AA774" i="5"/>
  <c r="Z774" i="5"/>
  <c r="AI774" i="5" s="1"/>
  <c r="Y774" i="5"/>
  <c r="X774" i="5"/>
  <c r="W774" i="5"/>
  <c r="V774" i="5"/>
  <c r="AH773" i="5"/>
  <c r="AG773" i="5"/>
  <c r="AF773" i="5"/>
  <c r="AE773" i="5"/>
  <c r="AD773" i="5"/>
  <c r="AC773" i="5"/>
  <c r="AB773" i="5"/>
  <c r="AA773" i="5"/>
  <c r="Z773" i="5"/>
  <c r="AI773" i="5" s="1"/>
  <c r="Y773" i="5"/>
  <c r="X773" i="5"/>
  <c r="W773" i="5"/>
  <c r="V773" i="5"/>
  <c r="AI772" i="5"/>
  <c r="AH772" i="5"/>
  <c r="AF772" i="5"/>
  <c r="AE772" i="5"/>
  <c r="AD772" i="5"/>
  <c r="AC772" i="5"/>
  <c r="AB772" i="5"/>
  <c r="AG772" i="5" s="1"/>
  <c r="AA772" i="5"/>
  <c r="Z772" i="5"/>
  <c r="Y772" i="5"/>
  <c r="X772" i="5"/>
  <c r="W772" i="5"/>
  <c r="V772" i="5"/>
  <c r="AH771" i="5"/>
  <c r="AF771" i="5"/>
  <c r="AE771" i="5"/>
  <c r="AD771" i="5"/>
  <c r="AC771" i="5"/>
  <c r="AB771" i="5"/>
  <c r="AG771" i="5" s="1"/>
  <c r="AA771" i="5"/>
  <c r="Z771" i="5"/>
  <c r="AI771" i="5" s="1"/>
  <c r="Y771" i="5"/>
  <c r="X771" i="5"/>
  <c r="W771" i="5"/>
  <c r="V771" i="5"/>
  <c r="AH770" i="5"/>
  <c r="AF770" i="5"/>
  <c r="AE770" i="5"/>
  <c r="AD770" i="5"/>
  <c r="AC770" i="5"/>
  <c r="AB770" i="5"/>
  <c r="AG770" i="5" s="1"/>
  <c r="AA770" i="5"/>
  <c r="Z770" i="5"/>
  <c r="AI770" i="5" s="1"/>
  <c r="Y770" i="5"/>
  <c r="X770" i="5"/>
  <c r="W770" i="5"/>
  <c r="V770" i="5"/>
  <c r="AH769" i="5"/>
  <c r="AF769" i="5"/>
  <c r="AE769" i="5"/>
  <c r="AD769" i="5"/>
  <c r="AC769" i="5"/>
  <c r="AB769" i="5"/>
  <c r="AG769" i="5" s="1"/>
  <c r="AA769" i="5"/>
  <c r="Z769" i="5"/>
  <c r="AI769" i="5" s="1"/>
  <c r="Y769" i="5"/>
  <c r="X769" i="5"/>
  <c r="W769" i="5"/>
  <c r="V769" i="5"/>
  <c r="AH768" i="5"/>
  <c r="AF768" i="5"/>
  <c r="AE768" i="5"/>
  <c r="AD768" i="5"/>
  <c r="AC768" i="5"/>
  <c r="AB768" i="5"/>
  <c r="AG768" i="5" s="1"/>
  <c r="AA768" i="5"/>
  <c r="Z768" i="5"/>
  <c r="AI768" i="5" s="1"/>
  <c r="Y768" i="5"/>
  <c r="X768" i="5"/>
  <c r="W768" i="5"/>
  <c r="V768" i="5"/>
  <c r="AH767" i="5"/>
  <c r="AF767" i="5"/>
  <c r="AE767" i="5"/>
  <c r="AD767" i="5"/>
  <c r="AC767" i="5"/>
  <c r="AB767" i="5"/>
  <c r="AG767" i="5" s="1"/>
  <c r="AA767" i="5"/>
  <c r="Z767" i="5"/>
  <c r="AI767" i="5" s="1"/>
  <c r="Y767" i="5"/>
  <c r="X767" i="5"/>
  <c r="W767" i="5"/>
  <c r="V767" i="5"/>
  <c r="AH766" i="5"/>
  <c r="AF766" i="5"/>
  <c r="AE766" i="5"/>
  <c r="AD766" i="5"/>
  <c r="AC766" i="5"/>
  <c r="AB766" i="5"/>
  <c r="AG766" i="5" s="1"/>
  <c r="AA766" i="5"/>
  <c r="Z766" i="5"/>
  <c r="AI766" i="5" s="1"/>
  <c r="Y766" i="5"/>
  <c r="X766" i="5"/>
  <c r="W766" i="5"/>
  <c r="V766" i="5"/>
  <c r="AH765" i="5"/>
  <c r="AF765" i="5"/>
  <c r="AE765" i="5"/>
  <c r="AD765" i="5"/>
  <c r="AC765" i="5"/>
  <c r="AB765" i="5"/>
  <c r="AG765" i="5" s="1"/>
  <c r="AA765" i="5"/>
  <c r="Z765" i="5"/>
  <c r="AI765" i="5" s="1"/>
  <c r="Y765" i="5"/>
  <c r="X765" i="5"/>
  <c r="W765" i="5"/>
  <c r="V765" i="5"/>
  <c r="AI764" i="5"/>
  <c r="AH764" i="5"/>
  <c r="AF764" i="5"/>
  <c r="AE764" i="5"/>
  <c r="AD764" i="5"/>
  <c r="AC764" i="5"/>
  <c r="AB764" i="5"/>
  <c r="AG764" i="5" s="1"/>
  <c r="AA764" i="5"/>
  <c r="Z764" i="5"/>
  <c r="Y764" i="5"/>
  <c r="X764" i="5"/>
  <c r="W764" i="5"/>
  <c r="V764" i="5"/>
  <c r="AI763" i="5"/>
  <c r="AH763" i="5"/>
  <c r="AF763" i="5"/>
  <c r="AE763" i="5"/>
  <c r="AD763" i="5"/>
  <c r="AC763" i="5"/>
  <c r="AB763" i="5"/>
  <c r="AG763" i="5" s="1"/>
  <c r="AA763" i="5"/>
  <c r="Z763" i="5"/>
  <c r="Y763" i="5"/>
  <c r="X763" i="5"/>
  <c r="W763" i="5"/>
  <c r="V763" i="5"/>
  <c r="AH762" i="5"/>
  <c r="AF762" i="5"/>
  <c r="AE762" i="5"/>
  <c r="AD762" i="5"/>
  <c r="AC762" i="5"/>
  <c r="AB762" i="5"/>
  <c r="AG762" i="5" s="1"/>
  <c r="AA762" i="5"/>
  <c r="Z762" i="5"/>
  <c r="AI762" i="5" s="1"/>
  <c r="Y762" i="5"/>
  <c r="X762" i="5"/>
  <c r="W762" i="5"/>
  <c r="V762" i="5"/>
  <c r="AH761" i="5"/>
  <c r="AF761" i="5"/>
  <c r="AE761" i="5"/>
  <c r="AD761" i="5"/>
  <c r="AC761" i="5"/>
  <c r="AB761" i="5"/>
  <c r="AG761" i="5" s="1"/>
  <c r="AA761" i="5"/>
  <c r="Z761" i="5"/>
  <c r="AI761" i="5" s="1"/>
  <c r="Y761" i="5"/>
  <c r="X761" i="5"/>
  <c r="W761" i="5"/>
  <c r="V761" i="5"/>
  <c r="AH760" i="5"/>
  <c r="AF760" i="5"/>
  <c r="AE760" i="5"/>
  <c r="AD760" i="5"/>
  <c r="AC760" i="5"/>
  <c r="AB760" i="5"/>
  <c r="AG760" i="5" s="1"/>
  <c r="AA760" i="5"/>
  <c r="Z760" i="5"/>
  <c r="AI760" i="5" s="1"/>
  <c r="Y760" i="5"/>
  <c r="X760" i="5"/>
  <c r="W760" i="5"/>
  <c r="V760" i="5"/>
  <c r="AH759" i="5"/>
  <c r="AF759" i="5"/>
  <c r="AE759" i="5"/>
  <c r="AD759" i="5"/>
  <c r="AC759" i="5"/>
  <c r="AB759" i="5"/>
  <c r="AG759" i="5" s="1"/>
  <c r="AA759" i="5"/>
  <c r="Z759" i="5"/>
  <c r="AI759" i="5" s="1"/>
  <c r="Y759" i="5"/>
  <c r="X759" i="5"/>
  <c r="W759" i="5"/>
  <c r="V759" i="5"/>
  <c r="AH758" i="5"/>
  <c r="AF758" i="5"/>
  <c r="AE758" i="5"/>
  <c r="AD758" i="5"/>
  <c r="AC758" i="5"/>
  <c r="AB758" i="5"/>
  <c r="AG758" i="5" s="1"/>
  <c r="AA758" i="5"/>
  <c r="Z758" i="5"/>
  <c r="AI758" i="5" s="1"/>
  <c r="Y758" i="5"/>
  <c r="X758" i="5"/>
  <c r="W758" i="5"/>
  <c r="V758" i="5"/>
  <c r="AH757" i="5"/>
  <c r="AG757" i="5"/>
  <c r="AF757" i="5"/>
  <c r="AE757" i="5"/>
  <c r="AD757" i="5"/>
  <c r="AC757" i="5"/>
  <c r="AB757" i="5"/>
  <c r="AA757" i="5"/>
  <c r="Z757" i="5"/>
  <c r="AI757" i="5" s="1"/>
  <c r="Y757" i="5"/>
  <c r="X757" i="5"/>
  <c r="W757" i="5"/>
  <c r="V757" i="5"/>
  <c r="AI756" i="5"/>
  <c r="AH756" i="5"/>
  <c r="AF756" i="5"/>
  <c r="AE756" i="5"/>
  <c r="AD756" i="5"/>
  <c r="AC756" i="5"/>
  <c r="AB756" i="5"/>
  <c r="AG756" i="5" s="1"/>
  <c r="AA756" i="5"/>
  <c r="Z756" i="5"/>
  <c r="Y756" i="5"/>
  <c r="X756" i="5"/>
  <c r="W756" i="5"/>
  <c r="V756" i="5"/>
  <c r="AH755" i="5"/>
  <c r="AF755" i="5"/>
  <c r="AE755" i="5"/>
  <c r="AD755" i="5"/>
  <c r="AC755" i="5"/>
  <c r="AB755" i="5"/>
  <c r="AG755" i="5" s="1"/>
  <c r="AA755" i="5"/>
  <c r="Z755" i="5"/>
  <c r="AI755" i="5" s="1"/>
  <c r="Y755" i="5"/>
  <c r="X755" i="5"/>
  <c r="W755" i="5"/>
  <c r="V755" i="5"/>
  <c r="AH754" i="5"/>
  <c r="AF754" i="5"/>
  <c r="AE754" i="5"/>
  <c r="AD754" i="5"/>
  <c r="AC754" i="5"/>
  <c r="AB754" i="5"/>
  <c r="AG754" i="5" s="1"/>
  <c r="AA754" i="5"/>
  <c r="Z754" i="5"/>
  <c r="AI754" i="5" s="1"/>
  <c r="Y754" i="5"/>
  <c r="X754" i="5"/>
  <c r="W754" i="5"/>
  <c r="V754" i="5"/>
  <c r="AH753" i="5"/>
  <c r="AF753" i="5"/>
  <c r="AE753" i="5"/>
  <c r="AD753" i="5"/>
  <c r="AC753" i="5"/>
  <c r="AB753" i="5"/>
  <c r="AG753" i="5" s="1"/>
  <c r="AA753" i="5"/>
  <c r="Z753" i="5"/>
  <c r="AI753" i="5" s="1"/>
  <c r="Y753" i="5"/>
  <c r="X753" i="5"/>
  <c r="W753" i="5"/>
  <c r="V753" i="5"/>
  <c r="AH752" i="5"/>
  <c r="AF752" i="5"/>
  <c r="AE752" i="5"/>
  <c r="AD752" i="5"/>
  <c r="AC752" i="5"/>
  <c r="AB752" i="5"/>
  <c r="AG752" i="5" s="1"/>
  <c r="AA752" i="5"/>
  <c r="Z752" i="5"/>
  <c r="AI752" i="5" s="1"/>
  <c r="Y752" i="5"/>
  <c r="X752" i="5"/>
  <c r="W752" i="5"/>
  <c r="V752" i="5"/>
  <c r="AH751" i="5"/>
  <c r="AF751" i="5"/>
  <c r="AE751" i="5"/>
  <c r="AD751" i="5"/>
  <c r="AC751" i="5"/>
  <c r="AB751" i="5"/>
  <c r="AG751" i="5" s="1"/>
  <c r="AA751" i="5"/>
  <c r="Z751" i="5"/>
  <c r="AI751" i="5" s="1"/>
  <c r="Y751" i="5"/>
  <c r="X751" i="5"/>
  <c r="W751" i="5"/>
  <c r="V751" i="5"/>
  <c r="AI750" i="5"/>
  <c r="AH750" i="5"/>
  <c r="AF750" i="5"/>
  <c r="AE750" i="5"/>
  <c r="AD750" i="5"/>
  <c r="AC750" i="5"/>
  <c r="AB750" i="5"/>
  <c r="AG750" i="5" s="1"/>
  <c r="AA750" i="5"/>
  <c r="Z750" i="5"/>
  <c r="Y750" i="5"/>
  <c r="X750" i="5"/>
  <c r="W750" i="5"/>
  <c r="V750" i="5"/>
  <c r="AI749" i="5"/>
  <c r="AH749" i="5"/>
  <c r="AF749" i="5"/>
  <c r="AE749" i="5"/>
  <c r="AD749" i="5"/>
  <c r="AC749" i="5"/>
  <c r="AB749" i="5"/>
  <c r="AG749" i="5" s="1"/>
  <c r="AA749" i="5"/>
  <c r="Z749" i="5"/>
  <c r="Y749" i="5"/>
  <c r="X749" i="5"/>
  <c r="W749" i="5"/>
  <c r="V749" i="5"/>
  <c r="AH748" i="5"/>
  <c r="AF748" i="5"/>
  <c r="AE748" i="5"/>
  <c r="AD748" i="5"/>
  <c r="AC748" i="5"/>
  <c r="AB748" i="5"/>
  <c r="AG748" i="5" s="1"/>
  <c r="AA748" i="5"/>
  <c r="Z748" i="5"/>
  <c r="AI748" i="5" s="1"/>
  <c r="Y748" i="5"/>
  <c r="X748" i="5"/>
  <c r="W748" i="5"/>
  <c r="V748" i="5"/>
  <c r="AH747" i="5"/>
  <c r="AF747" i="5"/>
  <c r="AE747" i="5"/>
  <c r="AD747" i="5"/>
  <c r="AC747" i="5"/>
  <c r="AB747" i="5"/>
  <c r="AG747" i="5" s="1"/>
  <c r="AA747" i="5"/>
  <c r="Z747" i="5"/>
  <c r="AI747" i="5" s="1"/>
  <c r="Y747" i="5"/>
  <c r="X747" i="5"/>
  <c r="W747" i="5"/>
  <c r="V747" i="5"/>
  <c r="AH746" i="5"/>
  <c r="AF746" i="5"/>
  <c r="AE746" i="5"/>
  <c r="AD746" i="5"/>
  <c r="AC746" i="5"/>
  <c r="AB746" i="5"/>
  <c r="AG746" i="5" s="1"/>
  <c r="AA746" i="5"/>
  <c r="Z746" i="5"/>
  <c r="AI746" i="5" s="1"/>
  <c r="Y746" i="5"/>
  <c r="X746" i="5"/>
  <c r="W746" i="5"/>
  <c r="V746" i="5"/>
  <c r="AH745" i="5"/>
  <c r="AF745" i="5"/>
  <c r="AE745" i="5"/>
  <c r="AD745" i="5"/>
  <c r="AC745" i="5"/>
  <c r="AB745" i="5"/>
  <c r="AG745" i="5" s="1"/>
  <c r="AA745" i="5"/>
  <c r="Z745" i="5"/>
  <c r="AI745" i="5" s="1"/>
  <c r="Y745" i="5"/>
  <c r="X745" i="5"/>
  <c r="W745" i="5"/>
  <c r="V745" i="5"/>
  <c r="AH744" i="5"/>
  <c r="AF744" i="5"/>
  <c r="AE744" i="5"/>
  <c r="AD744" i="5"/>
  <c r="AC744" i="5"/>
  <c r="AB744" i="5"/>
  <c r="AG744" i="5" s="1"/>
  <c r="AA744" i="5"/>
  <c r="Z744" i="5"/>
  <c r="AI744" i="5" s="1"/>
  <c r="Y744" i="5"/>
  <c r="X744" i="5"/>
  <c r="W744" i="5"/>
  <c r="V744" i="5"/>
  <c r="AH743" i="5"/>
  <c r="AG743" i="5"/>
  <c r="AF743" i="5"/>
  <c r="AE743" i="5"/>
  <c r="AD743" i="5"/>
  <c r="AC743" i="5"/>
  <c r="AB743" i="5"/>
  <c r="AA743" i="5"/>
  <c r="Z743" i="5"/>
  <c r="AI743" i="5" s="1"/>
  <c r="Y743" i="5"/>
  <c r="X743" i="5"/>
  <c r="W743" i="5"/>
  <c r="V743" i="5"/>
  <c r="AI742" i="5"/>
  <c r="AH742" i="5"/>
  <c r="AF742" i="5"/>
  <c r="AE742" i="5"/>
  <c r="AD742" i="5"/>
  <c r="AC742" i="5"/>
  <c r="AB742" i="5"/>
  <c r="AG742" i="5" s="1"/>
  <c r="AA742" i="5"/>
  <c r="Z742" i="5"/>
  <c r="Y742" i="5"/>
  <c r="X742" i="5"/>
  <c r="W742" i="5"/>
  <c r="V742" i="5"/>
  <c r="AH741" i="5"/>
  <c r="AF741" i="5"/>
  <c r="AE741" i="5"/>
  <c r="AD741" i="5"/>
  <c r="AC741" i="5"/>
  <c r="AB741" i="5"/>
  <c r="AG741" i="5" s="1"/>
  <c r="AA741" i="5"/>
  <c r="Z741" i="5"/>
  <c r="AI741" i="5" s="1"/>
  <c r="Y741" i="5"/>
  <c r="X741" i="5"/>
  <c r="W741" i="5"/>
  <c r="V741" i="5"/>
  <c r="AH740" i="5"/>
  <c r="AF740" i="5"/>
  <c r="AE740" i="5"/>
  <c r="AD740" i="5"/>
  <c r="AC740" i="5"/>
  <c r="AB740" i="5"/>
  <c r="AG740" i="5" s="1"/>
  <c r="AA740" i="5"/>
  <c r="Z740" i="5"/>
  <c r="AI740" i="5" s="1"/>
  <c r="Y740" i="5"/>
  <c r="X740" i="5"/>
  <c r="W740" i="5"/>
  <c r="V740" i="5"/>
  <c r="AH739" i="5"/>
  <c r="AF739" i="5"/>
  <c r="AE739" i="5"/>
  <c r="AD739" i="5"/>
  <c r="AC739" i="5"/>
  <c r="AB739" i="5"/>
  <c r="AG739" i="5" s="1"/>
  <c r="AA739" i="5"/>
  <c r="Z739" i="5"/>
  <c r="AI739" i="5" s="1"/>
  <c r="Y739" i="5"/>
  <c r="X739" i="5"/>
  <c r="W739" i="5"/>
  <c r="V739" i="5"/>
  <c r="AH738" i="5"/>
  <c r="AF738" i="5"/>
  <c r="AE738" i="5"/>
  <c r="AD738" i="5"/>
  <c r="AC738" i="5"/>
  <c r="AB738" i="5"/>
  <c r="AG738" i="5" s="1"/>
  <c r="AA738" i="5"/>
  <c r="Z738" i="5"/>
  <c r="AI738" i="5" s="1"/>
  <c r="Y738" i="5"/>
  <c r="X738" i="5"/>
  <c r="W738" i="5"/>
  <c r="V738" i="5"/>
  <c r="AH737" i="5"/>
  <c r="AF737" i="5"/>
  <c r="AE737" i="5"/>
  <c r="AD737" i="5"/>
  <c r="AC737" i="5"/>
  <c r="AB737" i="5"/>
  <c r="AG737" i="5" s="1"/>
  <c r="AA737" i="5"/>
  <c r="Z737" i="5"/>
  <c r="AI737" i="5" s="1"/>
  <c r="Y737" i="5"/>
  <c r="X737" i="5"/>
  <c r="W737" i="5"/>
  <c r="V737" i="5"/>
  <c r="AI736" i="5"/>
  <c r="AH736" i="5"/>
  <c r="AF736" i="5"/>
  <c r="AE736" i="5"/>
  <c r="AD736" i="5"/>
  <c r="AC736" i="5"/>
  <c r="AB736" i="5"/>
  <c r="AG736" i="5" s="1"/>
  <c r="AA736" i="5"/>
  <c r="Z736" i="5"/>
  <c r="Y736" i="5"/>
  <c r="X736" i="5"/>
  <c r="W736" i="5"/>
  <c r="V736" i="5"/>
  <c r="AH735" i="5"/>
  <c r="AF735" i="5"/>
  <c r="AE735" i="5"/>
  <c r="AD735" i="5"/>
  <c r="AC735" i="5"/>
  <c r="AB735" i="5"/>
  <c r="AG735" i="5" s="1"/>
  <c r="AA735" i="5"/>
  <c r="Z735" i="5"/>
  <c r="AI735" i="5" s="1"/>
  <c r="Y735" i="5"/>
  <c r="X735" i="5"/>
  <c r="W735" i="5"/>
  <c r="V735" i="5"/>
  <c r="AI734" i="5"/>
  <c r="AH734" i="5"/>
  <c r="AF734" i="5"/>
  <c r="AE734" i="5"/>
  <c r="AD734" i="5"/>
  <c r="AC734" i="5"/>
  <c r="AB734" i="5"/>
  <c r="AG734" i="5" s="1"/>
  <c r="AA734" i="5"/>
  <c r="Z734" i="5"/>
  <c r="Y734" i="5"/>
  <c r="X734" i="5"/>
  <c r="W734" i="5"/>
  <c r="V734" i="5"/>
  <c r="AH733" i="5"/>
  <c r="AF733" i="5"/>
  <c r="AE733" i="5"/>
  <c r="AD733" i="5"/>
  <c r="AC733" i="5"/>
  <c r="AB733" i="5"/>
  <c r="AG733" i="5" s="1"/>
  <c r="AA733" i="5"/>
  <c r="Z733" i="5"/>
  <c r="AI733" i="5" s="1"/>
  <c r="Y733" i="5"/>
  <c r="X733" i="5"/>
  <c r="W733" i="5"/>
  <c r="V733" i="5"/>
  <c r="AH732" i="5"/>
  <c r="AF732" i="5"/>
  <c r="AE732" i="5"/>
  <c r="AD732" i="5"/>
  <c r="AC732" i="5"/>
  <c r="AB732" i="5"/>
  <c r="AG732" i="5" s="1"/>
  <c r="AA732" i="5"/>
  <c r="Z732" i="5"/>
  <c r="AI732" i="5" s="1"/>
  <c r="Y732" i="5"/>
  <c r="X732" i="5"/>
  <c r="W732" i="5"/>
  <c r="V732" i="5"/>
  <c r="AH731" i="5"/>
  <c r="AF731" i="5"/>
  <c r="AE731" i="5"/>
  <c r="AD731" i="5"/>
  <c r="AC731" i="5"/>
  <c r="AB731" i="5"/>
  <c r="AG731" i="5" s="1"/>
  <c r="AA731" i="5"/>
  <c r="Z731" i="5"/>
  <c r="AI731" i="5" s="1"/>
  <c r="Y731" i="5"/>
  <c r="X731" i="5"/>
  <c r="W731" i="5"/>
  <c r="V731" i="5"/>
  <c r="AH730" i="5"/>
  <c r="AF730" i="5"/>
  <c r="AE730" i="5"/>
  <c r="AD730" i="5"/>
  <c r="AC730" i="5"/>
  <c r="AB730" i="5"/>
  <c r="AG730" i="5" s="1"/>
  <c r="AA730" i="5"/>
  <c r="Z730" i="5"/>
  <c r="AI730" i="5" s="1"/>
  <c r="Y730" i="5"/>
  <c r="X730" i="5"/>
  <c r="W730" i="5"/>
  <c r="V730" i="5"/>
  <c r="AH729" i="5"/>
  <c r="AG729" i="5"/>
  <c r="AF729" i="5"/>
  <c r="AE729" i="5"/>
  <c r="AD729" i="5"/>
  <c r="AC729" i="5"/>
  <c r="AB729" i="5"/>
  <c r="AA729" i="5"/>
  <c r="Z729" i="5"/>
  <c r="AI729" i="5" s="1"/>
  <c r="Y729" i="5"/>
  <c r="X729" i="5"/>
  <c r="W729" i="5"/>
  <c r="V729" i="5"/>
  <c r="AI728" i="5"/>
  <c r="AH728" i="5"/>
  <c r="AF728" i="5"/>
  <c r="AE728" i="5"/>
  <c r="AD728" i="5"/>
  <c r="AC728" i="5"/>
  <c r="AB728" i="5"/>
  <c r="AG728" i="5" s="1"/>
  <c r="AA728" i="5"/>
  <c r="Z728" i="5"/>
  <c r="Y728" i="5"/>
  <c r="X728" i="5"/>
  <c r="W728" i="5"/>
  <c r="V728" i="5"/>
  <c r="AH727" i="5"/>
  <c r="AF727" i="5"/>
  <c r="AE727" i="5"/>
  <c r="AD727" i="5"/>
  <c r="AC727" i="5"/>
  <c r="AB727" i="5"/>
  <c r="AG727" i="5" s="1"/>
  <c r="AA727" i="5"/>
  <c r="Z727" i="5"/>
  <c r="AI727" i="5" s="1"/>
  <c r="Y727" i="5"/>
  <c r="X727" i="5"/>
  <c r="W727" i="5"/>
  <c r="V727" i="5"/>
  <c r="AH726" i="5"/>
  <c r="AF726" i="5"/>
  <c r="AE726" i="5"/>
  <c r="AD726" i="5"/>
  <c r="AC726" i="5"/>
  <c r="AB726" i="5"/>
  <c r="AG726" i="5" s="1"/>
  <c r="AA726" i="5"/>
  <c r="Z726" i="5"/>
  <c r="AI726" i="5" s="1"/>
  <c r="Y726" i="5"/>
  <c r="X726" i="5"/>
  <c r="W726" i="5"/>
  <c r="V726" i="5"/>
  <c r="AH725" i="5"/>
  <c r="AF725" i="5"/>
  <c r="AE725" i="5"/>
  <c r="AD725" i="5"/>
  <c r="AC725" i="5"/>
  <c r="AB725" i="5"/>
  <c r="AG725" i="5" s="1"/>
  <c r="AA725" i="5"/>
  <c r="Z725" i="5"/>
  <c r="AI725" i="5" s="1"/>
  <c r="Y725" i="5"/>
  <c r="X725" i="5"/>
  <c r="W725" i="5"/>
  <c r="V725" i="5"/>
  <c r="AH724" i="5"/>
  <c r="AF724" i="5"/>
  <c r="AE724" i="5"/>
  <c r="AD724" i="5"/>
  <c r="AC724" i="5"/>
  <c r="AB724" i="5"/>
  <c r="AG724" i="5" s="1"/>
  <c r="AA724" i="5"/>
  <c r="Z724" i="5"/>
  <c r="AI724" i="5" s="1"/>
  <c r="Y724" i="5"/>
  <c r="X724" i="5"/>
  <c r="W724" i="5"/>
  <c r="V724" i="5"/>
  <c r="AI723" i="5"/>
  <c r="AH723" i="5"/>
  <c r="AF723" i="5"/>
  <c r="AE723" i="5"/>
  <c r="AD723" i="5"/>
  <c r="AC723" i="5"/>
  <c r="AB723" i="5"/>
  <c r="AG723" i="5" s="1"/>
  <c r="AA723" i="5"/>
  <c r="Z723" i="5"/>
  <c r="Y723" i="5"/>
  <c r="X723" i="5"/>
  <c r="W723" i="5"/>
  <c r="V723" i="5"/>
  <c r="AH722" i="5"/>
  <c r="AF722" i="5"/>
  <c r="AE722" i="5"/>
  <c r="AD722" i="5"/>
  <c r="AC722" i="5"/>
  <c r="AB722" i="5"/>
  <c r="AG722" i="5" s="1"/>
  <c r="AA722" i="5"/>
  <c r="Z722" i="5"/>
  <c r="AI722" i="5" s="1"/>
  <c r="Y722" i="5"/>
  <c r="X722" i="5"/>
  <c r="W722" i="5"/>
  <c r="V722" i="5"/>
  <c r="AI721" i="5"/>
  <c r="AH721" i="5"/>
  <c r="AF721" i="5"/>
  <c r="AE721" i="5"/>
  <c r="AD721" i="5"/>
  <c r="AC721" i="5"/>
  <c r="AB721" i="5"/>
  <c r="AG721" i="5" s="1"/>
  <c r="AA721" i="5"/>
  <c r="Z721" i="5"/>
  <c r="Y721" i="5"/>
  <c r="X721" i="5"/>
  <c r="W721" i="5"/>
  <c r="V721" i="5"/>
  <c r="AH720" i="5"/>
  <c r="AF720" i="5"/>
  <c r="AE720" i="5"/>
  <c r="AD720" i="5"/>
  <c r="AC720" i="5"/>
  <c r="AB720" i="5"/>
  <c r="AG720" i="5" s="1"/>
  <c r="AA720" i="5"/>
  <c r="Z720" i="5"/>
  <c r="AI720" i="5" s="1"/>
  <c r="Y720" i="5"/>
  <c r="X720" i="5"/>
  <c r="W720" i="5"/>
  <c r="V720" i="5"/>
  <c r="AH719" i="5"/>
  <c r="AF719" i="5"/>
  <c r="AE719" i="5"/>
  <c r="AD719" i="5"/>
  <c r="AC719" i="5"/>
  <c r="AB719" i="5"/>
  <c r="AG719" i="5" s="1"/>
  <c r="AA719" i="5"/>
  <c r="Z719" i="5"/>
  <c r="AI719" i="5" s="1"/>
  <c r="Y719" i="5"/>
  <c r="X719" i="5"/>
  <c r="W719" i="5"/>
  <c r="V719" i="5"/>
  <c r="AH718" i="5"/>
  <c r="AG718" i="5"/>
  <c r="AF718" i="5"/>
  <c r="AE718" i="5"/>
  <c r="AD718" i="5"/>
  <c r="AC718" i="5"/>
  <c r="AB718" i="5"/>
  <c r="AA718" i="5"/>
  <c r="Z718" i="5"/>
  <c r="AI718" i="5" s="1"/>
  <c r="Y718" i="5"/>
  <c r="X718" i="5"/>
  <c r="W718" i="5"/>
  <c r="V718" i="5"/>
  <c r="AH717" i="5"/>
  <c r="AF717" i="5"/>
  <c r="AE717" i="5"/>
  <c r="AD717" i="5"/>
  <c r="AC717" i="5"/>
  <c r="AB717" i="5"/>
  <c r="AG717" i="5" s="1"/>
  <c r="AA717" i="5"/>
  <c r="Z717" i="5"/>
  <c r="AI717" i="5" s="1"/>
  <c r="Y717" i="5"/>
  <c r="X717" i="5"/>
  <c r="W717" i="5"/>
  <c r="V717" i="5"/>
  <c r="AH716" i="5"/>
  <c r="AF716" i="5"/>
  <c r="AE716" i="5"/>
  <c r="AD716" i="5"/>
  <c r="AC716" i="5"/>
  <c r="AB716" i="5"/>
  <c r="AG716" i="5" s="1"/>
  <c r="AA716" i="5"/>
  <c r="Z716" i="5"/>
  <c r="AI716" i="5" s="1"/>
  <c r="Y716" i="5"/>
  <c r="X716" i="5"/>
  <c r="W716" i="5"/>
  <c r="V716" i="5"/>
  <c r="AI715" i="5"/>
  <c r="AH715" i="5"/>
  <c r="AF715" i="5"/>
  <c r="AE715" i="5"/>
  <c r="AD715" i="5"/>
  <c r="AC715" i="5"/>
  <c r="AB715" i="5"/>
  <c r="AG715" i="5" s="1"/>
  <c r="AA715" i="5"/>
  <c r="Z715" i="5"/>
  <c r="Y715" i="5"/>
  <c r="X715" i="5"/>
  <c r="W715" i="5"/>
  <c r="V715" i="5"/>
  <c r="AI714" i="5"/>
  <c r="AH714" i="5"/>
  <c r="AF714" i="5"/>
  <c r="AE714" i="5"/>
  <c r="AD714" i="5"/>
  <c r="AC714" i="5"/>
  <c r="AB714" i="5"/>
  <c r="AG714" i="5" s="1"/>
  <c r="AA714" i="5"/>
  <c r="Z714" i="5"/>
  <c r="Y714" i="5"/>
  <c r="X714" i="5"/>
  <c r="W714" i="5"/>
  <c r="V714" i="5"/>
  <c r="AH713" i="5"/>
  <c r="AF713" i="5"/>
  <c r="AE713" i="5"/>
  <c r="AD713" i="5"/>
  <c r="AC713" i="5"/>
  <c r="AB713" i="5"/>
  <c r="AG713" i="5" s="1"/>
  <c r="AA713" i="5"/>
  <c r="Z713" i="5"/>
  <c r="AI713" i="5" s="1"/>
  <c r="Y713" i="5"/>
  <c r="X713" i="5"/>
  <c r="W713" i="5"/>
  <c r="V713" i="5"/>
  <c r="AH712" i="5"/>
  <c r="AF712" i="5"/>
  <c r="AE712" i="5"/>
  <c r="AD712" i="5"/>
  <c r="AC712" i="5"/>
  <c r="AB712" i="5"/>
  <c r="AG712" i="5" s="1"/>
  <c r="AA712" i="5"/>
  <c r="Z712" i="5"/>
  <c r="AI712" i="5" s="1"/>
  <c r="Y712" i="5"/>
  <c r="X712" i="5"/>
  <c r="W712" i="5"/>
  <c r="V712" i="5"/>
  <c r="AH711" i="5"/>
  <c r="AF711" i="5"/>
  <c r="AE711" i="5"/>
  <c r="AD711" i="5"/>
  <c r="AC711" i="5"/>
  <c r="AB711" i="5"/>
  <c r="AG711" i="5" s="1"/>
  <c r="AA711" i="5"/>
  <c r="Z711" i="5"/>
  <c r="AI711" i="5" s="1"/>
  <c r="Y711" i="5"/>
  <c r="X711" i="5"/>
  <c r="W711" i="5"/>
  <c r="V711" i="5"/>
  <c r="AH710" i="5"/>
  <c r="AG710" i="5"/>
  <c r="AF710" i="5"/>
  <c r="AE710" i="5"/>
  <c r="AD710" i="5"/>
  <c r="AC710" i="5"/>
  <c r="AB710" i="5"/>
  <c r="AA710" i="5"/>
  <c r="Z710" i="5"/>
  <c r="AI710" i="5" s="1"/>
  <c r="Y710" i="5"/>
  <c r="X710" i="5"/>
  <c r="W710" i="5"/>
  <c r="V710" i="5"/>
  <c r="AH709" i="5"/>
  <c r="AF709" i="5"/>
  <c r="AE709" i="5"/>
  <c r="AD709" i="5"/>
  <c r="AC709" i="5"/>
  <c r="AB709" i="5"/>
  <c r="AG709" i="5" s="1"/>
  <c r="AA709" i="5"/>
  <c r="Z709" i="5"/>
  <c r="AI709" i="5" s="1"/>
  <c r="Y709" i="5"/>
  <c r="X709" i="5"/>
  <c r="W709" i="5"/>
  <c r="V709" i="5"/>
  <c r="AH708" i="5"/>
  <c r="AF708" i="5"/>
  <c r="AE708" i="5"/>
  <c r="AD708" i="5"/>
  <c r="AC708" i="5"/>
  <c r="AB708" i="5"/>
  <c r="AG708" i="5" s="1"/>
  <c r="AA708" i="5"/>
  <c r="Z708" i="5"/>
  <c r="AI708" i="5" s="1"/>
  <c r="Y708" i="5"/>
  <c r="X708" i="5"/>
  <c r="W708" i="5"/>
  <c r="V708" i="5"/>
  <c r="AH707" i="5"/>
  <c r="AF707" i="5"/>
  <c r="AE707" i="5"/>
  <c r="AD707" i="5"/>
  <c r="AC707" i="5"/>
  <c r="AB707" i="5"/>
  <c r="AG707" i="5" s="1"/>
  <c r="AA707" i="5"/>
  <c r="Z707" i="5"/>
  <c r="AI707" i="5" s="1"/>
  <c r="Y707" i="5"/>
  <c r="X707" i="5"/>
  <c r="W707" i="5"/>
  <c r="V707" i="5"/>
  <c r="AH706" i="5"/>
  <c r="AF706" i="5"/>
  <c r="AE706" i="5"/>
  <c r="AD706" i="5"/>
  <c r="AC706" i="5"/>
  <c r="AB706" i="5"/>
  <c r="AG706" i="5" s="1"/>
  <c r="AA706" i="5"/>
  <c r="Z706" i="5"/>
  <c r="AI706" i="5" s="1"/>
  <c r="Y706" i="5"/>
  <c r="X706" i="5"/>
  <c r="W706" i="5"/>
  <c r="V706" i="5"/>
  <c r="AI705" i="5"/>
  <c r="AH705" i="5"/>
  <c r="AF705" i="5"/>
  <c r="AE705" i="5"/>
  <c r="AD705" i="5"/>
  <c r="AC705" i="5"/>
  <c r="AB705" i="5"/>
  <c r="AG705" i="5" s="1"/>
  <c r="AA705" i="5"/>
  <c r="Z705" i="5"/>
  <c r="Y705" i="5"/>
  <c r="X705" i="5"/>
  <c r="W705" i="5"/>
  <c r="V705" i="5"/>
  <c r="AH704" i="5"/>
  <c r="AF704" i="5"/>
  <c r="AE704" i="5"/>
  <c r="AD704" i="5"/>
  <c r="AC704" i="5"/>
  <c r="AB704" i="5"/>
  <c r="AG704" i="5" s="1"/>
  <c r="AA704" i="5"/>
  <c r="Z704" i="5"/>
  <c r="AI704" i="5" s="1"/>
  <c r="Y704" i="5"/>
  <c r="X704" i="5"/>
  <c r="W704" i="5"/>
  <c r="V704" i="5"/>
  <c r="AH703" i="5"/>
  <c r="AF703" i="5"/>
  <c r="AE703" i="5"/>
  <c r="AD703" i="5"/>
  <c r="AC703" i="5"/>
  <c r="AB703" i="5"/>
  <c r="AG703" i="5" s="1"/>
  <c r="AA703" i="5"/>
  <c r="Z703" i="5"/>
  <c r="AI703" i="5" s="1"/>
  <c r="Y703" i="5"/>
  <c r="X703" i="5"/>
  <c r="W703" i="5"/>
  <c r="V703" i="5"/>
  <c r="AH702" i="5"/>
  <c r="AF702" i="5"/>
  <c r="AE702" i="5"/>
  <c r="AD702" i="5"/>
  <c r="AC702" i="5"/>
  <c r="AB702" i="5"/>
  <c r="AG702" i="5" s="1"/>
  <c r="AA702" i="5"/>
  <c r="Z702" i="5"/>
  <c r="AI702" i="5" s="1"/>
  <c r="Y702" i="5"/>
  <c r="X702" i="5"/>
  <c r="W702" i="5"/>
  <c r="V702" i="5"/>
  <c r="AH701" i="5"/>
  <c r="AF701" i="5"/>
  <c r="AE701" i="5"/>
  <c r="AD701" i="5"/>
  <c r="AC701" i="5"/>
  <c r="AB701" i="5"/>
  <c r="AG701" i="5" s="1"/>
  <c r="AA701" i="5"/>
  <c r="Z701" i="5"/>
  <c r="AI701" i="5" s="1"/>
  <c r="Y701" i="5"/>
  <c r="X701" i="5"/>
  <c r="W701" i="5"/>
  <c r="V701" i="5"/>
  <c r="AH700" i="5"/>
  <c r="AG700" i="5"/>
  <c r="AF700" i="5"/>
  <c r="AE700" i="5"/>
  <c r="AD700" i="5"/>
  <c r="AC700" i="5"/>
  <c r="AB700" i="5"/>
  <c r="AA700" i="5"/>
  <c r="Z700" i="5"/>
  <c r="AI700" i="5" s="1"/>
  <c r="Y700" i="5"/>
  <c r="X700" i="5"/>
  <c r="W700" i="5"/>
  <c r="V700" i="5"/>
  <c r="AH699" i="5"/>
  <c r="AF699" i="5"/>
  <c r="AE699" i="5"/>
  <c r="AD699" i="5"/>
  <c r="AC699" i="5"/>
  <c r="AB699" i="5"/>
  <c r="AG699" i="5" s="1"/>
  <c r="AA699" i="5"/>
  <c r="Z699" i="5"/>
  <c r="AI699" i="5" s="1"/>
  <c r="Y699" i="5"/>
  <c r="X699" i="5"/>
  <c r="W699" i="5"/>
  <c r="V699" i="5"/>
  <c r="AH698" i="5"/>
  <c r="AF698" i="5"/>
  <c r="AE698" i="5"/>
  <c r="AD698" i="5"/>
  <c r="AC698" i="5"/>
  <c r="AB698" i="5"/>
  <c r="AG698" i="5" s="1"/>
  <c r="AA698" i="5"/>
  <c r="Z698" i="5"/>
  <c r="AI698" i="5" s="1"/>
  <c r="Y698" i="5"/>
  <c r="X698" i="5"/>
  <c r="W698" i="5"/>
  <c r="V698" i="5"/>
  <c r="AI697" i="5"/>
  <c r="AH697" i="5"/>
  <c r="AF697" i="5"/>
  <c r="AE697" i="5"/>
  <c r="AD697" i="5"/>
  <c r="AC697" i="5"/>
  <c r="AB697" i="5"/>
  <c r="AG697" i="5" s="1"/>
  <c r="AA697" i="5"/>
  <c r="Z697" i="5"/>
  <c r="Y697" i="5"/>
  <c r="X697" i="5"/>
  <c r="W697" i="5"/>
  <c r="V697" i="5"/>
  <c r="AI696" i="5"/>
  <c r="AH696" i="5"/>
  <c r="AF696" i="5"/>
  <c r="AE696" i="5"/>
  <c r="AD696" i="5"/>
  <c r="AC696" i="5"/>
  <c r="AB696" i="5"/>
  <c r="AG696" i="5" s="1"/>
  <c r="AA696" i="5"/>
  <c r="Z696" i="5"/>
  <c r="Y696" i="5"/>
  <c r="X696" i="5"/>
  <c r="W696" i="5"/>
  <c r="V696" i="5"/>
  <c r="AH695" i="5"/>
  <c r="AF695" i="5"/>
  <c r="AE695" i="5"/>
  <c r="AD695" i="5"/>
  <c r="AC695" i="5"/>
  <c r="AB695" i="5"/>
  <c r="AG695" i="5" s="1"/>
  <c r="AA695" i="5"/>
  <c r="Z695" i="5"/>
  <c r="AI695" i="5" s="1"/>
  <c r="Y695" i="5"/>
  <c r="X695" i="5"/>
  <c r="W695" i="5"/>
  <c r="V695" i="5"/>
  <c r="AH694" i="5"/>
  <c r="AF694" i="5"/>
  <c r="AE694" i="5"/>
  <c r="AD694" i="5"/>
  <c r="AC694" i="5"/>
  <c r="AB694" i="5"/>
  <c r="AG694" i="5" s="1"/>
  <c r="AA694" i="5"/>
  <c r="Z694" i="5"/>
  <c r="AI694" i="5" s="1"/>
  <c r="Y694" i="5"/>
  <c r="X694" i="5"/>
  <c r="W694" i="5"/>
  <c r="V694" i="5"/>
  <c r="AH693" i="5"/>
  <c r="AF693" i="5"/>
  <c r="AE693" i="5"/>
  <c r="AD693" i="5"/>
  <c r="AC693" i="5"/>
  <c r="AB693" i="5"/>
  <c r="AG693" i="5" s="1"/>
  <c r="AA693" i="5"/>
  <c r="Z693" i="5"/>
  <c r="AI693" i="5" s="1"/>
  <c r="Y693" i="5"/>
  <c r="X693" i="5"/>
  <c r="W693" i="5"/>
  <c r="V693" i="5"/>
  <c r="AH692" i="5"/>
  <c r="AG692" i="5"/>
  <c r="AF692" i="5"/>
  <c r="AE692" i="5"/>
  <c r="AD692" i="5"/>
  <c r="AC692" i="5"/>
  <c r="AB692" i="5"/>
  <c r="AA692" i="5"/>
  <c r="Z692" i="5"/>
  <c r="AI692" i="5" s="1"/>
  <c r="Y692" i="5"/>
  <c r="X692" i="5"/>
  <c r="W692" i="5"/>
  <c r="V692" i="5"/>
  <c r="AH691" i="5"/>
  <c r="AF691" i="5"/>
  <c r="AE691" i="5"/>
  <c r="AD691" i="5"/>
  <c r="AC691" i="5"/>
  <c r="AB691" i="5"/>
  <c r="AG691" i="5" s="1"/>
  <c r="AA691" i="5"/>
  <c r="Z691" i="5"/>
  <c r="AI691" i="5" s="1"/>
  <c r="Y691" i="5"/>
  <c r="X691" i="5"/>
  <c r="W691" i="5"/>
  <c r="V691" i="5"/>
  <c r="AH690" i="5"/>
  <c r="AF690" i="5"/>
  <c r="AE690" i="5"/>
  <c r="AD690" i="5"/>
  <c r="AC690" i="5"/>
  <c r="AB690" i="5"/>
  <c r="AG690" i="5" s="1"/>
  <c r="AA690" i="5"/>
  <c r="Z690" i="5"/>
  <c r="AI690" i="5" s="1"/>
  <c r="Y690" i="5"/>
  <c r="X690" i="5"/>
  <c r="W690" i="5"/>
  <c r="V690" i="5"/>
  <c r="AH689" i="5"/>
  <c r="AF689" i="5"/>
  <c r="AE689" i="5"/>
  <c r="AD689" i="5"/>
  <c r="AC689" i="5"/>
  <c r="AB689" i="5"/>
  <c r="AG689" i="5" s="1"/>
  <c r="AA689" i="5"/>
  <c r="Z689" i="5"/>
  <c r="AI689" i="5" s="1"/>
  <c r="Y689" i="5"/>
  <c r="X689" i="5"/>
  <c r="W689" i="5"/>
  <c r="V689" i="5"/>
  <c r="AH688" i="5"/>
  <c r="AF688" i="5"/>
  <c r="AE688" i="5"/>
  <c r="AD688" i="5"/>
  <c r="AC688" i="5"/>
  <c r="AB688" i="5"/>
  <c r="AG688" i="5" s="1"/>
  <c r="AA688" i="5"/>
  <c r="Z688" i="5"/>
  <c r="AI688" i="5" s="1"/>
  <c r="Y688" i="5"/>
  <c r="X688" i="5"/>
  <c r="W688" i="5"/>
  <c r="V688" i="5"/>
  <c r="AI687" i="5"/>
  <c r="AH687" i="5"/>
  <c r="AF687" i="5"/>
  <c r="AE687" i="5"/>
  <c r="AD687" i="5"/>
  <c r="AC687" i="5"/>
  <c r="AB687" i="5"/>
  <c r="AG687" i="5" s="1"/>
  <c r="AA687" i="5"/>
  <c r="Z687" i="5"/>
  <c r="Y687" i="5"/>
  <c r="X687" i="5"/>
  <c r="W687" i="5"/>
  <c r="V687" i="5"/>
  <c r="AH686" i="5"/>
  <c r="AF686" i="5"/>
  <c r="AE686" i="5"/>
  <c r="AD686" i="5"/>
  <c r="AC686" i="5"/>
  <c r="AB686" i="5"/>
  <c r="AG686" i="5" s="1"/>
  <c r="AA686" i="5"/>
  <c r="Z686" i="5"/>
  <c r="AI686" i="5" s="1"/>
  <c r="Y686" i="5"/>
  <c r="X686" i="5"/>
  <c r="W686" i="5"/>
  <c r="V686" i="5"/>
  <c r="AH685" i="5"/>
  <c r="AF685" i="5"/>
  <c r="AE685" i="5"/>
  <c r="AD685" i="5"/>
  <c r="AC685" i="5"/>
  <c r="AB685" i="5"/>
  <c r="AG685" i="5" s="1"/>
  <c r="AA685" i="5"/>
  <c r="Z685" i="5"/>
  <c r="AI685" i="5" s="1"/>
  <c r="Y685" i="5"/>
  <c r="X685" i="5"/>
  <c r="W685" i="5"/>
  <c r="V685" i="5"/>
  <c r="AH684" i="5"/>
  <c r="AF684" i="5"/>
  <c r="AE684" i="5"/>
  <c r="AD684" i="5"/>
  <c r="AC684" i="5"/>
  <c r="AB684" i="5"/>
  <c r="AG684" i="5" s="1"/>
  <c r="AA684" i="5"/>
  <c r="Z684" i="5"/>
  <c r="AI684" i="5" s="1"/>
  <c r="Y684" i="5"/>
  <c r="X684" i="5"/>
  <c r="W684" i="5"/>
  <c r="V684" i="5"/>
  <c r="AH683" i="5"/>
  <c r="AF683" i="5"/>
  <c r="AE683" i="5"/>
  <c r="AD683" i="5"/>
  <c r="AC683" i="5"/>
  <c r="AB683" i="5"/>
  <c r="AG683" i="5" s="1"/>
  <c r="AA683" i="5"/>
  <c r="Z683" i="5"/>
  <c r="AI683" i="5" s="1"/>
  <c r="Y683" i="5"/>
  <c r="X683" i="5"/>
  <c r="W683" i="5"/>
  <c r="V683" i="5"/>
  <c r="AH682" i="5"/>
  <c r="AG682" i="5"/>
  <c r="AF682" i="5"/>
  <c r="AE682" i="5"/>
  <c r="AD682" i="5"/>
  <c r="AC682" i="5"/>
  <c r="AB682" i="5"/>
  <c r="AA682" i="5"/>
  <c r="Z682" i="5"/>
  <c r="AI682" i="5" s="1"/>
  <c r="Y682" i="5"/>
  <c r="X682" i="5"/>
  <c r="W682" i="5"/>
  <c r="V682" i="5"/>
  <c r="AH681" i="5"/>
  <c r="AF681" i="5"/>
  <c r="AE681" i="5"/>
  <c r="AD681" i="5"/>
  <c r="AC681" i="5"/>
  <c r="AB681" i="5"/>
  <c r="AG681" i="5" s="1"/>
  <c r="AA681" i="5"/>
  <c r="Z681" i="5"/>
  <c r="AI681" i="5" s="1"/>
  <c r="Y681" i="5"/>
  <c r="X681" i="5"/>
  <c r="W681" i="5"/>
  <c r="V681" i="5"/>
  <c r="AH680" i="5"/>
  <c r="AF680" i="5"/>
  <c r="AE680" i="5"/>
  <c r="AD680" i="5"/>
  <c r="AC680" i="5"/>
  <c r="AB680" i="5"/>
  <c r="AG680" i="5" s="1"/>
  <c r="AA680" i="5"/>
  <c r="Z680" i="5"/>
  <c r="AI680" i="5" s="1"/>
  <c r="Y680" i="5"/>
  <c r="X680" i="5"/>
  <c r="W680" i="5"/>
  <c r="V680" i="5"/>
  <c r="AI679" i="5"/>
  <c r="AH679" i="5"/>
  <c r="AF679" i="5"/>
  <c r="AE679" i="5"/>
  <c r="AD679" i="5"/>
  <c r="AC679" i="5"/>
  <c r="AB679" i="5"/>
  <c r="AG679" i="5" s="1"/>
  <c r="AA679" i="5"/>
  <c r="Z679" i="5"/>
  <c r="Y679" i="5"/>
  <c r="X679" i="5"/>
  <c r="W679" i="5"/>
  <c r="V679" i="5"/>
  <c r="AI678" i="5"/>
  <c r="AH678" i="5"/>
  <c r="AF678" i="5"/>
  <c r="AE678" i="5"/>
  <c r="AD678" i="5"/>
  <c r="AC678" i="5"/>
  <c r="AB678" i="5"/>
  <c r="AG678" i="5" s="1"/>
  <c r="AA678" i="5"/>
  <c r="Z678" i="5"/>
  <c r="Y678" i="5"/>
  <c r="X678" i="5"/>
  <c r="W678" i="5"/>
  <c r="V678" i="5"/>
  <c r="AH677" i="5"/>
  <c r="AF677" i="5"/>
  <c r="AE677" i="5"/>
  <c r="AD677" i="5"/>
  <c r="AC677" i="5"/>
  <c r="AB677" i="5"/>
  <c r="AG677" i="5" s="1"/>
  <c r="AA677" i="5"/>
  <c r="Z677" i="5"/>
  <c r="AI677" i="5" s="1"/>
  <c r="Y677" i="5"/>
  <c r="X677" i="5"/>
  <c r="W677" i="5"/>
  <c r="V677" i="5"/>
  <c r="AH676" i="5"/>
  <c r="AF676" i="5"/>
  <c r="AE676" i="5"/>
  <c r="AD676" i="5"/>
  <c r="AC676" i="5"/>
  <c r="AB676" i="5"/>
  <c r="AG676" i="5" s="1"/>
  <c r="AA676" i="5"/>
  <c r="Z676" i="5"/>
  <c r="AI676" i="5" s="1"/>
  <c r="Y676" i="5"/>
  <c r="X676" i="5"/>
  <c r="W676" i="5"/>
  <c r="V676" i="5"/>
  <c r="AH675" i="5"/>
  <c r="AG675" i="5"/>
  <c r="AF675" i="5"/>
  <c r="AE675" i="5"/>
  <c r="AD675" i="5"/>
  <c r="AC675" i="5"/>
  <c r="AB675" i="5"/>
  <c r="AA675" i="5"/>
  <c r="Z675" i="5"/>
  <c r="AI675" i="5" s="1"/>
  <c r="Y675" i="5"/>
  <c r="X675" i="5"/>
  <c r="W675" i="5"/>
  <c r="V675" i="5"/>
  <c r="AH674" i="5"/>
  <c r="AF674" i="5"/>
  <c r="AE674" i="5"/>
  <c r="AD674" i="5"/>
  <c r="AC674" i="5"/>
  <c r="AB674" i="5"/>
  <c r="AG674" i="5" s="1"/>
  <c r="AA674" i="5"/>
  <c r="Z674" i="5"/>
  <c r="AI674" i="5" s="1"/>
  <c r="Y674" i="5"/>
  <c r="X674" i="5"/>
  <c r="W674" i="5"/>
  <c r="V674" i="5"/>
  <c r="AH673" i="5"/>
  <c r="AF673" i="5"/>
  <c r="AE673" i="5"/>
  <c r="AD673" i="5"/>
  <c r="AC673" i="5"/>
  <c r="AB673" i="5"/>
  <c r="AG673" i="5" s="1"/>
  <c r="AA673" i="5"/>
  <c r="Z673" i="5"/>
  <c r="AI673" i="5" s="1"/>
  <c r="Y673" i="5"/>
  <c r="X673" i="5"/>
  <c r="W673" i="5"/>
  <c r="V673" i="5"/>
  <c r="AI672" i="5"/>
  <c r="AH672" i="5"/>
  <c r="AF672" i="5"/>
  <c r="AE672" i="5"/>
  <c r="AD672" i="5"/>
  <c r="AC672" i="5"/>
  <c r="AB672" i="5"/>
  <c r="AG672" i="5" s="1"/>
  <c r="AA672" i="5"/>
  <c r="Z672" i="5"/>
  <c r="Y672" i="5"/>
  <c r="X672" i="5"/>
  <c r="W672" i="5"/>
  <c r="V672" i="5"/>
  <c r="AI671" i="5"/>
  <c r="AH671" i="5"/>
  <c r="AG671" i="5"/>
  <c r="AF671" i="5"/>
  <c r="AE671" i="5"/>
  <c r="AD671" i="5"/>
  <c r="AC671" i="5"/>
  <c r="AB671" i="5"/>
  <c r="AA671" i="5"/>
  <c r="Z671" i="5"/>
  <c r="Y671" i="5"/>
  <c r="X671" i="5"/>
  <c r="W671" i="5"/>
  <c r="V671" i="5"/>
  <c r="AI670" i="5"/>
  <c r="AH670" i="5"/>
  <c r="AG670" i="5"/>
  <c r="AF670" i="5"/>
  <c r="AE670" i="5"/>
  <c r="AD670" i="5"/>
  <c r="AC670" i="5"/>
  <c r="AB670" i="5"/>
  <c r="AA670" i="5"/>
  <c r="Z670" i="5"/>
  <c r="Y670" i="5"/>
  <c r="X670" i="5"/>
  <c r="W670" i="5"/>
  <c r="V670" i="5"/>
  <c r="AI669" i="5"/>
  <c r="AH669" i="5"/>
  <c r="AG669" i="5"/>
  <c r="AF669" i="5"/>
  <c r="AE669" i="5"/>
  <c r="AD669" i="5"/>
  <c r="AC669" i="5"/>
  <c r="AB669" i="5"/>
  <c r="AA669" i="5"/>
  <c r="Z669" i="5"/>
  <c r="Y669" i="5"/>
  <c r="X669" i="5"/>
  <c r="W669" i="5"/>
  <c r="V669" i="5"/>
  <c r="AI668" i="5"/>
  <c r="AH668" i="5"/>
  <c r="AG668" i="5"/>
  <c r="AF668" i="5"/>
  <c r="AE668" i="5"/>
  <c r="AD668" i="5"/>
  <c r="AC668" i="5"/>
  <c r="AB668" i="5"/>
  <c r="AA668" i="5"/>
  <c r="Z668" i="5"/>
  <c r="Y668" i="5"/>
  <c r="X668" i="5"/>
  <c r="W668" i="5"/>
  <c r="V668" i="5"/>
  <c r="AI667" i="5"/>
  <c r="AH667" i="5"/>
  <c r="AG667" i="5"/>
  <c r="AF667" i="5"/>
  <c r="AE667" i="5"/>
  <c r="AD667" i="5"/>
  <c r="AC667" i="5"/>
  <c r="AB667" i="5"/>
  <c r="AA667" i="5"/>
  <c r="Z667" i="5"/>
  <c r="Y667" i="5"/>
  <c r="X667" i="5"/>
  <c r="W667" i="5"/>
  <c r="V667" i="5"/>
  <c r="AI666" i="5"/>
  <c r="AH666" i="5"/>
  <c r="AG666" i="5"/>
  <c r="AF666" i="5"/>
  <c r="AE666" i="5"/>
  <c r="AD666" i="5"/>
  <c r="AC666" i="5"/>
  <c r="AB666" i="5"/>
  <c r="AA666" i="5"/>
  <c r="Z666" i="5"/>
  <c r="Y666" i="5"/>
  <c r="X666" i="5"/>
  <c r="W666" i="5"/>
  <c r="V666" i="5"/>
  <c r="AI665" i="5"/>
  <c r="AH665" i="5"/>
  <c r="AG665" i="5"/>
  <c r="AF665" i="5"/>
  <c r="AE665" i="5"/>
  <c r="AD665" i="5"/>
  <c r="AC665" i="5"/>
  <c r="AB665" i="5"/>
  <c r="AA665" i="5"/>
  <c r="Z665" i="5"/>
  <c r="Y665" i="5"/>
  <c r="X665" i="5"/>
  <c r="W665" i="5"/>
  <c r="V665" i="5"/>
  <c r="AI664" i="5"/>
  <c r="AH664" i="5"/>
  <c r="AG664" i="5"/>
  <c r="AF664" i="5"/>
  <c r="AE664" i="5"/>
  <c r="AD664" i="5"/>
  <c r="AC664" i="5"/>
  <c r="AB664" i="5"/>
  <c r="AA664" i="5"/>
  <c r="Z664" i="5"/>
  <c r="Y664" i="5"/>
  <c r="X664" i="5"/>
  <c r="W664" i="5"/>
  <c r="V664" i="5"/>
  <c r="AI663" i="5"/>
  <c r="AH663" i="5"/>
  <c r="AG663" i="5"/>
  <c r="AF663" i="5"/>
  <c r="AE663" i="5"/>
  <c r="AD663" i="5"/>
  <c r="AC663" i="5"/>
  <c r="AB663" i="5"/>
  <c r="AA663" i="5"/>
  <c r="Z663" i="5"/>
  <c r="Y663" i="5"/>
  <c r="X663" i="5"/>
  <c r="W663" i="5"/>
  <c r="V663" i="5"/>
  <c r="AI662" i="5"/>
  <c r="AH662" i="5"/>
  <c r="AG662" i="5"/>
  <c r="AF662" i="5"/>
  <c r="AE662" i="5"/>
  <c r="AD662" i="5"/>
  <c r="AC662" i="5"/>
  <c r="AB662" i="5"/>
  <c r="AA662" i="5"/>
  <c r="Z662" i="5"/>
  <c r="Y662" i="5"/>
  <c r="X662" i="5"/>
  <c r="W662" i="5"/>
  <c r="V662" i="5"/>
  <c r="AI661" i="5"/>
  <c r="AH661" i="5"/>
  <c r="AG661" i="5"/>
  <c r="AF661" i="5"/>
  <c r="AE661" i="5"/>
  <c r="AD661" i="5"/>
  <c r="AC661" i="5"/>
  <c r="AB661" i="5"/>
  <c r="AA661" i="5"/>
  <c r="Z661" i="5"/>
  <c r="Y661" i="5"/>
  <c r="X661" i="5"/>
  <c r="W661" i="5"/>
  <c r="V661" i="5"/>
  <c r="AI660" i="5"/>
  <c r="AH660" i="5"/>
  <c r="AG660" i="5"/>
  <c r="AF660" i="5"/>
  <c r="AE660" i="5"/>
  <c r="AD660" i="5"/>
  <c r="AC660" i="5"/>
  <c r="AB660" i="5"/>
  <c r="AA660" i="5"/>
  <c r="Z660" i="5"/>
  <c r="Y660" i="5"/>
  <c r="X660" i="5"/>
  <c r="W660" i="5"/>
  <c r="V660" i="5"/>
  <c r="AI659" i="5"/>
  <c r="AH659" i="5"/>
  <c r="AG659" i="5"/>
  <c r="AF659" i="5"/>
  <c r="AE659" i="5"/>
  <c r="AD659" i="5"/>
  <c r="AC659" i="5"/>
  <c r="AB659" i="5"/>
  <c r="AA659" i="5"/>
  <c r="Z659" i="5"/>
  <c r="Y659" i="5"/>
  <c r="X659" i="5"/>
  <c r="W659" i="5"/>
  <c r="V659" i="5"/>
  <c r="AI658" i="5"/>
  <c r="AH658" i="5"/>
  <c r="AG658" i="5"/>
  <c r="AF658" i="5"/>
  <c r="AE658" i="5"/>
  <c r="AD658" i="5"/>
  <c r="AC658" i="5"/>
  <c r="AB658" i="5"/>
  <c r="AA658" i="5"/>
  <c r="Z658" i="5"/>
  <c r="Y658" i="5"/>
  <c r="X658" i="5"/>
  <c r="W658" i="5"/>
  <c r="V658" i="5"/>
  <c r="AI657" i="5"/>
  <c r="AH657" i="5"/>
  <c r="AG657" i="5"/>
  <c r="AF657" i="5"/>
  <c r="AE657" i="5"/>
  <c r="AD657" i="5"/>
  <c r="AC657" i="5"/>
  <c r="AB657" i="5"/>
  <c r="AA657" i="5"/>
  <c r="Z657" i="5"/>
  <c r="Y657" i="5"/>
  <c r="X657" i="5"/>
  <c r="W657" i="5"/>
  <c r="V657" i="5"/>
  <c r="AI656" i="5"/>
  <c r="AH656" i="5"/>
  <c r="AG656" i="5"/>
  <c r="AF656" i="5"/>
  <c r="AE656" i="5"/>
  <c r="AD656" i="5"/>
  <c r="AC656" i="5"/>
  <c r="AB656" i="5"/>
  <c r="AA656" i="5"/>
  <c r="Z656" i="5"/>
  <c r="Y656" i="5"/>
  <c r="X656" i="5"/>
  <c r="W656" i="5"/>
  <c r="V656" i="5"/>
  <c r="AI655" i="5"/>
  <c r="AH655" i="5"/>
  <c r="AG655" i="5"/>
  <c r="AF655" i="5"/>
  <c r="AE655" i="5"/>
  <c r="AD655" i="5"/>
  <c r="AC655" i="5"/>
  <c r="AB655" i="5"/>
  <c r="AA655" i="5"/>
  <c r="Z655" i="5"/>
  <c r="Y655" i="5"/>
  <c r="X655" i="5"/>
  <c r="W655" i="5"/>
  <c r="V655" i="5"/>
  <c r="AI654" i="5"/>
  <c r="AH654" i="5"/>
  <c r="AG654" i="5"/>
  <c r="AF654" i="5"/>
  <c r="AE654" i="5"/>
  <c r="AD654" i="5"/>
  <c r="AC654" i="5"/>
  <c r="AB654" i="5"/>
  <c r="AA654" i="5"/>
  <c r="Z654" i="5"/>
  <c r="Y654" i="5"/>
  <c r="X654" i="5"/>
  <c r="W654" i="5"/>
  <c r="V654" i="5"/>
  <c r="AI653" i="5"/>
  <c r="AH653" i="5"/>
  <c r="AG653" i="5"/>
  <c r="AF653" i="5"/>
  <c r="AE653" i="5"/>
  <c r="AD653" i="5"/>
  <c r="AC653" i="5"/>
  <c r="AB653" i="5"/>
  <c r="AA653" i="5"/>
  <c r="Z653" i="5"/>
  <c r="Y653" i="5"/>
  <c r="X653" i="5"/>
  <c r="W653" i="5"/>
  <c r="V653" i="5"/>
  <c r="AI652" i="5"/>
  <c r="AH652" i="5"/>
  <c r="AG652" i="5"/>
  <c r="AF652" i="5"/>
  <c r="AE652" i="5"/>
  <c r="AD652" i="5"/>
  <c r="AC652" i="5"/>
  <c r="AB652" i="5"/>
  <c r="AA652" i="5"/>
  <c r="Z652" i="5"/>
  <c r="Y652" i="5"/>
  <c r="X652" i="5"/>
  <c r="W652" i="5"/>
  <c r="V652" i="5"/>
  <c r="AI651" i="5"/>
  <c r="AH651" i="5"/>
  <c r="AG651" i="5"/>
  <c r="AF651" i="5"/>
  <c r="AE651" i="5"/>
  <c r="AD651" i="5"/>
  <c r="AC651" i="5"/>
  <c r="AB651" i="5"/>
  <c r="AA651" i="5"/>
  <c r="Z651" i="5"/>
  <c r="Y651" i="5"/>
  <c r="X651" i="5"/>
  <c r="W651" i="5"/>
  <c r="V651" i="5"/>
  <c r="AI650" i="5"/>
  <c r="AH650" i="5"/>
  <c r="AG650" i="5"/>
  <c r="AF650" i="5"/>
  <c r="AE650" i="5"/>
  <c r="AD650" i="5"/>
  <c r="AC650" i="5"/>
  <c r="AB650" i="5"/>
  <c r="AA650" i="5"/>
  <c r="Z650" i="5"/>
  <c r="Y650" i="5"/>
  <c r="X650" i="5"/>
  <c r="W650" i="5"/>
  <c r="V650" i="5"/>
  <c r="AI649" i="5"/>
  <c r="AH649" i="5"/>
  <c r="AG649" i="5"/>
  <c r="AF649" i="5"/>
  <c r="AE649" i="5"/>
  <c r="AD649" i="5"/>
  <c r="AC649" i="5"/>
  <c r="AB649" i="5"/>
  <c r="AA649" i="5"/>
  <c r="Z649" i="5"/>
  <c r="Y649" i="5"/>
  <c r="X649" i="5"/>
  <c r="W649" i="5"/>
  <c r="V649" i="5"/>
  <c r="AI648" i="5"/>
  <c r="AH648" i="5"/>
  <c r="AG648" i="5"/>
  <c r="AF648" i="5"/>
  <c r="AE648" i="5"/>
  <c r="AD648" i="5"/>
  <c r="AC648" i="5"/>
  <c r="AB648" i="5"/>
  <c r="AA648" i="5"/>
  <c r="Z648" i="5"/>
  <c r="Y648" i="5"/>
  <c r="X648" i="5"/>
  <c r="W648" i="5"/>
  <c r="V648" i="5"/>
  <c r="AI647" i="5"/>
  <c r="AH647" i="5"/>
  <c r="AG647" i="5"/>
  <c r="AF647" i="5"/>
  <c r="AE647" i="5"/>
  <c r="AD647" i="5"/>
  <c r="AC647" i="5"/>
  <c r="AB647" i="5"/>
  <c r="AA647" i="5"/>
  <c r="Z647" i="5"/>
  <c r="Y647" i="5"/>
  <c r="X647" i="5"/>
  <c r="W647" i="5"/>
  <c r="V647" i="5"/>
  <c r="AI646" i="5"/>
  <c r="AH646" i="5"/>
  <c r="AG646" i="5"/>
  <c r="AF646" i="5"/>
  <c r="AE646" i="5"/>
  <c r="AD646" i="5"/>
  <c r="AC646" i="5"/>
  <c r="AB646" i="5"/>
  <c r="AA646" i="5"/>
  <c r="Z646" i="5"/>
  <c r="Y646" i="5"/>
  <c r="X646" i="5"/>
  <c r="W646" i="5"/>
  <c r="V646" i="5"/>
  <c r="AI645" i="5"/>
  <c r="AH645" i="5"/>
  <c r="AG645" i="5"/>
  <c r="AF645" i="5"/>
  <c r="AE645" i="5"/>
  <c r="AD645" i="5"/>
  <c r="AC645" i="5"/>
  <c r="AB645" i="5"/>
  <c r="AA645" i="5"/>
  <c r="Z645" i="5"/>
  <c r="Y645" i="5"/>
  <c r="X645" i="5"/>
  <c r="W645" i="5"/>
  <c r="V645" i="5"/>
  <c r="AI644" i="5"/>
  <c r="AH644" i="5"/>
  <c r="AG644" i="5"/>
  <c r="AF644" i="5"/>
  <c r="AE644" i="5"/>
  <c r="AD644" i="5"/>
  <c r="AC644" i="5"/>
  <c r="AB644" i="5"/>
  <c r="AA644" i="5"/>
  <c r="Z644" i="5"/>
  <c r="Y644" i="5"/>
  <c r="X644" i="5"/>
  <c r="W644" i="5"/>
  <c r="V644" i="5"/>
  <c r="AI643" i="5"/>
  <c r="AH643" i="5"/>
  <c r="AG643" i="5"/>
  <c r="AF643" i="5"/>
  <c r="AE643" i="5"/>
  <c r="AD643" i="5"/>
  <c r="AC643" i="5"/>
  <c r="AB643" i="5"/>
  <c r="AA643" i="5"/>
  <c r="Z643" i="5"/>
  <c r="Y643" i="5"/>
  <c r="X643" i="5"/>
  <c r="W643" i="5"/>
  <c r="V643" i="5"/>
  <c r="AI642" i="5"/>
  <c r="AH642" i="5"/>
  <c r="AG642" i="5"/>
  <c r="AF642" i="5"/>
  <c r="AE642" i="5"/>
  <c r="AD642" i="5"/>
  <c r="AC642" i="5"/>
  <c r="AB642" i="5"/>
  <c r="AA642" i="5"/>
  <c r="Z642" i="5"/>
  <c r="Y642" i="5"/>
  <c r="X642" i="5"/>
  <c r="W642" i="5"/>
  <c r="V642" i="5"/>
  <c r="AI641" i="5"/>
  <c r="AH641" i="5"/>
  <c r="AG641" i="5"/>
  <c r="AF641" i="5"/>
  <c r="AE641" i="5"/>
  <c r="AD641" i="5"/>
  <c r="AC641" i="5"/>
  <c r="AB641" i="5"/>
  <c r="AA641" i="5"/>
  <c r="Z641" i="5"/>
  <c r="Y641" i="5"/>
  <c r="X641" i="5"/>
  <c r="W641" i="5"/>
  <c r="V641" i="5"/>
  <c r="AI640" i="5"/>
  <c r="AH640" i="5"/>
  <c r="AG640" i="5"/>
  <c r="AF640" i="5"/>
  <c r="AE640" i="5"/>
  <c r="AD640" i="5"/>
  <c r="AC640" i="5"/>
  <c r="AB640" i="5"/>
  <c r="AA640" i="5"/>
  <c r="Z640" i="5"/>
  <c r="Y640" i="5"/>
  <c r="X640" i="5"/>
  <c r="W640" i="5"/>
  <c r="V640" i="5"/>
  <c r="AI639" i="5"/>
  <c r="AH639" i="5"/>
  <c r="AG639" i="5"/>
  <c r="AF639" i="5"/>
  <c r="AE639" i="5"/>
  <c r="AD639" i="5"/>
  <c r="AC639" i="5"/>
  <c r="AB639" i="5"/>
  <c r="AA639" i="5"/>
  <c r="Z639" i="5"/>
  <c r="Y639" i="5"/>
  <c r="X639" i="5"/>
  <c r="W639" i="5"/>
  <c r="V639" i="5"/>
  <c r="AI638" i="5"/>
  <c r="AH638" i="5"/>
  <c r="AG638" i="5"/>
  <c r="AF638" i="5"/>
  <c r="AE638" i="5"/>
  <c r="AD638" i="5"/>
  <c r="AC638" i="5"/>
  <c r="AB638" i="5"/>
  <c r="AA638" i="5"/>
  <c r="Z638" i="5"/>
  <c r="Y638" i="5"/>
  <c r="X638" i="5"/>
  <c r="W638" i="5"/>
  <c r="V638" i="5"/>
  <c r="AI637" i="5"/>
  <c r="AH637" i="5"/>
  <c r="AG637" i="5"/>
  <c r="AF637" i="5"/>
  <c r="AE637" i="5"/>
  <c r="AD637" i="5"/>
  <c r="AC637" i="5"/>
  <c r="AB637" i="5"/>
  <c r="AA637" i="5"/>
  <c r="Z637" i="5"/>
  <c r="Y637" i="5"/>
  <c r="X637" i="5"/>
  <c r="W637" i="5"/>
  <c r="V637" i="5"/>
  <c r="AI636" i="5"/>
  <c r="AH636" i="5"/>
  <c r="AG636" i="5"/>
  <c r="AF636" i="5"/>
  <c r="AE636" i="5"/>
  <c r="AD636" i="5"/>
  <c r="AC636" i="5"/>
  <c r="AB636" i="5"/>
  <c r="AA636" i="5"/>
  <c r="Z636" i="5"/>
  <c r="Y636" i="5"/>
  <c r="X636" i="5"/>
  <c r="W636" i="5"/>
  <c r="V636" i="5"/>
  <c r="AI635" i="5"/>
  <c r="AH635" i="5"/>
  <c r="AG635" i="5"/>
  <c r="AF635" i="5"/>
  <c r="AE635" i="5"/>
  <c r="AD635" i="5"/>
  <c r="AC635" i="5"/>
  <c r="AB635" i="5"/>
  <c r="AA635" i="5"/>
  <c r="Z635" i="5"/>
  <c r="Y635" i="5"/>
  <c r="X635" i="5"/>
  <c r="W635" i="5"/>
  <c r="V635" i="5"/>
  <c r="AI634" i="5"/>
  <c r="AH634" i="5"/>
  <c r="AG634" i="5"/>
  <c r="AF634" i="5"/>
  <c r="AE634" i="5"/>
  <c r="AD634" i="5"/>
  <c r="AC634" i="5"/>
  <c r="AB634" i="5"/>
  <c r="AA634" i="5"/>
  <c r="Z634" i="5"/>
  <c r="Y634" i="5"/>
  <c r="X634" i="5"/>
  <c r="W634" i="5"/>
  <c r="V634" i="5"/>
  <c r="AI633" i="5"/>
  <c r="AH633" i="5"/>
  <c r="AG633" i="5"/>
  <c r="AF633" i="5"/>
  <c r="AE633" i="5"/>
  <c r="AD633" i="5"/>
  <c r="AC633" i="5"/>
  <c r="AB633" i="5"/>
  <c r="AA633" i="5"/>
  <c r="Z633" i="5"/>
  <c r="Y633" i="5"/>
  <c r="X633" i="5"/>
  <c r="W633" i="5"/>
  <c r="V633" i="5"/>
  <c r="AI632" i="5"/>
  <c r="AH632" i="5"/>
  <c r="AG632" i="5"/>
  <c r="AF632" i="5"/>
  <c r="AE632" i="5"/>
  <c r="AD632" i="5"/>
  <c r="AC632" i="5"/>
  <c r="AB632" i="5"/>
  <c r="AA632" i="5"/>
  <c r="Z632" i="5"/>
  <c r="Y632" i="5"/>
  <c r="X632" i="5"/>
  <c r="W632" i="5"/>
  <c r="V632" i="5"/>
  <c r="AI631" i="5"/>
  <c r="AH631" i="5"/>
  <c r="AG631" i="5"/>
  <c r="AF631" i="5"/>
  <c r="AE631" i="5"/>
  <c r="AD631" i="5"/>
  <c r="AC631" i="5"/>
  <c r="AB631" i="5"/>
  <c r="AA631" i="5"/>
  <c r="Z631" i="5"/>
  <c r="Y631" i="5"/>
  <c r="X631" i="5"/>
  <c r="W631" i="5"/>
  <c r="V631" i="5"/>
  <c r="AI630" i="5"/>
  <c r="AH630" i="5"/>
  <c r="AG630" i="5"/>
  <c r="AF630" i="5"/>
  <c r="AE630" i="5"/>
  <c r="AD630" i="5"/>
  <c r="AC630" i="5"/>
  <c r="AB630" i="5"/>
  <c r="AA630" i="5"/>
  <c r="Z630" i="5"/>
  <c r="Y630" i="5"/>
  <c r="X630" i="5"/>
  <c r="W630" i="5"/>
  <c r="V630" i="5"/>
  <c r="AI629" i="5"/>
  <c r="AH629" i="5"/>
  <c r="AG629" i="5"/>
  <c r="AF629" i="5"/>
  <c r="AE629" i="5"/>
  <c r="AD629" i="5"/>
  <c r="AC629" i="5"/>
  <c r="AB629" i="5"/>
  <c r="AA629" i="5"/>
  <c r="Z629" i="5"/>
  <c r="Y629" i="5"/>
  <c r="X629" i="5"/>
  <c r="W629" i="5"/>
  <c r="V629" i="5"/>
  <c r="AI628" i="5"/>
  <c r="AH628" i="5"/>
  <c r="AG628" i="5"/>
  <c r="AF628" i="5"/>
  <c r="AE628" i="5"/>
  <c r="AD628" i="5"/>
  <c r="AC628" i="5"/>
  <c r="AB628" i="5"/>
  <c r="AA628" i="5"/>
  <c r="Z628" i="5"/>
  <c r="Y628" i="5"/>
  <c r="X628" i="5"/>
  <c r="W628" i="5"/>
  <c r="V628" i="5"/>
  <c r="AI627" i="5"/>
  <c r="AH627" i="5"/>
  <c r="AG627" i="5"/>
  <c r="AF627" i="5"/>
  <c r="AE627" i="5"/>
  <c r="AD627" i="5"/>
  <c r="AC627" i="5"/>
  <c r="AB627" i="5"/>
  <c r="AA627" i="5"/>
  <c r="Z627" i="5"/>
  <c r="Y627" i="5"/>
  <c r="X627" i="5"/>
  <c r="W627" i="5"/>
  <c r="V627" i="5"/>
  <c r="AI626" i="5"/>
  <c r="AH626" i="5"/>
  <c r="AG626" i="5"/>
  <c r="AF626" i="5"/>
  <c r="AE626" i="5"/>
  <c r="AD626" i="5"/>
  <c r="AC626" i="5"/>
  <c r="AB626" i="5"/>
  <c r="AA626" i="5"/>
  <c r="Z626" i="5"/>
  <c r="Y626" i="5"/>
  <c r="X626" i="5"/>
  <c r="W626" i="5"/>
  <c r="V626" i="5"/>
  <c r="AI625" i="5"/>
  <c r="AH625" i="5"/>
  <c r="AG625" i="5"/>
  <c r="AF625" i="5"/>
  <c r="AE625" i="5"/>
  <c r="AD625" i="5"/>
  <c r="AC625" i="5"/>
  <c r="AB625" i="5"/>
  <c r="AA625" i="5"/>
  <c r="Z625" i="5"/>
  <c r="Y625" i="5"/>
  <c r="X625" i="5"/>
  <c r="W625" i="5"/>
  <c r="V625" i="5"/>
  <c r="AI624" i="5"/>
  <c r="AH624" i="5"/>
  <c r="AG624" i="5"/>
  <c r="AF624" i="5"/>
  <c r="AE624" i="5"/>
  <c r="AD624" i="5"/>
  <c r="AC624" i="5"/>
  <c r="AB624" i="5"/>
  <c r="AA624" i="5"/>
  <c r="Z624" i="5"/>
  <c r="Y624" i="5"/>
  <c r="X624" i="5"/>
  <c r="W624" i="5"/>
  <c r="V624" i="5"/>
  <c r="AI623" i="5"/>
  <c r="AH623" i="5"/>
  <c r="AG623" i="5"/>
  <c r="AF623" i="5"/>
  <c r="AE623" i="5"/>
  <c r="AD623" i="5"/>
  <c r="AC623" i="5"/>
  <c r="AB623" i="5"/>
  <c r="AA623" i="5"/>
  <c r="Z623" i="5"/>
  <c r="Y623" i="5"/>
  <c r="X623" i="5"/>
  <c r="W623" i="5"/>
  <c r="V623" i="5"/>
  <c r="AI622" i="5"/>
  <c r="AH622" i="5"/>
  <c r="AG622" i="5"/>
  <c r="AF622" i="5"/>
  <c r="AE622" i="5"/>
  <c r="AD622" i="5"/>
  <c r="AC622" i="5"/>
  <c r="AB622" i="5"/>
  <c r="AA622" i="5"/>
  <c r="Z622" i="5"/>
  <c r="Y622" i="5"/>
  <c r="X622" i="5"/>
  <c r="W622" i="5"/>
  <c r="V622" i="5"/>
  <c r="AI621" i="5"/>
  <c r="AH621" i="5"/>
  <c r="AG621" i="5"/>
  <c r="AF621" i="5"/>
  <c r="AE621" i="5"/>
  <c r="AD621" i="5"/>
  <c r="AC621" i="5"/>
  <c r="AB621" i="5"/>
  <c r="AA621" i="5"/>
  <c r="Z621" i="5"/>
  <c r="Y621" i="5"/>
  <c r="X621" i="5"/>
  <c r="W621" i="5"/>
  <c r="V621" i="5"/>
  <c r="AI620" i="5"/>
  <c r="AH620" i="5"/>
  <c r="AG620" i="5"/>
  <c r="AF620" i="5"/>
  <c r="AE620" i="5"/>
  <c r="AD620" i="5"/>
  <c r="AC620" i="5"/>
  <c r="AB620" i="5"/>
  <c r="AA620" i="5"/>
  <c r="Z620" i="5"/>
  <c r="Y620" i="5"/>
  <c r="X620" i="5"/>
  <c r="W620" i="5"/>
  <c r="V620" i="5"/>
  <c r="AI619" i="5"/>
  <c r="AH619" i="5"/>
  <c r="AG619" i="5"/>
  <c r="AF619" i="5"/>
  <c r="AE619" i="5"/>
  <c r="AD619" i="5"/>
  <c r="AC619" i="5"/>
  <c r="AB619" i="5"/>
  <c r="AA619" i="5"/>
  <c r="Z619" i="5"/>
  <c r="Y619" i="5"/>
  <c r="X619" i="5"/>
  <c r="W619" i="5"/>
  <c r="V619" i="5"/>
  <c r="AI618" i="5"/>
  <c r="AH618" i="5"/>
  <c r="AG618" i="5"/>
  <c r="AF618" i="5"/>
  <c r="AE618" i="5"/>
  <c r="AD618" i="5"/>
  <c r="AC618" i="5"/>
  <c r="AB618" i="5"/>
  <c r="AA618" i="5"/>
  <c r="Z618" i="5"/>
  <c r="Y618" i="5"/>
  <c r="X618" i="5"/>
  <c r="W618" i="5"/>
  <c r="V618" i="5"/>
  <c r="AI617" i="5"/>
  <c r="AH617" i="5"/>
  <c r="AG617" i="5"/>
  <c r="AF617" i="5"/>
  <c r="AE617" i="5"/>
  <c r="AD617" i="5"/>
  <c r="AC617" i="5"/>
  <c r="AB617" i="5"/>
  <c r="AA617" i="5"/>
  <c r="Z617" i="5"/>
  <c r="Y617" i="5"/>
  <c r="X617" i="5"/>
  <c r="W617" i="5"/>
  <c r="V617" i="5"/>
  <c r="AI616" i="5"/>
  <c r="AH616" i="5"/>
  <c r="AG616" i="5"/>
  <c r="AF616" i="5"/>
  <c r="AE616" i="5"/>
  <c r="AD616" i="5"/>
  <c r="AC616" i="5"/>
  <c r="AB616" i="5"/>
  <c r="AA616" i="5"/>
  <c r="Z616" i="5"/>
  <c r="Y616" i="5"/>
  <c r="X616" i="5"/>
  <c r="W616" i="5"/>
  <c r="V616" i="5"/>
  <c r="AI615" i="5"/>
  <c r="AH615" i="5"/>
  <c r="AG615" i="5"/>
  <c r="AF615" i="5"/>
  <c r="AE615" i="5"/>
  <c r="AD615" i="5"/>
  <c r="AC615" i="5"/>
  <c r="AB615" i="5"/>
  <c r="AA615" i="5"/>
  <c r="Z615" i="5"/>
  <c r="Y615" i="5"/>
  <c r="X615" i="5"/>
  <c r="W615" i="5"/>
  <c r="V615" i="5"/>
  <c r="AI614" i="5"/>
  <c r="AH614" i="5"/>
  <c r="AG614" i="5"/>
  <c r="AF614" i="5"/>
  <c r="AE614" i="5"/>
  <c r="AD614" i="5"/>
  <c r="AC614" i="5"/>
  <c r="AB614" i="5"/>
  <c r="AA614" i="5"/>
  <c r="Z614" i="5"/>
  <c r="Y614" i="5"/>
  <c r="X614" i="5"/>
  <c r="W614" i="5"/>
  <c r="V614" i="5"/>
  <c r="AI613" i="5"/>
  <c r="AH613" i="5"/>
  <c r="AG613" i="5"/>
  <c r="AF613" i="5"/>
  <c r="AE613" i="5"/>
  <c r="AD613" i="5"/>
  <c r="AC613" i="5"/>
  <c r="AB613" i="5"/>
  <c r="AA613" i="5"/>
  <c r="Z613" i="5"/>
  <c r="Y613" i="5"/>
  <c r="X613" i="5"/>
  <c r="W613" i="5"/>
  <c r="V613" i="5"/>
  <c r="AI612" i="5"/>
  <c r="AH612" i="5"/>
  <c r="AG612" i="5"/>
  <c r="AF612" i="5"/>
  <c r="AE612" i="5"/>
  <c r="AD612" i="5"/>
  <c r="AC612" i="5"/>
  <c r="AB612" i="5"/>
  <c r="AA612" i="5"/>
  <c r="Z612" i="5"/>
  <c r="Y612" i="5"/>
  <c r="X612" i="5"/>
  <c r="W612" i="5"/>
  <c r="V612" i="5"/>
  <c r="AI611" i="5"/>
  <c r="AH611" i="5"/>
  <c r="AG611" i="5"/>
  <c r="AF611" i="5"/>
  <c r="AE611" i="5"/>
  <c r="AD611" i="5"/>
  <c r="AC611" i="5"/>
  <c r="AB611" i="5"/>
  <c r="AA611" i="5"/>
  <c r="Z611" i="5"/>
  <c r="Y611" i="5"/>
  <c r="X611" i="5"/>
  <c r="W611" i="5"/>
  <c r="V611" i="5"/>
  <c r="AI610" i="5"/>
  <c r="AH610" i="5"/>
  <c r="AG610" i="5"/>
  <c r="AF610" i="5"/>
  <c r="AE610" i="5"/>
  <c r="AD610" i="5"/>
  <c r="AC610" i="5"/>
  <c r="AB610" i="5"/>
  <c r="AA610" i="5"/>
  <c r="Z610" i="5"/>
  <c r="Y610" i="5"/>
  <c r="X610" i="5"/>
  <c r="W610" i="5"/>
  <c r="V610" i="5"/>
  <c r="AI609" i="5"/>
  <c r="AH609" i="5"/>
  <c r="AF609" i="5"/>
  <c r="AE609" i="5"/>
  <c r="AD609" i="5"/>
  <c r="AC609" i="5"/>
  <c r="AB609" i="5"/>
  <c r="AG609" i="5" s="1"/>
  <c r="AA609" i="5"/>
  <c r="Z609" i="5"/>
  <c r="Y609" i="5"/>
  <c r="X609" i="5"/>
  <c r="W609" i="5"/>
  <c r="V609" i="5"/>
  <c r="AI608" i="5"/>
  <c r="AH608" i="5"/>
  <c r="AG608" i="5"/>
  <c r="AF608" i="5"/>
  <c r="AE608" i="5"/>
  <c r="AD608" i="5"/>
  <c r="AC608" i="5"/>
  <c r="AB608" i="5"/>
  <c r="AA608" i="5"/>
  <c r="Z608" i="5"/>
  <c r="Y608" i="5"/>
  <c r="X608" i="5"/>
  <c r="W608" i="5"/>
  <c r="V608" i="5"/>
  <c r="AI607" i="5"/>
  <c r="AH607" i="5"/>
  <c r="AG607" i="5"/>
  <c r="AF607" i="5"/>
  <c r="AE607" i="5"/>
  <c r="AD607" i="5"/>
  <c r="AC607" i="5"/>
  <c r="AB607" i="5"/>
  <c r="AA607" i="5"/>
  <c r="Z607" i="5"/>
  <c r="Y607" i="5"/>
  <c r="X607" i="5"/>
  <c r="W607" i="5"/>
  <c r="V607" i="5"/>
  <c r="AI606" i="5"/>
  <c r="AH606" i="5"/>
  <c r="AG606" i="5"/>
  <c r="AF606" i="5"/>
  <c r="AE606" i="5"/>
  <c r="AD606" i="5"/>
  <c r="AC606" i="5"/>
  <c r="AB606" i="5"/>
  <c r="AA606" i="5"/>
  <c r="Z606" i="5"/>
  <c r="Y606" i="5"/>
  <c r="X606" i="5"/>
  <c r="W606" i="5"/>
  <c r="V606" i="5"/>
  <c r="AI605" i="5"/>
  <c r="AH605" i="5"/>
  <c r="AG605" i="5"/>
  <c r="AF605" i="5"/>
  <c r="AE605" i="5"/>
  <c r="AD605" i="5"/>
  <c r="AC605" i="5"/>
  <c r="AB605" i="5"/>
  <c r="AA605" i="5"/>
  <c r="Z605" i="5"/>
  <c r="Y605" i="5"/>
  <c r="X605" i="5"/>
  <c r="W605" i="5"/>
  <c r="V605" i="5"/>
  <c r="AI604" i="5"/>
  <c r="AH604" i="5"/>
  <c r="AG604" i="5"/>
  <c r="AF604" i="5"/>
  <c r="AE604" i="5"/>
  <c r="AD604" i="5"/>
  <c r="AC604" i="5"/>
  <c r="AB604" i="5"/>
  <c r="AA604" i="5"/>
  <c r="Z604" i="5"/>
  <c r="Y604" i="5"/>
  <c r="X604" i="5"/>
  <c r="W604" i="5"/>
  <c r="V604" i="5"/>
  <c r="AI603" i="5"/>
  <c r="AH603" i="5"/>
  <c r="AF603" i="5"/>
  <c r="AE603" i="5"/>
  <c r="AD603" i="5"/>
  <c r="AC603" i="5"/>
  <c r="AB603" i="5"/>
  <c r="AG603" i="5" s="1"/>
  <c r="AA603" i="5"/>
  <c r="Z603" i="5"/>
  <c r="Y603" i="5"/>
  <c r="X603" i="5"/>
  <c r="W603" i="5"/>
  <c r="V603" i="5"/>
  <c r="AI602" i="5"/>
  <c r="AH602" i="5"/>
  <c r="AG602" i="5"/>
  <c r="AF602" i="5"/>
  <c r="AE602" i="5"/>
  <c r="AD602" i="5"/>
  <c r="AC602" i="5"/>
  <c r="AB602" i="5"/>
  <c r="AA602" i="5"/>
  <c r="Z602" i="5"/>
  <c r="Y602" i="5"/>
  <c r="X602" i="5"/>
  <c r="W602" i="5"/>
  <c r="V602" i="5"/>
  <c r="AI601" i="5"/>
  <c r="AH601" i="5"/>
  <c r="AG601" i="5"/>
  <c r="AF601" i="5"/>
  <c r="AE601" i="5"/>
  <c r="AD601" i="5"/>
  <c r="AC601" i="5"/>
  <c r="AB601" i="5"/>
  <c r="AA601" i="5"/>
  <c r="Z601" i="5"/>
  <c r="Y601" i="5"/>
  <c r="X601" i="5"/>
  <c r="W601" i="5"/>
  <c r="V601" i="5"/>
  <c r="AI600" i="5"/>
  <c r="AH600" i="5"/>
  <c r="AG600" i="5"/>
  <c r="AF600" i="5"/>
  <c r="AE600" i="5"/>
  <c r="AD600" i="5"/>
  <c r="AC600" i="5"/>
  <c r="AB600" i="5"/>
  <c r="AA600" i="5"/>
  <c r="Z600" i="5"/>
  <c r="Y600" i="5"/>
  <c r="X600" i="5"/>
  <c r="W600" i="5"/>
  <c r="V600" i="5"/>
  <c r="AI599" i="5"/>
  <c r="AH599" i="5"/>
  <c r="AG599" i="5"/>
  <c r="AF599" i="5"/>
  <c r="AE599" i="5"/>
  <c r="AD599" i="5"/>
  <c r="AC599" i="5"/>
  <c r="AB599" i="5"/>
  <c r="AA599" i="5"/>
  <c r="Z599" i="5"/>
  <c r="Y599" i="5"/>
  <c r="X599" i="5"/>
  <c r="W599" i="5"/>
  <c r="V599" i="5"/>
  <c r="AI598" i="5"/>
  <c r="AH598" i="5"/>
  <c r="AG598" i="5"/>
  <c r="AF598" i="5"/>
  <c r="AE598" i="5"/>
  <c r="AD598" i="5"/>
  <c r="AC598" i="5"/>
  <c r="AB598" i="5"/>
  <c r="AA598" i="5"/>
  <c r="Z598" i="5"/>
  <c r="Y598" i="5"/>
  <c r="X598" i="5"/>
  <c r="W598" i="5"/>
  <c r="V598" i="5"/>
  <c r="AI597" i="5"/>
  <c r="AH597" i="5"/>
  <c r="AF597" i="5"/>
  <c r="AE597" i="5"/>
  <c r="AD597" i="5"/>
  <c r="AC597" i="5"/>
  <c r="AB597" i="5"/>
  <c r="AG597" i="5" s="1"/>
  <c r="AA597" i="5"/>
  <c r="Z597" i="5"/>
  <c r="Y597" i="5"/>
  <c r="X597" i="5"/>
  <c r="W597" i="5"/>
  <c r="V597" i="5"/>
  <c r="AI596" i="5"/>
  <c r="AH596" i="5"/>
  <c r="AG596" i="5"/>
  <c r="AF596" i="5"/>
  <c r="AE596" i="5"/>
  <c r="AD596" i="5"/>
  <c r="AC596" i="5"/>
  <c r="AB596" i="5"/>
  <c r="AA596" i="5"/>
  <c r="Z596" i="5"/>
  <c r="Y596" i="5"/>
  <c r="X596" i="5"/>
  <c r="W596" i="5"/>
  <c r="V596" i="5"/>
  <c r="AI595" i="5"/>
  <c r="AH595" i="5"/>
  <c r="AG595" i="5"/>
  <c r="AF595" i="5"/>
  <c r="AE595" i="5"/>
  <c r="AD595" i="5"/>
  <c r="AC595" i="5"/>
  <c r="AB595" i="5"/>
  <c r="AA595" i="5"/>
  <c r="Z595" i="5"/>
  <c r="Y595" i="5"/>
  <c r="X595" i="5"/>
  <c r="W595" i="5"/>
  <c r="V595" i="5"/>
  <c r="AI594" i="5"/>
  <c r="AH594" i="5"/>
  <c r="AG594" i="5"/>
  <c r="AF594" i="5"/>
  <c r="AE594" i="5"/>
  <c r="AD594" i="5"/>
  <c r="AC594" i="5"/>
  <c r="AB594" i="5"/>
  <c r="AA594" i="5"/>
  <c r="Z594" i="5"/>
  <c r="Y594" i="5"/>
  <c r="X594" i="5"/>
  <c r="W594" i="5"/>
  <c r="V594" i="5"/>
  <c r="AI593" i="5"/>
  <c r="AH593" i="5"/>
  <c r="AG593" i="5"/>
  <c r="AF593" i="5"/>
  <c r="AE593" i="5"/>
  <c r="AD593" i="5"/>
  <c r="AC593" i="5"/>
  <c r="AB593" i="5"/>
  <c r="AA593" i="5"/>
  <c r="Z593" i="5"/>
  <c r="Y593" i="5"/>
  <c r="X593" i="5"/>
  <c r="W593" i="5"/>
  <c r="V593" i="5"/>
  <c r="AI592" i="5"/>
  <c r="AH592" i="5"/>
  <c r="AG592" i="5"/>
  <c r="AF592" i="5"/>
  <c r="AE592" i="5"/>
  <c r="AD592" i="5"/>
  <c r="AC592" i="5"/>
  <c r="AB592" i="5"/>
  <c r="AA592" i="5"/>
  <c r="Z592" i="5"/>
  <c r="Y592" i="5"/>
  <c r="X592" i="5"/>
  <c r="W592" i="5"/>
  <c r="V592" i="5"/>
  <c r="AI591" i="5"/>
  <c r="AH591" i="5"/>
  <c r="AF591" i="5"/>
  <c r="AE591" i="5"/>
  <c r="AD591" i="5"/>
  <c r="AC591" i="5"/>
  <c r="AB591" i="5"/>
  <c r="AG591" i="5" s="1"/>
  <c r="AA591" i="5"/>
  <c r="Z591" i="5"/>
  <c r="Y591" i="5"/>
  <c r="X591" i="5"/>
  <c r="W591" i="5"/>
  <c r="V591" i="5"/>
  <c r="AI590" i="5"/>
  <c r="AH590" i="5"/>
  <c r="AG590" i="5"/>
  <c r="AF590" i="5"/>
  <c r="AE590" i="5"/>
  <c r="AD590" i="5"/>
  <c r="AC590" i="5"/>
  <c r="AB590" i="5"/>
  <c r="AA590" i="5"/>
  <c r="Z590" i="5"/>
  <c r="Y590" i="5"/>
  <c r="X590" i="5"/>
  <c r="W590" i="5"/>
  <c r="V590" i="5"/>
  <c r="AI589" i="5"/>
  <c r="AH589" i="5"/>
  <c r="AG589" i="5"/>
  <c r="AF589" i="5"/>
  <c r="AE589" i="5"/>
  <c r="AD589" i="5"/>
  <c r="AC589" i="5"/>
  <c r="AB589" i="5"/>
  <c r="AA589" i="5"/>
  <c r="Z589" i="5"/>
  <c r="Y589" i="5"/>
  <c r="X589" i="5"/>
  <c r="W589" i="5"/>
  <c r="V589" i="5"/>
  <c r="AI588" i="5"/>
  <c r="AH588" i="5"/>
  <c r="AG588" i="5"/>
  <c r="AF588" i="5"/>
  <c r="AE588" i="5"/>
  <c r="AD588" i="5"/>
  <c r="AC588" i="5"/>
  <c r="AB588" i="5"/>
  <c r="AA588" i="5"/>
  <c r="Z588" i="5"/>
  <c r="Y588" i="5"/>
  <c r="X588" i="5"/>
  <c r="W588" i="5"/>
  <c r="V588" i="5"/>
  <c r="AI587" i="5"/>
  <c r="AH587" i="5"/>
  <c r="AG587" i="5"/>
  <c r="AF587" i="5"/>
  <c r="AE587" i="5"/>
  <c r="AD587" i="5"/>
  <c r="AC587" i="5"/>
  <c r="AB587" i="5"/>
  <c r="AA587" i="5"/>
  <c r="Z587" i="5"/>
  <c r="Y587" i="5"/>
  <c r="X587" i="5"/>
  <c r="W587" i="5"/>
  <c r="V587" i="5"/>
  <c r="AH586" i="5"/>
  <c r="AG586" i="5"/>
  <c r="AF586" i="5"/>
  <c r="AE586" i="5"/>
  <c r="AD586" i="5"/>
  <c r="AC586" i="5"/>
  <c r="AB586" i="5"/>
  <c r="AA586" i="5"/>
  <c r="Z586" i="5"/>
  <c r="AI586" i="5" s="1"/>
  <c r="Y586" i="5"/>
  <c r="X586" i="5"/>
  <c r="W586" i="5"/>
  <c r="V586" i="5"/>
  <c r="AI585" i="5"/>
  <c r="AH585" i="5"/>
  <c r="AF585" i="5"/>
  <c r="AE585" i="5"/>
  <c r="AD585" i="5"/>
  <c r="AC585" i="5"/>
  <c r="AB585" i="5"/>
  <c r="AG585" i="5" s="1"/>
  <c r="AA585" i="5"/>
  <c r="Z585" i="5"/>
  <c r="Y585" i="5"/>
  <c r="X585" i="5"/>
  <c r="W585" i="5"/>
  <c r="V585" i="5"/>
  <c r="AI584" i="5"/>
  <c r="AH584" i="5"/>
  <c r="AG584" i="5"/>
  <c r="AF584" i="5"/>
  <c r="AE584" i="5"/>
  <c r="AD584" i="5"/>
  <c r="AC584" i="5"/>
  <c r="AB584" i="5"/>
  <c r="AA584" i="5"/>
  <c r="Z584" i="5"/>
  <c r="Y584" i="5"/>
  <c r="X584" i="5"/>
  <c r="W584" i="5"/>
  <c r="V584" i="5"/>
  <c r="AI583" i="5"/>
  <c r="AH583" i="5"/>
  <c r="AG583" i="5"/>
  <c r="AF583" i="5"/>
  <c r="AE583" i="5"/>
  <c r="AD583" i="5"/>
  <c r="AC583" i="5"/>
  <c r="AB583" i="5"/>
  <c r="AA583" i="5"/>
  <c r="Z583" i="5"/>
  <c r="Y583" i="5"/>
  <c r="X583" i="5"/>
  <c r="W583" i="5"/>
  <c r="V583" i="5"/>
  <c r="AI582" i="5"/>
  <c r="AH582" i="5"/>
  <c r="AG582" i="5"/>
  <c r="AF582" i="5"/>
  <c r="AE582" i="5"/>
  <c r="AD582" i="5"/>
  <c r="AC582" i="5"/>
  <c r="AB582" i="5"/>
  <c r="AA582" i="5"/>
  <c r="Z582" i="5"/>
  <c r="Y582" i="5"/>
  <c r="X582" i="5"/>
  <c r="W582" i="5"/>
  <c r="V582" i="5"/>
  <c r="AI581" i="5"/>
  <c r="AH581" i="5"/>
  <c r="AG581" i="5"/>
  <c r="AF581" i="5"/>
  <c r="AE581" i="5"/>
  <c r="AD581" i="5"/>
  <c r="AC581" i="5"/>
  <c r="AB581" i="5"/>
  <c r="AA581" i="5"/>
  <c r="Z581" i="5"/>
  <c r="Y581" i="5"/>
  <c r="X581" i="5"/>
  <c r="W581" i="5"/>
  <c r="V581" i="5"/>
  <c r="AH580" i="5"/>
  <c r="AG580" i="5"/>
  <c r="AF580" i="5"/>
  <c r="AE580" i="5"/>
  <c r="AD580" i="5"/>
  <c r="AC580" i="5"/>
  <c r="AB580" i="5"/>
  <c r="AA580" i="5"/>
  <c r="Z580" i="5"/>
  <c r="AI580" i="5" s="1"/>
  <c r="Y580" i="5"/>
  <c r="X580" i="5"/>
  <c r="W580" i="5"/>
  <c r="V580" i="5"/>
  <c r="AI579" i="5"/>
  <c r="AH579" i="5"/>
  <c r="AF579" i="5"/>
  <c r="AE579" i="5"/>
  <c r="AD579" i="5"/>
  <c r="AC579" i="5"/>
  <c r="AB579" i="5"/>
  <c r="AG579" i="5" s="1"/>
  <c r="AA579" i="5"/>
  <c r="Z579" i="5"/>
  <c r="Y579" i="5"/>
  <c r="X579" i="5"/>
  <c r="W579" i="5"/>
  <c r="V579" i="5"/>
  <c r="AI578" i="5"/>
  <c r="AH578" i="5"/>
  <c r="AF578" i="5"/>
  <c r="AE578" i="5"/>
  <c r="AD578" i="5"/>
  <c r="AC578" i="5"/>
  <c r="AB578" i="5"/>
  <c r="AG578" i="5" s="1"/>
  <c r="AA578" i="5"/>
  <c r="Z578" i="5"/>
  <c r="Y578" i="5"/>
  <c r="X578" i="5"/>
  <c r="W578" i="5"/>
  <c r="V578" i="5"/>
  <c r="AI577" i="5"/>
  <c r="AH577" i="5"/>
  <c r="AG577" i="5"/>
  <c r="AF577" i="5"/>
  <c r="AE577" i="5"/>
  <c r="AD577" i="5"/>
  <c r="AC577" i="5"/>
  <c r="AB577" i="5"/>
  <c r="AA577" i="5"/>
  <c r="Z577" i="5"/>
  <c r="Y577" i="5"/>
  <c r="X577" i="5"/>
  <c r="W577" i="5"/>
  <c r="V577" i="5"/>
  <c r="AI576" i="5"/>
  <c r="AH576" i="5"/>
  <c r="AF576" i="5"/>
  <c r="AE576" i="5"/>
  <c r="AD576" i="5"/>
  <c r="AC576" i="5"/>
  <c r="AB576" i="5"/>
  <c r="AG576" i="5" s="1"/>
  <c r="AA576" i="5"/>
  <c r="Z576" i="5"/>
  <c r="Y576" i="5"/>
  <c r="X576" i="5"/>
  <c r="W576" i="5"/>
  <c r="V576" i="5"/>
  <c r="AH575" i="5"/>
  <c r="AG575" i="5"/>
  <c r="AF575" i="5"/>
  <c r="AE575" i="5"/>
  <c r="AD575" i="5"/>
  <c r="AC575" i="5"/>
  <c r="AB575" i="5"/>
  <c r="AA575" i="5"/>
  <c r="Z575" i="5"/>
  <c r="AI575" i="5" s="1"/>
  <c r="Y575" i="5"/>
  <c r="X575" i="5"/>
  <c r="W575" i="5"/>
  <c r="V575" i="5"/>
  <c r="AH574" i="5"/>
  <c r="AG574" i="5"/>
  <c r="AF574" i="5"/>
  <c r="AE574" i="5"/>
  <c r="AD574" i="5"/>
  <c r="AC574" i="5"/>
  <c r="AB574" i="5"/>
  <c r="AA574" i="5"/>
  <c r="Z574" i="5"/>
  <c r="AI574" i="5" s="1"/>
  <c r="Y574" i="5"/>
  <c r="X574" i="5"/>
  <c r="W574" i="5"/>
  <c r="V574" i="5"/>
  <c r="AI573" i="5"/>
  <c r="AH573" i="5"/>
  <c r="AF573" i="5"/>
  <c r="AE573" i="5"/>
  <c r="AD573" i="5"/>
  <c r="AC573" i="5"/>
  <c r="AB573" i="5"/>
  <c r="AG573" i="5" s="1"/>
  <c r="AA573" i="5"/>
  <c r="Z573" i="5"/>
  <c r="Y573" i="5"/>
  <c r="X573" i="5"/>
  <c r="W573" i="5"/>
  <c r="V573" i="5"/>
  <c r="AI572" i="5"/>
  <c r="AH572" i="5"/>
  <c r="AF572" i="5"/>
  <c r="AE572" i="5"/>
  <c r="AD572" i="5"/>
  <c r="AC572" i="5"/>
  <c r="AB572" i="5"/>
  <c r="AG572" i="5" s="1"/>
  <c r="AA572" i="5"/>
  <c r="Z572" i="5"/>
  <c r="Y572" i="5"/>
  <c r="X572" i="5"/>
  <c r="W572" i="5"/>
  <c r="V572" i="5"/>
  <c r="AI571" i="5"/>
  <c r="AH571" i="5"/>
  <c r="AG571" i="5"/>
  <c r="AF571" i="5"/>
  <c r="AE571" i="5"/>
  <c r="AD571" i="5"/>
  <c r="AC571" i="5"/>
  <c r="AB571" i="5"/>
  <c r="AA571" i="5"/>
  <c r="Z571" i="5"/>
  <c r="Y571" i="5"/>
  <c r="X571" i="5"/>
  <c r="W571" i="5"/>
  <c r="V571" i="5"/>
  <c r="AI570" i="5"/>
  <c r="AH570" i="5"/>
  <c r="AF570" i="5"/>
  <c r="AE570" i="5"/>
  <c r="AD570" i="5"/>
  <c r="AC570" i="5"/>
  <c r="AB570" i="5"/>
  <c r="AG570" i="5" s="1"/>
  <c r="AA570" i="5"/>
  <c r="Z570" i="5"/>
  <c r="Y570" i="5"/>
  <c r="X570" i="5"/>
  <c r="W570" i="5"/>
  <c r="V570" i="5"/>
  <c r="AH569" i="5"/>
  <c r="AG569" i="5"/>
  <c r="AF569" i="5"/>
  <c r="AE569" i="5"/>
  <c r="AD569" i="5"/>
  <c r="AC569" i="5"/>
  <c r="AB569" i="5"/>
  <c r="AA569" i="5"/>
  <c r="Z569" i="5"/>
  <c r="AI569" i="5" s="1"/>
  <c r="Y569" i="5"/>
  <c r="X569" i="5"/>
  <c r="W569" i="5"/>
  <c r="V569" i="5"/>
  <c r="AH568" i="5"/>
  <c r="AG568" i="5"/>
  <c r="AF568" i="5"/>
  <c r="AE568" i="5"/>
  <c r="AD568" i="5"/>
  <c r="AC568" i="5"/>
  <c r="AB568" i="5"/>
  <c r="AA568" i="5"/>
  <c r="Z568" i="5"/>
  <c r="AI568" i="5" s="1"/>
  <c r="Y568" i="5"/>
  <c r="X568" i="5"/>
  <c r="W568" i="5"/>
  <c r="V568" i="5"/>
  <c r="AI567" i="5"/>
  <c r="AH567" i="5"/>
  <c r="AF567" i="5"/>
  <c r="AE567" i="5"/>
  <c r="AD567" i="5"/>
  <c r="AC567" i="5"/>
  <c r="AB567" i="5"/>
  <c r="AG567" i="5" s="1"/>
  <c r="AA567" i="5"/>
  <c r="Z567" i="5"/>
  <c r="Y567" i="5"/>
  <c r="X567" i="5"/>
  <c r="W567" i="5"/>
  <c r="V567" i="5"/>
  <c r="AI566" i="5"/>
  <c r="AH566" i="5"/>
  <c r="AF566" i="5"/>
  <c r="AE566" i="5"/>
  <c r="AD566" i="5"/>
  <c r="AC566" i="5"/>
  <c r="AB566" i="5"/>
  <c r="AG566" i="5" s="1"/>
  <c r="AA566" i="5"/>
  <c r="Z566" i="5"/>
  <c r="Y566" i="5"/>
  <c r="X566" i="5"/>
  <c r="W566" i="5"/>
  <c r="V566" i="5"/>
  <c r="AI565" i="5"/>
  <c r="AH565" i="5"/>
  <c r="AG565" i="5"/>
  <c r="AF565" i="5"/>
  <c r="AE565" i="5"/>
  <c r="AD565" i="5"/>
  <c r="AC565" i="5"/>
  <c r="AB565" i="5"/>
  <c r="AA565" i="5"/>
  <c r="Z565" i="5"/>
  <c r="Y565" i="5"/>
  <c r="X565" i="5"/>
  <c r="W565" i="5"/>
  <c r="V565" i="5"/>
  <c r="AI564" i="5"/>
  <c r="AH564" i="5"/>
  <c r="AF564" i="5"/>
  <c r="AE564" i="5"/>
  <c r="AD564" i="5"/>
  <c r="AC564" i="5"/>
  <c r="AB564" i="5"/>
  <c r="AG564" i="5" s="1"/>
  <c r="AA564" i="5"/>
  <c r="Z564" i="5"/>
  <c r="Y564" i="5"/>
  <c r="X564" i="5"/>
  <c r="W564" i="5"/>
  <c r="V564" i="5"/>
  <c r="AH563" i="5"/>
  <c r="AG563" i="5"/>
  <c r="AF563" i="5"/>
  <c r="AE563" i="5"/>
  <c r="AD563" i="5"/>
  <c r="AC563" i="5"/>
  <c r="AB563" i="5"/>
  <c r="AA563" i="5"/>
  <c r="Z563" i="5"/>
  <c r="AI563" i="5" s="1"/>
  <c r="Y563" i="5"/>
  <c r="X563" i="5"/>
  <c r="W563" i="5"/>
  <c r="V563" i="5"/>
  <c r="AH562" i="5"/>
  <c r="AG562" i="5"/>
  <c r="AF562" i="5"/>
  <c r="AE562" i="5"/>
  <c r="AD562" i="5"/>
  <c r="AC562" i="5"/>
  <c r="AB562" i="5"/>
  <c r="AA562" i="5"/>
  <c r="Z562" i="5"/>
  <c r="AI562" i="5" s="1"/>
  <c r="Y562" i="5"/>
  <c r="X562" i="5"/>
  <c r="W562" i="5"/>
  <c r="V562" i="5"/>
  <c r="AI561" i="5"/>
  <c r="AH561" i="5"/>
  <c r="AF561" i="5"/>
  <c r="AE561" i="5"/>
  <c r="AD561" i="5"/>
  <c r="AC561" i="5"/>
  <c r="AB561" i="5"/>
  <c r="AG561" i="5" s="1"/>
  <c r="AA561" i="5"/>
  <c r="Z561" i="5"/>
  <c r="Y561" i="5"/>
  <c r="X561" i="5"/>
  <c r="W561" i="5"/>
  <c r="V561" i="5"/>
  <c r="AI560" i="5"/>
  <c r="AH560" i="5"/>
  <c r="AF560" i="5"/>
  <c r="AE560" i="5"/>
  <c r="AD560" i="5"/>
  <c r="AC560" i="5"/>
  <c r="AB560" i="5"/>
  <c r="AG560" i="5" s="1"/>
  <c r="AA560" i="5"/>
  <c r="Z560" i="5"/>
  <c r="Y560" i="5"/>
  <c r="X560" i="5"/>
  <c r="W560" i="5"/>
  <c r="V560" i="5"/>
  <c r="AI559" i="5"/>
  <c r="AH559" i="5"/>
  <c r="AG559" i="5"/>
  <c r="AF559" i="5"/>
  <c r="AE559" i="5"/>
  <c r="AD559" i="5"/>
  <c r="AC559" i="5"/>
  <c r="AB559" i="5"/>
  <c r="AA559" i="5"/>
  <c r="Z559" i="5"/>
  <c r="Y559" i="5"/>
  <c r="X559" i="5"/>
  <c r="W559" i="5"/>
  <c r="V559" i="5"/>
  <c r="AI558" i="5"/>
  <c r="AH558" i="5"/>
  <c r="AF558" i="5"/>
  <c r="AE558" i="5"/>
  <c r="AD558" i="5"/>
  <c r="AC558" i="5"/>
  <c r="AB558" i="5"/>
  <c r="AG558" i="5" s="1"/>
  <c r="AA558" i="5"/>
  <c r="Z558" i="5"/>
  <c r="Y558" i="5"/>
  <c r="X558" i="5"/>
  <c r="W558" i="5"/>
  <c r="V558" i="5"/>
  <c r="AH557" i="5"/>
  <c r="AG557" i="5"/>
  <c r="AF557" i="5"/>
  <c r="AE557" i="5"/>
  <c r="AD557" i="5"/>
  <c r="AC557" i="5"/>
  <c r="AB557" i="5"/>
  <c r="AA557" i="5"/>
  <c r="Z557" i="5"/>
  <c r="AI557" i="5" s="1"/>
  <c r="Y557" i="5"/>
  <c r="X557" i="5"/>
  <c r="W557" i="5"/>
  <c r="V557" i="5"/>
  <c r="AH556" i="5"/>
  <c r="AG556" i="5"/>
  <c r="AF556" i="5"/>
  <c r="AE556" i="5"/>
  <c r="AD556" i="5"/>
  <c r="AC556" i="5"/>
  <c r="AB556" i="5"/>
  <c r="AA556" i="5"/>
  <c r="Z556" i="5"/>
  <c r="AI556" i="5" s="1"/>
  <c r="Y556" i="5"/>
  <c r="X556" i="5"/>
  <c r="W556" i="5"/>
  <c r="V556" i="5"/>
  <c r="AI555" i="5"/>
  <c r="AH555" i="5"/>
  <c r="AF555" i="5"/>
  <c r="AE555" i="5"/>
  <c r="AD555" i="5"/>
  <c r="AC555" i="5"/>
  <c r="AB555" i="5"/>
  <c r="AG555" i="5" s="1"/>
  <c r="AA555" i="5"/>
  <c r="Z555" i="5"/>
  <c r="Y555" i="5"/>
  <c r="X555" i="5"/>
  <c r="W555" i="5"/>
  <c r="V555" i="5"/>
  <c r="AI554" i="5"/>
  <c r="AH554" i="5"/>
  <c r="AF554" i="5"/>
  <c r="AE554" i="5"/>
  <c r="AD554" i="5"/>
  <c r="AC554" i="5"/>
  <c r="AB554" i="5"/>
  <c r="AG554" i="5" s="1"/>
  <c r="AA554" i="5"/>
  <c r="Z554" i="5"/>
  <c r="Y554" i="5"/>
  <c r="X554" i="5"/>
  <c r="W554" i="5"/>
  <c r="V554" i="5"/>
  <c r="AI553" i="5"/>
  <c r="AH553" i="5"/>
  <c r="AG553" i="5"/>
  <c r="AF553" i="5"/>
  <c r="AE553" i="5"/>
  <c r="AD553" i="5"/>
  <c r="AC553" i="5"/>
  <c r="AB553" i="5"/>
  <c r="AA553" i="5"/>
  <c r="Z553" i="5"/>
  <c r="Y553" i="5"/>
  <c r="X553" i="5"/>
  <c r="W553" i="5"/>
  <c r="V553" i="5"/>
  <c r="AI552" i="5"/>
  <c r="AH552" i="5"/>
  <c r="AF552" i="5"/>
  <c r="AE552" i="5"/>
  <c r="AD552" i="5"/>
  <c r="AC552" i="5"/>
  <c r="AB552" i="5"/>
  <c r="AG552" i="5" s="1"/>
  <c r="AA552" i="5"/>
  <c r="Z552" i="5"/>
  <c r="Y552" i="5"/>
  <c r="X552" i="5"/>
  <c r="W552" i="5"/>
  <c r="V552" i="5"/>
  <c r="AH551" i="5"/>
  <c r="AG551" i="5"/>
  <c r="AF551" i="5"/>
  <c r="AE551" i="5"/>
  <c r="AD551" i="5"/>
  <c r="AC551" i="5"/>
  <c r="AB551" i="5"/>
  <c r="AA551" i="5"/>
  <c r="Z551" i="5"/>
  <c r="AI551" i="5" s="1"/>
  <c r="Y551" i="5"/>
  <c r="X551" i="5"/>
  <c r="W551" i="5"/>
  <c r="V551" i="5"/>
  <c r="AH550" i="5"/>
  <c r="AG550" i="5"/>
  <c r="AF550" i="5"/>
  <c r="AE550" i="5"/>
  <c r="AD550" i="5"/>
  <c r="AC550" i="5"/>
  <c r="AB550" i="5"/>
  <c r="AA550" i="5"/>
  <c r="Z550" i="5"/>
  <c r="AI550" i="5" s="1"/>
  <c r="Y550" i="5"/>
  <c r="X550" i="5"/>
  <c r="W550" i="5"/>
  <c r="V550" i="5"/>
  <c r="AI549" i="5"/>
  <c r="AH549" i="5"/>
  <c r="AF549" i="5"/>
  <c r="AE549" i="5"/>
  <c r="AD549" i="5"/>
  <c r="AC549" i="5"/>
  <c r="AB549" i="5"/>
  <c r="AG549" i="5" s="1"/>
  <c r="AA549" i="5"/>
  <c r="Z549" i="5"/>
  <c r="Y549" i="5"/>
  <c r="X549" i="5"/>
  <c r="W549" i="5"/>
  <c r="V549" i="5"/>
  <c r="AI548" i="5"/>
  <c r="AH548" i="5"/>
  <c r="AF548" i="5"/>
  <c r="AE548" i="5"/>
  <c r="AD548" i="5"/>
  <c r="AC548" i="5"/>
  <c r="AB548" i="5"/>
  <c r="AG548" i="5" s="1"/>
  <c r="AA548" i="5"/>
  <c r="Z548" i="5"/>
  <c r="Y548" i="5"/>
  <c r="X548" i="5"/>
  <c r="W548" i="5"/>
  <c r="V548" i="5"/>
  <c r="AI547" i="5"/>
  <c r="AH547" i="5"/>
  <c r="AG547" i="5"/>
  <c r="AF547" i="5"/>
  <c r="AE547" i="5"/>
  <c r="AD547" i="5"/>
  <c r="AC547" i="5"/>
  <c r="AB547" i="5"/>
  <c r="AA547" i="5"/>
  <c r="Z547" i="5"/>
  <c r="Y547" i="5"/>
  <c r="X547" i="5"/>
  <c r="W547" i="5"/>
  <c r="V547" i="5"/>
  <c r="AI546" i="5"/>
  <c r="AH546" i="5"/>
  <c r="AF546" i="5"/>
  <c r="AE546" i="5"/>
  <c r="AD546" i="5"/>
  <c r="AC546" i="5"/>
  <c r="AB546" i="5"/>
  <c r="AG546" i="5" s="1"/>
  <c r="AA546" i="5"/>
  <c r="Z546" i="5"/>
  <c r="Y546" i="5"/>
  <c r="X546" i="5"/>
  <c r="W546" i="5"/>
  <c r="V546" i="5"/>
  <c r="AH545" i="5"/>
  <c r="AG545" i="5"/>
  <c r="AF545" i="5"/>
  <c r="AE545" i="5"/>
  <c r="AD545" i="5"/>
  <c r="AC545" i="5"/>
  <c r="AB545" i="5"/>
  <c r="AA545" i="5"/>
  <c r="Z545" i="5"/>
  <c r="AI545" i="5" s="1"/>
  <c r="Y545" i="5"/>
  <c r="X545" i="5"/>
  <c r="W545" i="5"/>
  <c r="V545" i="5"/>
  <c r="AH544" i="5"/>
  <c r="AG544" i="5"/>
  <c r="AF544" i="5"/>
  <c r="AE544" i="5"/>
  <c r="AD544" i="5"/>
  <c r="AC544" i="5"/>
  <c r="AB544" i="5"/>
  <c r="AA544" i="5"/>
  <c r="Z544" i="5"/>
  <c r="AI544" i="5" s="1"/>
  <c r="Y544" i="5"/>
  <c r="X544" i="5"/>
  <c r="W544" i="5"/>
  <c r="V544" i="5"/>
  <c r="AI543" i="5"/>
  <c r="AH543" i="5"/>
  <c r="AF543" i="5"/>
  <c r="AE543" i="5"/>
  <c r="AD543" i="5"/>
  <c r="AC543" i="5"/>
  <c r="AB543" i="5"/>
  <c r="AG543" i="5" s="1"/>
  <c r="AA543" i="5"/>
  <c r="Z543" i="5"/>
  <c r="Y543" i="5"/>
  <c r="X543" i="5"/>
  <c r="W543" i="5"/>
  <c r="V543" i="5"/>
  <c r="AI542" i="5"/>
  <c r="AH542" i="5"/>
  <c r="AF542" i="5"/>
  <c r="AE542" i="5"/>
  <c r="AD542" i="5"/>
  <c r="AC542" i="5"/>
  <c r="AB542" i="5"/>
  <c r="AG542" i="5" s="1"/>
  <c r="AA542" i="5"/>
  <c r="Z542" i="5"/>
  <c r="Y542" i="5"/>
  <c r="X542" i="5"/>
  <c r="W542" i="5"/>
  <c r="V542" i="5"/>
  <c r="AI541" i="5"/>
  <c r="AH541" i="5"/>
  <c r="AG541" i="5"/>
  <c r="AF541" i="5"/>
  <c r="AE541" i="5"/>
  <c r="AD541" i="5"/>
  <c r="AC541" i="5"/>
  <c r="AB541" i="5"/>
  <c r="AA541" i="5"/>
  <c r="Z541" i="5"/>
  <c r="Y541" i="5"/>
  <c r="X541" i="5"/>
  <c r="W541" i="5"/>
  <c r="V541" i="5"/>
  <c r="AI540" i="5"/>
  <c r="AH540" i="5"/>
  <c r="AF540" i="5"/>
  <c r="AE540" i="5"/>
  <c r="AD540" i="5"/>
  <c r="AC540" i="5"/>
  <c r="AB540" i="5"/>
  <c r="AG540" i="5" s="1"/>
  <c r="AA540" i="5"/>
  <c r="Z540" i="5"/>
  <c r="Y540" i="5"/>
  <c r="X540" i="5"/>
  <c r="W540" i="5"/>
  <c r="V540" i="5"/>
  <c r="AH539" i="5"/>
  <c r="AG539" i="5"/>
  <c r="AF539" i="5"/>
  <c r="AE539" i="5"/>
  <c r="AD539" i="5"/>
  <c r="AC539" i="5"/>
  <c r="AB539" i="5"/>
  <c r="AA539" i="5"/>
  <c r="Z539" i="5"/>
  <c r="AI539" i="5" s="1"/>
  <c r="Y539" i="5"/>
  <c r="X539" i="5"/>
  <c r="W539" i="5"/>
  <c r="V539" i="5"/>
  <c r="AH538" i="5"/>
  <c r="AG538" i="5"/>
  <c r="AF538" i="5"/>
  <c r="AE538" i="5"/>
  <c r="AD538" i="5"/>
  <c r="AC538" i="5"/>
  <c r="AB538" i="5"/>
  <c r="AA538" i="5"/>
  <c r="Z538" i="5"/>
  <c r="AI538" i="5" s="1"/>
  <c r="Y538" i="5"/>
  <c r="X538" i="5"/>
  <c r="W538" i="5"/>
  <c r="V538" i="5"/>
  <c r="AI537" i="5"/>
  <c r="AH537" i="5"/>
  <c r="AF537" i="5"/>
  <c r="AE537" i="5"/>
  <c r="AD537" i="5"/>
  <c r="AC537" i="5"/>
  <c r="AB537" i="5"/>
  <c r="AG537" i="5" s="1"/>
  <c r="AA537" i="5"/>
  <c r="Z537" i="5"/>
  <c r="Y537" i="5"/>
  <c r="X537" i="5"/>
  <c r="W537" i="5"/>
  <c r="V537" i="5"/>
  <c r="AI536" i="5"/>
  <c r="AH536" i="5"/>
  <c r="AF536" i="5"/>
  <c r="AE536" i="5"/>
  <c r="AD536" i="5"/>
  <c r="AC536" i="5"/>
  <c r="AB536" i="5"/>
  <c r="AG536" i="5" s="1"/>
  <c r="AA536" i="5"/>
  <c r="Z536" i="5"/>
  <c r="Y536" i="5"/>
  <c r="X536" i="5"/>
  <c r="W536" i="5"/>
  <c r="V536" i="5"/>
  <c r="AI535" i="5"/>
  <c r="AH535" i="5"/>
  <c r="AG535" i="5"/>
  <c r="AF535" i="5"/>
  <c r="AE535" i="5"/>
  <c r="AD535" i="5"/>
  <c r="AC535" i="5"/>
  <c r="AB535" i="5"/>
  <c r="AA535" i="5"/>
  <c r="Z535" i="5"/>
  <c r="Y535" i="5"/>
  <c r="X535" i="5"/>
  <c r="W535" i="5"/>
  <c r="V535" i="5"/>
  <c r="AI534" i="5"/>
  <c r="AH534" i="5"/>
  <c r="AF534" i="5"/>
  <c r="AE534" i="5"/>
  <c r="AD534" i="5"/>
  <c r="AC534" i="5"/>
  <c r="AB534" i="5"/>
  <c r="AG534" i="5" s="1"/>
  <c r="AA534" i="5"/>
  <c r="Z534" i="5"/>
  <c r="Y534" i="5"/>
  <c r="X534" i="5"/>
  <c r="W534" i="5"/>
  <c r="V534" i="5"/>
  <c r="AH533" i="5"/>
  <c r="AG533" i="5"/>
  <c r="AF533" i="5"/>
  <c r="AE533" i="5"/>
  <c r="AD533" i="5"/>
  <c r="AC533" i="5"/>
  <c r="AB533" i="5"/>
  <c r="AA533" i="5"/>
  <c r="Z533" i="5"/>
  <c r="AI533" i="5" s="1"/>
  <c r="Y533" i="5"/>
  <c r="X533" i="5"/>
  <c r="W533" i="5"/>
  <c r="V533" i="5"/>
  <c r="AH532" i="5"/>
  <c r="AG532" i="5"/>
  <c r="AF532" i="5"/>
  <c r="AE532" i="5"/>
  <c r="AD532" i="5"/>
  <c r="AC532" i="5"/>
  <c r="AB532" i="5"/>
  <c r="AA532" i="5"/>
  <c r="Z532" i="5"/>
  <c r="AI532" i="5" s="1"/>
  <c r="Y532" i="5"/>
  <c r="X532" i="5"/>
  <c r="W532" i="5"/>
  <c r="V532" i="5"/>
  <c r="AI531" i="5"/>
  <c r="AH531" i="5"/>
  <c r="AF531" i="5"/>
  <c r="AE531" i="5"/>
  <c r="AD531" i="5"/>
  <c r="AC531" i="5"/>
  <c r="AB531" i="5"/>
  <c r="AG531" i="5" s="1"/>
  <c r="AA531" i="5"/>
  <c r="Z531" i="5"/>
  <c r="Y531" i="5"/>
  <c r="X531" i="5"/>
  <c r="W531" i="5"/>
  <c r="V531" i="5"/>
  <c r="AI530" i="5"/>
  <c r="AH530" i="5"/>
  <c r="AF530" i="5"/>
  <c r="AE530" i="5"/>
  <c r="AD530" i="5"/>
  <c r="AC530" i="5"/>
  <c r="AB530" i="5"/>
  <c r="AG530" i="5" s="1"/>
  <c r="AA530" i="5"/>
  <c r="Z530" i="5"/>
  <c r="Y530" i="5"/>
  <c r="X530" i="5"/>
  <c r="W530" i="5"/>
  <c r="V530" i="5"/>
  <c r="AI529" i="5"/>
  <c r="AH529" i="5"/>
  <c r="AG529" i="5"/>
  <c r="AF529" i="5"/>
  <c r="AE529" i="5"/>
  <c r="AD529" i="5"/>
  <c r="AC529" i="5"/>
  <c r="AB529" i="5"/>
  <c r="AA529" i="5"/>
  <c r="Z529" i="5"/>
  <c r="Y529" i="5"/>
  <c r="X529" i="5"/>
  <c r="W529" i="5"/>
  <c r="V529" i="5"/>
  <c r="AI528" i="5"/>
  <c r="AH528" i="5"/>
  <c r="AF528" i="5"/>
  <c r="AE528" i="5"/>
  <c r="AD528" i="5"/>
  <c r="AC528" i="5"/>
  <c r="AB528" i="5"/>
  <c r="AG528" i="5" s="1"/>
  <c r="AA528" i="5"/>
  <c r="Z528" i="5"/>
  <c r="Y528" i="5"/>
  <c r="X528" i="5"/>
  <c r="W528" i="5"/>
  <c r="V528" i="5"/>
  <c r="AH527" i="5"/>
  <c r="AG527" i="5"/>
  <c r="AF527" i="5"/>
  <c r="AE527" i="5"/>
  <c r="AD527" i="5"/>
  <c r="AC527" i="5"/>
  <c r="AB527" i="5"/>
  <c r="AA527" i="5"/>
  <c r="Z527" i="5"/>
  <c r="AI527" i="5" s="1"/>
  <c r="Y527" i="5"/>
  <c r="X527" i="5"/>
  <c r="W527" i="5"/>
  <c r="V527" i="5"/>
  <c r="AH526" i="5"/>
  <c r="AG526" i="5"/>
  <c r="AF526" i="5"/>
  <c r="AE526" i="5"/>
  <c r="AD526" i="5"/>
  <c r="AC526" i="5"/>
  <c r="AB526" i="5"/>
  <c r="AA526" i="5"/>
  <c r="Z526" i="5"/>
  <c r="AI526" i="5" s="1"/>
  <c r="Y526" i="5"/>
  <c r="X526" i="5"/>
  <c r="W526" i="5"/>
  <c r="V526" i="5"/>
  <c r="AI525" i="5"/>
  <c r="AH525" i="5"/>
  <c r="AF525" i="5"/>
  <c r="AE525" i="5"/>
  <c r="AD525" i="5"/>
  <c r="AC525" i="5"/>
  <c r="AB525" i="5"/>
  <c r="AG525" i="5" s="1"/>
  <c r="AA525" i="5"/>
  <c r="Z525" i="5"/>
  <c r="Y525" i="5"/>
  <c r="X525" i="5"/>
  <c r="W525" i="5"/>
  <c r="V525" i="5"/>
  <c r="AI524" i="5"/>
  <c r="AH524" i="5"/>
  <c r="AF524" i="5"/>
  <c r="AE524" i="5"/>
  <c r="AD524" i="5"/>
  <c r="AC524" i="5"/>
  <c r="AB524" i="5"/>
  <c r="AG524" i="5" s="1"/>
  <c r="AA524" i="5"/>
  <c r="Z524" i="5"/>
  <c r="Y524" i="5"/>
  <c r="X524" i="5"/>
  <c r="W524" i="5"/>
  <c r="V524" i="5"/>
  <c r="AI523" i="5"/>
  <c r="AH523" i="5"/>
  <c r="AG523" i="5"/>
  <c r="AF523" i="5"/>
  <c r="AE523" i="5"/>
  <c r="AD523" i="5"/>
  <c r="AC523" i="5"/>
  <c r="AB523" i="5"/>
  <c r="AA523" i="5"/>
  <c r="Z523" i="5"/>
  <c r="Y523" i="5"/>
  <c r="X523" i="5"/>
  <c r="W523" i="5"/>
  <c r="V523" i="5"/>
  <c r="AI522" i="5"/>
  <c r="AH522" i="5"/>
  <c r="AF522" i="5"/>
  <c r="AE522" i="5"/>
  <c r="AD522" i="5"/>
  <c r="AC522" i="5"/>
  <c r="AB522" i="5"/>
  <c r="AG522" i="5" s="1"/>
  <c r="AA522" i="5"/>
  <c r="Z522" i="5"/>
  <c r="Y522" i="5"/>
  <c r="X522" i="5"/>
  <c r="W522" i="5"/>
  <c r="V522" i="5"/>
  <c r="AH521" i="5"/>
  <c r="AG521" i="5"/>
  <c r="AF521" i="5"/>
  <c r="AE521" i="5"/>
  <c r="AD521" i="5"/>
  <c r="AC521" i="5"/>
  <c r="AB521" i="5"/>
  <c r="AA521" i="5"/>
  <c r="Z521" i="5"/>
  <c r="AI521" i="5" s="1"/>
  <c r="Y521" i="5"/>
  <c r="X521" i="5"/>
  <c r="W521" i="5"/>
  <c r="V521" i="5"/>
  <c r="AH520" i="5"/>
  <c r="AG520" i="5"/>
  <c r="AF520" i="5"/>
  <c r="AE520" i="5"/>
  <c r="AD520" i="5"/>
  <c r="AC520" i="5"/>
  <c r="AB520" i="5"/>
  <c r="AA520" i="5"/>
  <c r="Z520" i="5"/>
  <c r="AI520" i="5" s="1"/>
  <c r="Y520" i="5"/>
  <c r="X520" i="5"/>
  <c r="W520" i="5"/>
  <c r="V520" i="5"/>
  <c r="AI519" i="5"/>
  <c r="AH519" i="5"/>
  <c r="AF519" i="5"/>
  <c r="AE519" i="5"/>
  <c r="AD519" i="5"/>
  <c r="AC519" i="5"/>
  <c r="AB519" i="5"/>
  <c r="AG519" i="5" s="1"/>
  <c r="AA519" i="5"/>
  <c r="Z519" i="5"/>
  <c r="Y519" i="5"/>
  <c r="X519" i="5"/>
  <c r="W519" i="5"/>
  <c r="V519" i="5"/>
  <c r="AI518" i="5"/>
  <c r="AH518" i="5"/>
  <c r="AF518" i="5"/>
  <c r="AE518" i="5"/>
  <c r="AD518" i="5"/>
  <c r="AC518" i="5"/>
  <c r="AB518" i="5"/>
  <c r="AG518" i="5" s="1"/>
  <c r="AA518" i="5"/>
  <c r="Z518" i="5"/>
  <c r="Y518" i="5"/>
  <c r="X518" i="5"/>
  <c r="W518" i="5"/>
  <c r="V518" i="5"/>
  <c r="AI517" i="5"/>
  <c r="AH517" i="5"/>
  <c r="AG517" i="5"/>
  <c r="AF517" i="5"/>
  <c r="AE517" i="5"/>
  <c r="AD517" i="5"/>
  <c r="AC517" i="5"/>
  <c r="AB517" i="5"/>
  <c r="AA517" i="5"/>
  <c r="Z517" i="5"/>
  <c r="Y517" i="5"/>
  <c r="X517" i="5"/>
  <c r="W517" i="5"/>
  <c r="V517" i="5"/>
  <c r="AI516" i="5"/>
  <c r="AH516" i="5"/>
  <c r="AF516" i="5"/>
  <c r="AE516" i="5"/>
  <c r="AD516" i="5"/>
  <c r="AC516" i="5"/>
  <c r="AB516" i="5"/>
  <c r="AG516" i="5" s="1"/>
  <c r="AA516" i="5"/>
  <c r="Z516" i="5"/>
  <c r="Y516" i="5"/>
  <c r="X516" i="5"/>
  <c r="W516" i="5"/>
  <c r="V516" i="5"/>
  <c r="AH515" i="5"/>
  <c r="AF515" i="5"/>
  <c r="AE515" i="5"/>
  <c r="AD515" i="5"/>
  <c r="AC515" i="5"/>
  <c r="AB515" i="5"/>
  <c r="AG515" i="5" s="1"/>
  <c r="AA515" i="5"/>
  <c r="Z515" i="5"/>
  <c r="AI515" i="5" s="1"/>
  <c r="Y515" i="5"/>
  <c r="X515" i="5"/>
  <c r="W515" i="5"/>
  <c r="V515" i="5"/>
  <c r="AH514" i="5"/>
  <c r="AG514" i="5"/>
  <c r="AF514" i="5"/>
  <c r="AE514" i="5"/>
  <c r="AD514" i="5"/>
  <c r="AC514" i="5"/>
  <c r="AB514" i="5"/>
  <c r="AA514" i="5"/>
  <c r="Z514" i="5"/>
  <c r="AI514" i="5" s="1"/>
  <c r="Y514" i="5"/>
  <c r="X514" i="5"/>
  <c r="W514" i="5"/>
  <c r="V514" i="5"/>
  <c r="AI513" i="5"/>
  <c r="AH513" i="5"/>
  <c r="AF513" i="5"/>
  <c r="AE513" i="5"/>
  <c r="AD513" i="5"/>
  <c r="AC513" i="5"/>
  <c r="AB513" i="5"/>
  <c r="AG513" i="5" s="1"/>
  <c r="AA513" i="5"/>
  <c r="Z513" i="5"/>
  <c r="Y513" i="5"/>
  <c r="X513" i="5"/>
  <c r="W513" i="5"/>
  <c r="V513" i="5"/>
  <c r="AI512" i="5"/>
  <c r="AH512" i="5"/>
  <c r="AF512" i="5"/>
  <c r="AE512" i="5"/>
  <c r="AD512" i="5"/>
  <c r="AC512" i="5"/>
  <c r="AB512" i="5"/>
  <c r="AG512" i="5" s="1"/>
  <c r="AA512" i="5"/>
  <c r="Z512" i="5"/>
  <c r="Y512" i="5"/>
  <c r="X512" i="5"/>
  <c r="W512" i="5"/>
  <c r="V512" i="5"/>
  <c r="AI511" i="5"/>
  <c r="AH511" i="5"/>
  <c r="AG511" i="5"/>
  <c r="AF511" i="5"/>
  <c r="AE511" i="5"/>
  <c r="AD511" i="5"/>
  <c r="AC511" i="5"/>
  <c r="AB511" i="5"/>
  <c r="AA511" i="5"/>
  <c r="Z511" i="5"/>
  <c r="Y511" i="5"/>
  <c r="X511" i="5"/>
  <c r="W511" i="5"/>
  <c r="V511" i="5"/>
  <c r="AI510" i="5"/>
  <c r="AH510" i="5"/>
  <c r="AF510" i="5"/>
  <c r="AE510" i="5"/>
  <c r="AD510" i="5"/>
  <c r="AC510" i="5"/>
  <c r="AB510" i="5"/>
  <c r="AG510" i="5" s="1"/>
  <c r="AA510" i="5"/>
  <c r="Z510" i="5"/>
  <c r="Y510" i="5"/>
  <c r="X510" i="5"/>
  <c r="W510" i="5"/>
  <c r="V510" i="5"/>
  <c r="AH509" i="5"/>
  <c r="AF509" i="5"/>
  <c r="AE509" i="5"/>
  <c r="AD509" i="5"/>
  <c r="AC509" i="5"/>
  <c r="AB509" i="5"/>
  <c r="AG509" i="5" s="1"/>
  <c r="AA509" i="5"/>
  <c r="Z509" i="5"/>
  <c r="AI509" i="5" s="1"/>
  <c r="Y509" i="5"/>
  <c r="X509" i="5"/>
  <c r="W509" i="5"/>
  <c r="V509" i="5"/>
  <c r="AH508" i="5"/>
  <c r="AG508" i="5"/>
  <c r="AF508" i="5"/>
  <c r="AE508" i="5"/>
  <c r="AD508" i="5"/>
  <c r="AC508" i="5"/>
  <c r="AB508" i="5"/>
  <c r="AA508" i="5"/>
  <c r="Z508" i="5"/>
  <c r="AI508" i="5" s="1"/>
  <c r="Y508" i="5"/>
  <c r="X508" i="5"/>
  <c r="W508" i="5"/>
  <c r="V508" i="5"/>
  <c r="AI507" i="5"/>
  <c r="AH507" i="5"/>
  <c r="AF507" i="5"/>
  <c r="AE507" i="5"/>
  <c r="AD507" i="5"/>
  <c r="AC507" i="5"/>
  <c r="AB507" i="5"/>
  <c r="AG507" i="5" s="1"/>
  <c r="AA507" i="5"/>
  <c r="Z507" i="5"/>
  <c r="Y507" i="5"/>
  <c r="X507" i="5"/>
  <c r="W507" i="5"/>
  <c r="V507" i="5"/>
  <c r="AI506" i="5"/>
  <c r="AH506" i="5"/>
  <c r="AF506" i="5"/>
  <c r="AE506" i="5"/>
  <c r="AD506" i="5"/>
  <c r="AC506" i="5"/>
  <c r="AB506" i="5"/>
  <c r="AG506" i="5" s="1"/>
  <c r="AA506" i="5"/>
  <c r="Z506" i="5"/>
  <c r="Y506" i="5"/>
  <c r="X506" i="5"/>
  <c r="W506" i="5"/>
  <c r="V506" i="5"/>
  <c r="AI505" i="5"/>
  <c r="AH505" i="5"/>
  <c r="AG505" i="5"/>
  <c r="AF505" i="5"/>
  <c r="AE505" i="5"/>
  <c r="AD505" i="5"/>
  <c r="AC505" i="5"/>
  <c r="AB505" i="5"/>
  <c r="AA505" i="5"/>
  <c r="Z505" i="5"/>
  <c r="Y505" i="5"/>
  <c r="X505" i="5"/>
  <c r="W505" i="5"/>
  <c r="V505" i="5"/>
  <c r="AI504" i="5"/>
  <c r="AH504" i="5"/>
  <c r="AF504" i="5"/>
  <c r="AE504" i="5"/>
  <c r="AD504" i="5"/>
  <c r="AC504" i="5"/>
  <c r="AB504" i="5"/>
  <c r="AG504" i="5" s="1"/>
  <c r="AA504" i="5"/>
  <c r="Z504" i="5"/>
  <c r="Y504" i="5"/>
  <c r="X504" i="5"/>
  <c r="W504" i="5"/>
  <c r="V504" i="5"/>
  <c r="AH503" i="5"/>
  <c r="AF503" i="5"/>
  <c r="AE503" i="5"/>
  <c r="AD503" i="5"/>
  <c r="AC503" i="5"/>
  <c r="AB503" i="5"/>
  <c r="AG503" i="5" s="1"/>
  <c r="AA503" i="5"/>
  <c r="Z503" i="5"/>
  <c r="AI503" i="5" s="1"/>
  <c r="Y503" i="5"/>
  <c r="X503" i="5"/>
  <c r="W503" i="5"/>
  <c r="V503" i="5"/>
  <c r="AH502" i="5"/>
  <c r="AG502" i="5"/>
  <c r="AF502" i="5"/>
  <c r="AE502" i="5"/>
  <c r="AD502" i="5"/>
  <c r="AC502" i="5"/>
  <c r="AB502" i="5"/>
  <c r="AA502" i="5"/>
  <c r="Z502" i="5"/>
  <c r="AI502" i="5" s="1"/>
  <c r="Y502" i="5"/>
  <c r="X502" i="5"/>
  <c r="W502" i="5"/>
  <c r="V502" i="5"/>
  <c r="AI501" i="5"/>
  <c r="AH501" i="5"/>
  <c r="AF501" i="5"/>
  <c r="AE501" i="5"/>
  <c r="AD501" i="5"/>
  <c r="AC501" i="5"/>
  <c r="AB501" i="5"/>
  <c r="AG501" i="5" s="1"/>
  <c r="AA501" i="5"/>
  <c r="Z501" i="5"/>
  <c r="Y501" i="5"/>
  <c r="X501" i="5"/>
  <c r="W501" i="5"/>
  <c r="V501" i="5"/>
  <c r="AI500" i="5"/>
  <c r="AH500" i="5"/>
  <c r="AF500" i="5"/>
  <c r="AE500" i="5"/>
  <c r="AD500" i="5"/>
  <c r="AC500" i="5"/>
  <c r="AB500" i="5"/>
  <c r="AG500" i="5" s="1"/>
  <c r="AA500" i="5"/>
  <c r="Z500" i="5"/>
  <c r="Y500" i="5"/>
  <c r="X500" i="5"/>
  <c r="W500" i="5"/>
  <c r="V500" i="5"/>
  <c r="AI499" i="5"/>
  <c r="AH499" i="5"/>
  <c r="AG499" i="5"/>
  <c r="AF499" i="5"/>
  <c r="AE499" i="5"/>
  <c r="AD499" i="5"/>
  <c r="AC499" i="5"/>
  <c r="AB499" i="5"/>
  <c r="AA499" i="5"/>
  <c r="Z499" i="5"/>
  <c r="Y499" i="5"/>
  <c r="X499" i="5"/>
  <c r="W499" i="5"/>
  <c r="V499" i="5"/>
  <c r="AI498" i="5"/>
  <c r="AH498" i="5"/>
  <c r="AF498" i="5"/>
  <c r="AE498" i="5"/>
  <c r="AD498" i="5"/>
  <c r="AC498" i="5"/>
  <c r="AB498" i="5"/>
  <c r="AG498" i="5" s="1"/>
  <c r="AA498" i="5"/>
  <c r="Z498" i="5"/>
  <c r="Y498" i="5"/>
  <c r="X498" i="5"/>
  <c r="W498" i="5"/>
  <c r="V498" i="5"/>
  <c r="AH497" i="5"/>
  <c r="AF497" i="5"/>
  <c r="AE497" i="5"/>
  <c r="AD497" i="5"/>
  <c r="AC497" i="5"/>
  <c r="AB497" i="5"/>
  <c r="AG497" i="5" s="1"/>
  <c r="AA497" i="5"/>
  <c r="Z497" i="5"/>
  <c r="AI497" i="5" s="1"/>
  <c r="Y497" i="5"/>
  <c r="X497" i="5"/>
  <c r="W497" i="5"/>
  <c r="V497" i="5"/>
  <c r="AH496" i="5"/>
  <c r="AG496" i="5"/>
  <c r="AF496" i="5"/>
  <c r="AE496" i="5"/>
  <c r="AD496" i="5"/>
  <c r="AC496" i="5"/>
  <c r="AB496" i="5"/>
  <c r="AA496" i="5"/>
  <c r="Z496" i="5"/>
  <c r="AI496" i="5" s="1"/>
  <c r="Y496" i="5"/>
  <c r="X496" i="5"/>
  <c r="W496" i="5"/>
  <c r="V496" i="5"/>
  <c r="AI495" i="5"/>
  <c r="AH495" i="5"/>
  <c r="AF495" i="5"/>
  <c r="AE495" i="5"/>
  <c r="AD495" i="5"/>
  <c r="AC495" i="5"/>
  <c r="AB495" i="5"/>
  <c r="AG495" i="5" s="1"/>
  <c r="AA495" i="5"/>
  <c r="Z495" i="5"/>
  <c r="Y495" i="5"/>
  <c r="X495" i="5"/>
  <c r="W495" i="5"/>
  <c r="V495" i="5"/>
  <c r="AI494" i="5"/>
  <c r="AH494" i="5"/>
  <c r="AF494" i="5"/>
  <c r="AE494" i="5"/>
  <c r="AD494" i="5"/>
  <c r="AC494" i="5"/>
  <c r="AB494" i="5"/>
  <c r="AG494" i="5" s="1"/>
  <c r="AA494" i="5"/>
  <c r="Z494" i="5"/>
  <c r="Y494" i="5"/>
  <c r="X494" i="5"/>
  <c r="W494" i="5"/>
  <c r="V494" i="5"/>
  <c r="AI493" i="5"/>
  <c r="AH493" i="5"/>
  <c r="AG493" i="5"/>
  <c r="AF493" i="5"/>
  <c r="AE493" i="5"/>
  <c r="AD493" i="5"/>
  <c r="AC493" i="5"/>
  <c r="AB493" i="5"/>
  <c r="AA493" i="5"/>
  <c r="Z493" i="5"/>
  <c r="Y493" i="5"/>
  <c r="X493" i="5"/>
  <c r="W493" i="5"/>
  <c r="V493" i="5"/>
  <c r="AI492" i="5"/>
  <c r="AH492" i="5"/>
  <c r="AF492" i="5"/>
  <c r="AE492" i="5"/>
  <c r="AD492" i="5"/>
  <c r="AC492" i="5"/>
  <c r="AB492" i="5"/>
  <c r="AG492" i="5" s="1"/>
  <c r="AA492" i="5"/>
  <c r="Z492" i="5"/>
  <c r="Y492" i="5"/>
  <c r="X492" i="5"/>
  <c r="W492" i="5"/>
  <c r="V492" i="5"/>
  <c r="AH491" i="5"/>
  <c r="AF491" i="5"/>
  <c r="AE491" i="5"/>
  <c r="AD491" i="5"/>
  <c r="AC491" i="5"/>
  <c r="AB491" i="5"/>
  <c r="AG491" i="5" s="1"/>
  <c r="AA491" i="5"/>
  <c r="Z491" i="5"/>
  <c r="AI491" i="5" s="1"/>
  <c r="Y491" i="5"/>
  <c r="X491" i="5"/>
  <c r="W491" i="5"/>
  <c r="V491" i="5"/>
  <c r="AH490" i="5"/>
  <c r="AG490" i="5"/>
  <c r="AF490" i="5"/>
  <c r="AE490" i="5"/>
  <c r="AD490" i="5"/>
  <c r="AC490" i="5"/>
  <c r="AB490" i="5"/>
  <c r="AA490" i="5"/>
  <c r="Z490" i="5"/>
  <c r="AI490" i="5" s="1"/>
  <c r="Y490" i="5"/>
  <c r="X490" i="5"/>
  <c r="W490" i="5"/>
  <c r="V490" i="5"/>
  <c r="AI489" i="5"/>
  <c r="AH489" i="5"/>
  <c r="AF489" i="5"/>
  <c r="AE489" i="5"/>
  <c r="AD489" i="5"/>
  <c r="AC489" i="5"/>
  <c r="AB489" i="5"/>
  <c r="AG489" i="5" s="1"/>
  <c r="AA489" i="5"/>
  <c r="Z489" i="5"/>
  <c r="Y489" i="5"/>
  <c r="X489" i="5"/>
  <c r="W489" i="5"/>
  <c r="V489" i="5"/>
  <c r="AI488" i="5"/>
  <c r="AH488" i="5"/>
  <c r="AF488" i="5"/>
  <c r="AE488" i="5"/>
  <c r="AD488" i="5"/>
  <c r="AC488" i="5"/>
  <c r="AB488" i="5"/>
  <c r="AG488" i="5" s="1"/>
  <c r="AA488" i="5"/>
  <c r="Z488" i="5"/>
  <c r="Y488" i="5"/>
  <c r="X488" i="5"/>
  <c r="W488" i="5"/>
  <c r="V488" i="5"/>
  <c r="AI487" i="5"/>
  <c r="AH487" i="5"/>
  <c r="AG487" i="5"/>
  <c r="AF487" i="5"/>
  <c r="AE487" i="5"/>
  <c r="AD487" i="5"/>
  <c r="AC487" i="5"/>
  <c r="AB487" i="5"/>
  <c r="AA487" i="5"/>
  <c r="Z487" i="5"/>
  <c r="Y487" i="5"/>
  <c r="X487" i="5"/>
  <c r="W487" i="5"/>
  <c r="V487" i="5"/>
  <c r="AI486" i="5"/>
  <c r="AH486" i="5"/>
  <c r="AF486" i="5"/>
  <c r="AE486" i="5"/>
  <c r="AD486" i="5"/>
  <c r="AC486" i="5"/>
  <c r="AB486" i="5"/>
  <c r="AG486" i="5" s="1"/>
  <c r="AA486" i="5"/>
  <c r="Z486" i="5"/>
  <c r="Y486" i="5"/>
  <c r="X486" i="5"/>
  <c r="W486" i="5"/>
  <c r="V486" i="5"/>
  <c r="AH485" i="5"/>
  <c r="AF485" i="5"/>
  <c r="AE485" i="5"/>
  <c r="AD485" i="5"/>
  <c r="AC485" i="5"/>
  <c r="AB485" i="5"/>
  <c r="AG485" i="5" s="1"/>
  <c r="AA485" i="5"/>
  <c r="Z485" i="5"/>
  <c r="AI485" i="5" s="1"/>
  <c r="Y485" i="5"/>
  <c r="X485" i="5"/>
  <c r="W485" i="5"/>
  <c r="V485" i="5"/>
  <c r="AH484" i="5"/>
  <c r="AG484" i="5"/>
  <c r="AF484" i="5"/>
  <c r="AE484" i="5"/>
  <c r="AD484" i="5"/>
  <c r="AC484" i="5"/>
  <c r="AB484" i="5"/>
  <c r="AA484" i="5"/>
  <c r="Z484" i="5"/>
  <c r="AI484" i="5" s="1"/>
  <c r="Y484" i="5"/>
  <c r="X484" i="5"/>
  <c r="W484" i="5"/>
  <c r="V484" i="5"/>
  <c r="AI483" i="5"/>
  <c r="AH483" i="5"/>
  <c r="AF483" i="5"/>
  <c r="AE483" i="5"/>
  <c r="AD483" i="5"/>
  <c r="AC483" i="5"/>
  <c r="AB483" i="5"/>
  <c r="AG483" i="5" s="1"/>
  <c r="AA483" i="5"/>
  <c r="Z483" i="5"/>
  <c r="Y483" i="5"/>
  <c r="X483" i="5"/>
  <c r="W483" i="5"/>
  <c r="V483" i="5"/>
  <c r="AH482" i="5"/>
  <c r="AF482" i="5"/>
  <c r="AE482" i="5"/>
  <c r="AD482" i="5"/>
  <c r="AC482" i="5"/>
  <c r="AB482" i="5"/>
  <c r="AG482" i="5" s="1"/>
  <c r="AA482" i="5"/>
  <c r="Z482" i="5"/>
  <c r="AI482" i="5" s="1"/>
  <c r="Y482" i="5"/>
  <c r="X482" i="5"/>
  <c r="W482" i="5"/>
  <c r="V482" i="5"/>
  <c r="AI481" i="5"/>
  <c r="AH481" i="5"/>
  <c r="AG481" i="5"/>
  <c r="AF481" i="5"/>
  <c r="AE481" i="5"/>
  <c r="AD481" i="5"/>
  <c r="AC481" i="5"/>
  <c r="AB481" i="5"/>
  <c r="AA481" i="5"/>
  <c r="Z481" i="5"/>
  <c r="Y481" i="5"/>
  <c r="X481" i="5"/>
  <c r="W481" i="5"/>
  <c r="V481" i="5"/>
  <c r="AI480" i="5"/>
  <c r="AH480" i="5"/>
  <c r="AF480" i="5"/>
  <c r="AE480" i="5"/>
  <c r="AD480" i="5"/>
  <c r="AC480" i="5"/>
  <c r="AB480" i="5"/>
  <c r="AG480" i="5" s="1"/>
  <c r="AA480" i="5"/>
  <c r="Z480" i="5"/>
  <c r="Y480" i="5"/>
  <c r="X480" i="5"/>
  <c r="W480" i="5"/>
  <c r="V480" i="5"/>
  <c r="AH479" i="5"/>
  <c r="AF479" i="5"/>
  <c r="AE479" i="5"/>
  <c r="AD479" i="5"/>
  <c r="AC479" i="5"/>
  <c r="AB479" i="5"/>
  <c r="AG479" i="5" s="1"/>
  <c r="AA479" i="5"/>
  <c r="Z479" i="5"/>
  <c r="AI479" i="5" s="1"/>
  <c r="Y479" i="5"/>
  <c r="X479" i="5"/>
  <c r="W479" i="5"/>
  <c r="V479" i="5"/>
  <c r="AH478" i="5"/>
  <c r="AG478" i="5"/>
  <c r="AF478" i="5"/>
  <c r="AE478" i="5"/>
  <c r="AD478" i="5"/>
  <c r="AC478" i="5"/>
  <c r="AB478" i="5"/>
  <c r="AA478" i="5"/>
  <c r="Z478" i="5"/>
  <c r="AI478" i="5" s="1"/>
  <c r="Y478" i="5"/>
  <c r="X478" i="5"/>
  <c r="W478" i="5"/>
  <c r="V478" i="5"/>
  <c r="AI477" i="5"/>
  <c r="AH477" i="5"/>
  <c r="AF477" i="5"/>
  <c r="AE477" i="5"/>
  <c r="AD477" i="5"/>
  <c r="AC477" i="5"/>
  <c r="AB477" i="5"/>
  <c r="AG477" i="5" s="1"/>
  <c r="AA477" i="5"/>
  <c r="Z477" i="5"/>
  <c r="Y477" i="5"/>
  <c r="X477" i="5"/>
  <c r="W477" i="5"/>
  <c r="V477" i="5"/>
  <c r="AH476" i="5"/>
  <c r="AF476" i="5"/>
  <c r="AE476" i="5"/>
  <c r="AD476" i="5"/>
  <c r="AC476" i="5"/>
  <c r="AB476" i="5"/>
  <c r="AG476" i="5" s="1"/>
  <c r="AA476" i="5"/>
  <c r="Z476" i="5"/>
  <c r="AI476" i="5" s="1"/>
  <c r="Y476" i="5"/>
  <c r="X476" i="5"/>
  <c r="W476" i="5"/>
  <c r="V476" i="5"/>
  <c r="AI475" i="5"/>
  <c r="AH475" i="5"/>
  <c r="AG475" i="5"/>
  <c r="AF475" i="5"/>
  <c r="AE475" i="5"/>
  <c r="AD475" i="5"/>
  <c r="AC475" i="5"/>
  <c r="AB475" i="5"/>
  <c r="AA475" i="5"/>
  <c r="Z475" i="5"/>
  <c r="Y475" i="5"/>
  <c r="X475" i="5"/>
  <c r="W475" i="5"/>
  <c r="V475" i="5"/>
  <c r="AI474" i="5"/>
  <c r="AH474" i="5"/>
  <c r="AF474" i="5"/>
  <c r="AE474" i="5"/>
  <c r="AD474" i="5"/>
  <c r="AC474" i="5"/>
  <c r="AB474" i="5"/>
  <c r="AG474" i="5" s="1"/>
  <c r="AA474" i="5"/>
  <c r="Z474" i="5"/>
  <c r="Y474" i="5"/>
  <c r="X474" i="5"/>
  <c r="W474" i="5"/>
  <c r="V474" i="5"/>
  <c r="AH473" i="5"/>
  <c r="AF473" i="5"/>
  <c r="AE473" i="5"/>
  <c r="AD473" i="5"/>
  <c r="AC473" i="5"/>
  <c r="AB473" i="5"/>
  <c r="AG473" i="5" s="1"/>
  <c r="AA473" i="5"/>
  <c r="Z473" i="5"/>
  <c r="AI473" i="5" s="1"/>
  <c r="Y473" i="5"/>
  <c r="X473" i="5"/>
  <c r="W473" i="5"/>
  <c r="V473" i="5"/>
  <c r="AH472" i="5"/>
  <c r="AG472" i="5"/>
  <c r="AF472" i="5"/>
  <c r="AE472" i="5"/>
  <c r="AD472" i="5"/>
  <c r="AC472" i="5"/>
  <c r="AB472" i="5"/>
  <c r="AA472" i="5"/>
  <c r="Z472" i="5"/>
  <c r="AI472" i="5" s="1"/>
  <c r="Y472" i="5"/>
  <c r="X472" i="5"/>
  <c r="W472" i="5"/>
  <c r="V472" i="5"/>
  <c r="AI471" i="5"/>
  <c r="AH471" i="5"/>
  <c r="AF471" i="5"/>
  <c r="AE471" i="5"/>
  <c r="AD471" i="5"/>
  <c r="AC471" i="5"/>
  <c r="AB471" i="5"/>
  <c r="AG471" i="5" s="1"/>
  <c r="AA471" i="5"/>
  <c r="Z471" i="5"/>
  <c r="Y471" i="5"/>
  <c r="X471" i="5"/>
  <c r="W471" i="5"/>
  <c r="V471" i="5"/>
  <c r="AH470" i="5"/>
  <c r="AF470" i="5"/>
  <c r="AE470" i="5"/>
  <c r="AD470" i="5"/>
  <c r="AC470" i="5"/>
  <c r="AB470" i="5"/>
  <c r="AG470" i="5" s="1"/>
  <c r="AA470" i="5"/>
  <c r="Z470" i="5"/>
  <c r="AI470" i="5" s="1"/>
  <c r="Y470" i="5"/>
  <c r="X470" i="5"/>
  <c r="W470" i="5"/>
  <c r="V470" i="5"/>
  <c r="AI469" i="5"/>
  <c r="AH469" i="5"/>
  <c r="AG469" i="5"/>
  <c r="AF469" i="5"/>
  <c r="AE469" i="5"/>
  <c r="AD469" i="5"/>
  <c r="AC469" i="5"/>
  <c r="AB469" i="5"/>
  <c r="AA469" i="5"/>
  <c r="Z469" i="5"/>
  <c r="Y469" i="5"/>
  <c r="X469" i="5"/>
  <c r="W469" i="5"/>
  <c r="V469" i="5"/>
  <c r="AI468" i="5"/>
  <c r="AH468" i="5"/>
  <c r="AF468" i="5"/>
  <c r="AE468" i="5"/>
  <c r="AD468" i="5"/>
  <c r="AC468" i="5"/>
  <c r="AB468" i="5"/>
  <c r="AG468" i="5" s="1"/>
  <c r="AA468" i="5"/>
  <c r="Z468" i="5"/>
  <c r="Y468" i="5"/>
  <c r="X468" i="5"/>
  <c r="W468" i="5"/>
  <c r="V468" i="5"/>
  <c r="AH467" i="5"/>
  <c r="AF467" i="5"/>
  <c r="AE467" i="5"/>
  <c r="AD467" i="5"/>
  <c r="AC467" i="5"/>
  <c r="AB467" i="5"/>
  <c r="AG467" i="5" s="1"/>
  <c r="AA467" i="5"/>
  <c r="Z467" i="5"/>
  <c r="AI467" i="5" s="1"/>
  <c r="Y467" i="5"/>
  <c r="X467" i="5"/>
  <c r="W467" i="5"/>
  <c r="V467" i="5"/>
  <c r="AH466" i="5"/>
  <c r="AG466" i="5"/>
  <c r="AF466" i="5"/>
  <c r="AE466" i="5"/>
  <c r="AD466" i="5"/>
  <c r="AC466" i="5"/>
  <c r="AB466" i="5"/>
  <c r="AA466" i="5"/>
  <c r="Z466" i="5"/>
  <c r="AI466" i="5" s="1"/>
  <c r="Y466" i="5"/>
  <c r="X466" i="5"/>
  <c r="W466" i="5"/>
  <c r="V466" i="5"/>
  <c r="AH465" i="5"/>
  <c r="AF465" i="5"/>
  <c r="AE465" i="5"/>
  <c r="AD465" i="5"/>
  <c r="AC465" i="5"/>
  <c r="AB465" i="5"/>
  <c r="AG465" i="5" s="1"/>
  <c r="AA465" i="5"/>
  <c r="Z465" i="5"/>
  <c r="AI465" i="5" s="1"/>
  <c r="Y465" i="5"/>
  <c r="X465" i="5"/>
  <c r="W465" i="5"/>
  <c r="V465" i="5"/>
  <c r="AH464" i="5"/>
  <c r="AF464" i="5"/>
  <c r="AE464" i="5"/>
  <c r="AD464" i="5"/>
  <c r="AC464" i="5"/>
  <c r="AB464" i="5"/>
  <c r="AG464" i="5" s="1"/>
  <c r="AA464" i="5"/>
  <c r="Z464" i="5"/>
  <c r="AI464" i="5" s="1"/>
  <c r="Y464" i="5"/>
  <c r="X464" i="5"/>
  <c r="W464" i="5"/>
  <c r="V464" i="5"/>
  <c r="AI463" i="5"/>
  <c r="AH463" i="5"/>
  <c r="AG463" i="5"/>
  <c r="AF463" i="5"/>
  <c r="AE463" i="5"/>
  <c r="AD463" i="5"/>
  <c r="AC463" i="5"/>
  <c r="AB463" i="5"/>
  <c r="AA463" i="5"/>
  <c r="Z463" i="5"/>
  <c r="Y463" i="5"/>
  <c r="X463" i="5"/>
  <c r="W463" i="5"/>
  <c r="V463" i="5"/>
  <c r="AI462" i="5"/>
  <c r="AH462" i="5"/>
  <c r="AF462" i="5"/>
  <c r="AE462" i="5"/>
  <c r="AD462" i="5"/>
  <c r="AC462" i="5"/>
  <c r="AB462" i="5"/>
  <c r="AG462" i="5" s="1"/>
  <c r="AA462" i="5"/>
  <c r="Z462" i="5"/>
  <c r="Y462" i="5"/>
  <c r="X462" i="5"/>
  <c r="W462" i="5"/>
  <c r="V462" i="5"/>
  <c r="AH461" i="5"/>
  <c r="AF461" i="5"/>
  <c r="AE461" i="5"/>
  <c r="AD461" i="5"/>
  <c r="AC461" i="5"/>
  <c r="AB461" i="5"/>
  <c r="AG461" i="5" s="1"/>
  <c r="AA461" i="5"/>
  <c r="Z461" i="5"/>
  <c r="AI461" i="5" s="1"/>
  <c r="Y461" i="5"/>
  <c r="X461" i="5"/>
  <c r="W461" i="5"/>
  <c r="V461" i="5"/>
  <c r="AH460" i="5"/>
  <c r="AG460" i="5"/>
  <c r="AF460" i="5"/>
  <c r="AE460" i="5"/>
  <c r="AD460" i="5"/>
  <c r="AC460" i="5"/>
  <c r="AB460" i="5"/>
  <c r="AA460" i="5"/>
  <c r="Z460" i="5"/>
  <c r="AI460" i="5" s="1"/>
  <c r="Y460" i="5"/>
  <c r="X460" i="5"/>
  <c r="W460" i="5"/>
  <c r="V460" i="5"/>
  <c r="AI459" i="5"/>
  <c r="AH459" i="5"/>
  <c r="AF459" i="5"/>
  <c r="AE459" i="5"/>
  <c r="AD459" i="5"/>
  <c r="AC459" i="5"/>
  <c r="AB459" i="5"/>
  <c r="AG459" i="5" s="1"/>
  <c r="AA459" i="5"/>
  <c r="Z459" i="5"/>
  <c r="Y459" i="5"/>
  <c r="X459" i="5"/>
  <c r="W459" i="5"/>
  <c r="V459" i="5"/>
  <c r="AH458" i="5"/>
  <c r="AF458" i="5"/>
  <c r="AE458" i="5"/>
  <c r="AD458" i="5"/>
  <c r="AC458" i="5"/>
  <c r="AB458" i="5"/>
  <c r="AG458" i="5" s="1"/>
  <c r="AA458" i="5"/>
  <c r="Z458" i="5"/>
  <c r="AI458" i="5" s="1"/>
  <c r="Y458" i="5"/>
  <c r="X458" i="5"/>
  <c r="W458" i="5"/>
  <c r="V458" i="5"/>
  <c r="AI457" i="5"/>
  <c r="AH457" i="5"/>
  <c r="AG457" i="5"/>
  <c r="AF457" i="5"/>
  <c r="AE457" i="5"/>
  <c r="AD457" i="5"/>
  <c r="AC457" i="5"/>
  <c r="AB457" i="5"/>
  <c r="AA457" i="5"/>
  <c r="Z457" i="5"/>
  <c r="Y457" i="5"/>
  <c r="X457" i="5"/>
  <c r="W457" i="5"/>
  <c r="V457" i="5"/>
  <c r="AI456" i="5"/>
  <c r="AH456" i="5"/>
  <c r="AF456" i="5"/>
  <c r="AE456" i="5"/>
  <c r="AD456" i="5"/>
  <c r="AC456" i="5"/>
  <c r="AB456" i="5"/>
  <c r="AG456" i="5" s="1"/>
  <c r="AA456" i="5"/>
  <c r="Z456" i="5"/>
  <c r="Y456" i="5"/>
  <c r="X456" i="5"/>
  <c r="W456" i="5"/>
  <c r="V456" i="5"/>
  <c r="AH455" i="5"/>
  <c r="AF455" i="5"/>
  <c r="AE455" i="5"/>
  <c r="AD455" i="5"/>
  <c r="AC455" i="5"/>
  <c r="AB455" i="5"/>
  <c r="AG455" i="5" s="1"/>
  <c r="AA455" i="5"/>
  <c r="Z455" i="5"/>
  <c r="AI455" i="5" s="1"/>
  <c r="Y455" i="5"/>
  <c r="X455" i="5"/>
  <c r="W455" i="5"/>
  <c r="V455" i="5"/>
  <c r="AH454" i="5"/>
  <c r="AG454" i="5"/>
  <c r="AF454" i="5"/>
  <c r="AE454" i="5"/>
  <c r="AD454" i="5"/>
  <c r="AC454" i="5"/>
  <c r="AB454" i="5"/>
  <c r="AA454" i="5"/>
  <c r="Z454" i="5"/>
  <c r="AI454" i="5" s="1"/>
  <c r="Y454" i="5"/>
  <c r="X454" i="5"/>
  <c r="W454" i="5"/>
  <c r="V454" i="5"/>
  <c r="AH453" i="5"/>
  <c r="AF453" i="5"/>
  <c r="AE453" i="5"/>
  <c r="AD453" i="5"/>
  <c r="AC453" i="5"/>
  <c r="AB453" i="5"/>
  <c r="AG453" i="5" s="1"/>
  <c r="AA453" i="5"/>
  <c r="Z453" i="5"/>
  <c r="AI453" i="5" s="1"/>
  <c r="Y453" i="5"/>
  <c r="X453" i="5"/>
  <c r="W453" i="5"/>
  <c r="V453" i="5"/>
  <c r="AH452" i="5"/>
  <c r="AF452" i="5"/>
  <c r="AE452" i="5"/>
  <c r="AD452" i="5"/>
  <c r="AC452" i="5"/>
  <c r="AB452" i="5"/>
  <c r="AG452" i="5" s="1"/>
  <c r="AA452" i="5"/>
  <c r="Z452" i="5"/>
  <c r="AI452" i="5" s="1"/>
  <c r="Y452" i="5"/>
  <c r="X452" i="5"/>
  <c r="W452" i="5"/>
  <c r="V452" i="5"/>
  <c r="AI451" i="5"/>
  <c r="AH451" i="5"/>
  <c r="AG451" i="5"/>
  <c r="AF451" i="5"/>
  <c r="AE451" i="5"/>
  <c r="AD451" i="5"/>
  <c r="AC451" i="5"/>
  <c r="AB451" i="5"/>
  <c r="AA451" i="5"/>
  <c r="Z451" i="5"/>
  <c r="Y451" i="5"/>
  <c r="X451" i="5"/>
  <c r="W451" i="5"/>
  <c r="V451" i="5"/>
  <c r="AH450" i="5"/>
  <c r="AF450" i="5"/>
  <c r="AE450" i="5"/>
  <c r="AD450" i="5"/>
  <c r="AC450" i="5"/>
  <c r="AB450" i="5"/>
  <c r="AG450" i="5" s="1"/>
  <c r="AA450" i="5"/>
  <c r="Z450" i="5"/>
  <c r="AI450" i="5" s="1"/>
  <c r="Y450" i="5"/>
  <c r="X450" i="5"/>
  <c r="W450" i="5"/>
  <c r="V450" i="5"/>
  <c r="AH449" i="5"/>
  <c r="AF449" i="5"/>
  <c r="AE449" i="5"/>
  <c r="AD449" i="5"/>
  <c r="AC449" i="5"/>
  <c r="AB449" i="5"/>
  <c r="AG449" i="5" s="1"/>
  <c r="AA449" i="5"/>
  <c r="Z449" i="5"/>
  <c r="AI449" i="5" s="1"/>
  <c r="Y449" i="5"/>
  <c r="X449" i="5"/>
  <c r="W449" i="5"/>
  <c r="V449" i="5"/>
  <c r="AH448" i="5"/>
  <c r="AG448" i="5"/>
  <c r="AF448" i="5"/>
  <c r="AE448" i="5"/>
  <c r="AD448" i="5"/>
  <c r="AC448" i="5"/>
  <c r="AB448" i="5"/>
  <c r="AA448" i="5"/>
  <c r="Z448" i="5"/>
  <c r="AI448" i="5" s="1"/>
  <c r="Y448" i="5"/>
  <c r="X448" i="5"/>
  <c r="W448" i="5"/>
  <c r="V448" i="5"/>
  <c r="AH447" i="5"/>
  <c r="AF447" i="5"/>
  <c r="AE447" i="5"/>
  <c r="AD447" i="5"/>
  <c r="AC447" i="5"/>
  <c r="AB447" i="5"/>
  <c r="AG447" i="5" s="1"/>
  <c r="AA447" i="5"/>
  <c r="Z447" i="5"/>
  <c r="AI447" i="5" s="1"/>
  <c r="Y447" i="5"/>
  <c r="X447" i="5"/>
  <c r="W447" i="5"/>
  <c r="V447" i="5"/>
  <c r="AH446" i="5"/>
  <c r="AF446" i="5"/>
  <c r="AE446" i="5"/>
  <c r="AD446" i="5"/>
  <c r="AC446" i="5"/>
  <c r="AB446" i="5"/>
  <c r="AG446" i="5" s="1"/>
  <c r="AA446" i="5"/>
  <c r="Z446" i="5"/>
  <c r="AI446" i="5" s="1"/>
  <c r="Y446" i="5"/>
  <c r="X446" i="5"/>
  <c r="W446" i="5"/>
  <c r="V446" i="5"/>
  <c r="AI445" i="5"/>
  <c r="AH445" i="5"/>
  <c r="AG445" i="5"/>
  <c r="AF445" i="5"/>
  <c r="AE445" i="5"/>
  <c r="AD445" i="5"/>
  <c r="AC445" i="5"/>
  <c r="AB445" i="5"/>
  <c r="AA445" i="5"/>
  <c r="Z445" i="5"/>
  <c r="Y445" i="5"/>
  <c r="X445" i="5"/>
  <c r="W445" i="5"/>
  <c r="V445" i="5"/>
  <c r="AI444" i="5"/>
  <c r="AH444" i="5"/>
  <c r="AF444" i="5"/>
  <c r="AE444" i="5"/>
  <c r="AD444" i="5"/>
  <c r="AC444" i="5"/>
  <c r="AB444" i="5"/>
  <c r="AG444" i="5" s="1"/>
  <c r="AA444" i="5"/>
  <c r="Z444" i="5"/>
  <c r="Y444" i="5"/>
  <c r="X444" i="5"/>
  <c r="W444" i="5"/>
  <c r="V444" i="5"/>
  <c r="AH443" i="5"/>
  <c r="AF443" i="5"/>
  <c r="AE443" i="5"/>
  <c r="AD443" i="5"/>
  <c r="AC443" i="5"/>
  <c r="AB443" i="5"/>
  <c r="AG443" i="5" s="1"/>
  <c r="AA443" i="5"/>
  <c r="Z443" i="5"/>
  <c r="AI443" i="5" s="1"/>
  <c r="Y443" i="5"/>
  <c r="X443" i="5"/>
  <c r="W443" i="5"/>
  <c r="V443" i="5"/>
  <c r="AH442" i="5"/>
  <c r="AG442" i="5"/>
  <c r="AF442" i="5"/>
  <c r="AE442" i="5"/>
  <c r="AD442" i="5"/>
  <c r="AC442" i="5"/>
  <c r="AB442" i="5"/>
  <c r="AA442" i="5"/>
  <c r="Z442" i="5"/>
  <c r="AI442" i="5" s="1"/>
  <c r="Y442" i="5"/>
  <c r="X442" i="5"/>
  <c r="W442" i="5"/>
  <c r="V442" i="5"/>
  <c r="AI441" i="5"/>
  <c r="AH441" i="5"/>
  <c r="AF441" i="5"/>
  <c r="AE441" i="5"/>
  <c r="AD441" i="5"/>
  <c r="AC441" i="5"/>
  <c r="AB441" i="5"/>
  <c r="AG441" i="5" s="1"/>
  <c r="AA441" i="5"/>
  <c r="Z441" i="5"/>
  <c r="Y441" i="5"/>
  <c r="X441" i="5"/>
  <c r="W441" i="5"/>
  <c r="V441" i="5"/>
  <c r="AH440" i="5"/>
  <c r="AF440" i="5"/>
  <c r="AE440" i="5"/>
  <c r="AD440" i="5"/>
  <c r="AC440" i="5"/>
  <c r="AB440" i="5"/>
  <c r="AG440" i="5" s="1"/>
  <c r="AA440" i="5"/>
  <c r="Z440" i="5"/>
  <c r="AI440" i="5" s="1"/>
  <c r="Y440" i="5"/>
  <c r="X440" i="5"/>
  <c r="W440" i="5"/>
  <c r="V440" i="5"/>
  <c r="AI439" i="5"/>
  <c r="AH439" i="5"/>
  <c r="AG439" i="5"/>
  <c r="AF439" i="5"/>
  <c r="AE439" i="5"/>
  <c r="AD439" i="5"/>
  <c r="AC439" i="5"/>
  <c r="AB439" i="5"/>
  <c r="AA439" i="5"/>
  <c r="Z439" i="5"/>
  <c r="Y439" i="5"/>
  <c r="X439" i="5"/>
  <c r="W439" i="5"/>
  <c r="V439" i="5"/>
  <c r="AI438" i="5"/>
  <c r="AH438" i="5"/>
  <c r="AF438" i="5"/>
  <c r="AE438" i="5"/>
  <c r="AD438" i="5"/>
  <c r="AC438" i="5"/>
  <c r="AB438" i="5"/>
  <c r="AG438" i="5" s="1"/>
  <c r="AA438" i="5"/>
  <c r="Z438" i="5"/>
  <c r="Y438" i="5"/>
  <c r="X438" i="5"/>
  <c r="W438" i="5"/>
  <c r="V438" i="5"/>
  <c r="AH437" i="5"/>
  <c r="AF437" i="5"/>
  <c r="AE437" i="5"/>
  <c r="AD437" i="5"/>
  <c r="AC437" i="5"/>
  <c r="AB437" i="5"/>
  <c r="AG437" i="5" s="1"/>
  <c r="AA437" i="5"/>
  <c r="Z437" i="5"/>
  <c r="AI437" i="5" s="1"/>
  <c r="Y437" i="5"/>
  <c r="X437" i="5"/>
  <c r="W437" i="5"/>
  <c r="V437" i="5"/>
  <c r="AH436" i="5"/>
  <c r="AG436" i="5"/>
  <c r="AF436" i="5"/>
  <c r="AE436" i="5"/>
  <c r="AD436" i="5"/>
  <c r="AC436" i="5"/>
  <c r="AB436" i="5"/>
  <c r="AA436" i="5"/>
  <c r="Z436" i="5"/>
  <c r="AI436" i="5" s="1"/>
  <c r="Y436" i="5"/>
  <c r="X436" i="5"/>
  <c r="W436" i="5"/>
  <c r="V436" i="5"/>
  <c r="AH435" i="5"/>
  <c r="AF435" i="5"/>
  <c r="AE435" i="5"/>
  <c r="AD435" i="5"/>
  <c r="AC435" i="5"/>
  <c r="AB435" i="5"/>
  <c r="AG435" i="5" s="1"/>
  <c r="AA435" i="5"/>
  <c r="Z435" i="5"/>
  <c r="AI435" i="5" s="1"/>
  <c r="Y435" i="5"/>
  <c r="X435" i="5"/>
  <c r="W435" i="5"/>
  <c r="V435" i="5"/>
  <c r="AH434" i="5"/>
  <c r="AF434" i="5"/>
  <c r="AE434" i="5"/>
  <c r="AD434" i="5"/>
  <c r="AC434" i="5"/>
  <c r="AB434" i="5"/>
  <c r="AG434" i="5" s="1"/>
  <c r="AA434" i="5"/>
  <c r="Z434" i="5"/>
  <c r="AI434" i="5" s="1"/>
  <c r="Y434" i="5"/>
  <c r="X434" i="5"/>
  <c r="W434" i="5"/>
  <c r="V434" i="5"/>
  <c r="AI433" i="5"/>
  <c r="AH433" i="5"/>
  <c r="AG433" i="5"/>
  <c r="AF433" i="5"/>
  <c r="AE433" i="5"/>
  <c r="AD433" i="5"/>
  <c r="AC433" i="5"/>
  <c r="AB433" i="5"/>
  <c r="AA433" i="5"/>
  <c r="Z433" i="5"/>
  <c r="Y433" i="5"/>
  <c r="X433" i="5"/>
  <c r="W433" i="5"/>
  <c r="V433" i="5"/>
  <c r="AH432" i="5"/>
  <c r="AF432" i="5"/>
  <c r="AE432" i="5"/>
  <c r="AD432" i="5"/>
  <c r="AC432" i="5"/>
  <c r="AB432" i="5"/>
  <c r="AG432" i="5" s="1"/>
  <c r="AA432" i="5"/>
  <c r="Z432" i="5"/>
  <c r="AI432" i="5" s="1"/>
  <c r="Y432" i="5"/>
  <c r="X432" i="5"/>
  <c r="W432" i="5"/>
  <c r="V432" i="5"/>
  <c r="AH431" i="5"/>
  <c r="AF431" i="5"/>
  <c r="AE431" i="5"/>
  <c r="AD431" i="5"/>
  <c r="AC431" i="5"/>
  <c r="AB431" i="5"/>
  <c r="AG431" i="5" s="1"/>
  <c r="AA431" i="5"/>
  <c r="Z431" i="5"/>
  <c r="AI431" i="5" s="1"/>
  <c r="Y431" i="5"/>
  <c r="X431" i="5"/>
  <c r="W431" i="5"/>
  <c r="V431" i="5"/>
  <c r="AH430" i="5"/>
  <c r="AG430" i="5"/>
  <c r="AF430" i="5"/>
  <c r="AE430" i="5"/>
  <c r="AD430" i="5"/>
  <c r="AC430" i="5"/>
  <c r="AB430" i="5"/>
  <c r="AA430" i="5"/>
  <c r="Z430" i="5"/>
  <c r="AI430" i="5" s="1"/>
  <c r="Y430" i="5"/>
  <c r="X430" i="5"/>
  <c r="W430" i="5"/>
  <c r="V430" i="5"/>
  <c r="AH429" i="5"/>
  <c r="AF429" i="5"/>
  <c r="AE429" i="5"/>
  <c r="AD429" i="5"/>
  <c r="AC429" i="5"/>
  <c r="AB429" i="5"/>
  <c r="AG429" i="5" s="1"/>
  <c r="AA429" i="5"/>
  <c r="Z429" i="5"/>
  <c r="AI429" i="5" s="1"/>
  <c r="Y429" i="5"/>
  <c r="X429" i="5"/>
  <c r="W429" i="5"/>
  <c r="V429" i="5"/>
  <c r="AH428" i="5"/>
  <c r="AF428" i="5"/>
  <c r="AE428" i="5"/>
  <c r="AD428" i="5"/>
  <c r="AC428" i="5"/>
  <c r="AB428" i="5"/>
  <c r="AG428" i="5" s="1"/>
  <c r="AA428" i="5"/>
  <c r="Z428" i="5"/>
  <c r="AI428" i="5" s="1"/>
  <c r="Y428" i="5"/>
  <c r="X428" i="5"/>
  <c r="W428" i="5"/>
  <c r="V428" i="5"/>
  <c r="AI427" i="5"/>
  <c r="AH427" i="5"/>
  <c r="AG427" i="5"/>
  <c r="AF427" i="5"/>
  <c r="AE427" i="5"/>
  <c r="AD427" i="5"/>
  <c r="AC427" i="5"/>
  <c r="AB427" i="5"/>
  <c r="AA427" i="5"/>
  <c r="Z427" i="5"/>
  <c r="Y427" i="5"/>
  <c r="X427" i="5"/>
  <c r="W427" i="5"/>
  <c r="V427" i="5"/>
  <c r="AH426" i="5"/>
  <c r="AF426" i="5"/>
  <c r="AE426" i="5"/>
  <c r="AD426" i="5"/>
  <c r="AC426" i="5"/>
  <c r="AB426" i="5"/>
  <c r="AG426" i="5" s="1"/>
  <c r="AA426" i="5"/>
  <c r="Z426" i="5"/>
  <c r="AI426" i="5" s="1"/>
  <c r="Y426" i="5"/>
  <c r="X426" i="5"/>
  <c r="W426" i="5"/>
  <c r="V426" i="5"/>
  <c r="AH425" i="5"/>
  <c r="AF425" i="5"/>
  <c r="AE425" i="5"/>
  <c r="AD425" i="5"/>
  <c r="AC425" i="5"/>
  <c r="AB425" i="5"/>
  <c r="AG425" i="5" s="1"/>
  <c r="AA425" i="5"/>
  <c r="Z425" i="5"/>
  <c r="AI425" i="5" s="1"/>
  <c r="Y425" i="5"/>
  <c r="X425" i="5"/>
  <c r="W425" i="5"/>
  <c r="V425" i="5"/>
  <c r="AH424" i="5"/>
  <c r="AG424" i="5"/>
  <c r="AF424" i="5"/>
  <c r="AE424" i="5"/>
  <c r="AD424" i="5"/>
  <c r="AC424" i="5"/>
  <c r="AB424" i="5"/>
  <c r="AA424" i="5"/>
  <c r="Z424" i="5"/>
  <c r="AI424" i="5" s="1"/>
  <c r="Y424" i="5"/>
  <c r="X424" i="5"/>
  <c r="W424" i="5"/>
  <c r="V424" i="5"/>
  <c r="AI423" i="5"/>
  <c r="AH423" i="5"/>
  <c r="AF423" i="5"/>
  <c r="AE423" i="5"/>
  <c r="AD423" i="5"/>
  <c r="AC423" i="5"/>
  <c r="AB423" i="5"/>
  <c r="AG423" i="5" s="1"/>
  <c r="AA423" i="5"/>
  <c r="Z423" i="5"/>
  <c r="Y423" i="5"/>
  <c r="X423" i="5"/>
  <c r="W423" i="5"/>
  <c r="V423" i="5"/>
  <c r="AH422" i="5"/>
  <c r="AF422" i="5"/>
  <c r="AE422" i="5"/>
  <c r="AD422" i="5"/>
  <c r="AC422" i="5"/>
  <c r="AB422" i="5"/>
  <c r="AG422" i="5" s="1"/>
  <c r="AA422" i="5"/>
  <c r="Z422" i="5"/>
  <c r="AI422" i="5" s="1"/>
  <c r="Y422" i="5"/>
  <c r="X422" i="5"/>
  <c r="W422" i="5"/>
  <c r="V422" i="5"/>
  <c r="AI421" i="5"/>
  <c r="AH421" i="5"/>
  <c r="AG421" i="5"/>
  <c r="AF421" i="5"/>
  <c r="AE421" i="5"/>
  <c r="AD421" i="5"/>
  <c r="AC421" i="5"/>
  <c r="AB421" i="5"/>
  <c r="AA421" i="5"/>
  <c r="Z421" i="5"/>
  <c r="Y421" i="5"/>
  <c r="X421" i="5"/>
  <c r="W421" i="5"/>
  <c r="V421" i="5"/>
  <c r="AI420" i="5"/>
  <c r="AH420" i="5"/>
  <c r="AF420" i="5"/>
  <c r="AE420" i="5"/>
  <c r="AD420" i="5"/>
  <c r="AC420" i="5"/>
  <c r="AB420" i="5"/>
  <c r="AG420" i="5" s="1"/>
  <c r="AA420" i="5"/>
  <c r="Z420" i="5"/>
  <c r="Y420" i="5"/>
  <c r="X420" i="5"/>
  <c r="W420" i="5"/>
  <c r="V420" i="5"/>
  <c r="AH419" i="5"/>
  <c r="AF419" i="5"/>
  <c r="AE419" i="5"/>
  <c r="AD419" i="5"/>
  <c r="AC419" i="5"/>
  <c r="AB419" i="5"/>
  <c r="AG419" i="5" s="1"/>
  <c r="AA419" i="5"/>
  <c r="Z419" i="5"/>
  <c r="AI419" i="5" s="1"/>
  <c r="Y419" i="5"/>
  <c r="X419" i="5"/>
  <c r="W419" i="5"/>
  <c r="V419" i="5"/>
  <c r="AH418" i="5"/>
  <c r="AG418" i="5"/>
  <c r="AF418" i="5"/>
  <c r="AE418" i="5"/>
  <c r="AD418" i="5"/>
  <c r="AC418" i="5"/>
  <c r="AB418" i="5"/>
  <c r="AA418" i="5"/>
  <c r="Z418" i="5"/>
  <c r="AI418" i="5" s="1"/>
  <c r="Y418" i="5"/>
  <c r="X418" i="5"/>
  <c r="W418" i="5"/>
  <c r="V418" i="5"/>
  <c r="AH417" i="5"/>
  <c r="AF417" i="5"/>
  <c r="AE417" i="5"/>
  <c r="AD417" i="5"/>
  <c r="AC417" i="5"/>
  <c r="AB417" i="5"/>
  <c r="AG417" i="5" s="1"/>
  <c r="AA417" i="5"/>
  <c r="Z417" i="5"/>
  <c r="AI417" i="5" s="1"/>
  <c r="Y417" i="5"/>
  <c r="X417" i="5"/>
  <c r="W417" i="5"/>
  <c r="V417" i="5"/>
  <c r="AH416" i="5"/>
  <c r="AF416" i="5"/>
  <c r="AE416" i="5"/>
  <c r="AD416" i="5"/>
  <c r="AC416" i="5"/>
  <c r="AB416" i="5"/>
  <c r="AG416" i="5" s="1"/>
  <c r="AA416" i="5"/>
  <c r="Z416" i="5"/>
  <c r="AI416" i="5" s="1"/>
  <c r="Y416" i="5"/>
  <c r="X416" i="5"/>
  <c r="W416" i="5"/>
  <c r="V416" i="5"/>
  <c r="AH415" i="5"/>
  <c r="AF415" i="5"/>
  <c r="AE415" i="5"/>
  <c r="AD415" i="5"/>
  <c r="AC415" i="5"/>
  <c r="AB415" i="5"/>
  <c r="AG415" i="5" s="1"/>
  <c r="AA415" i="5"/>
  <c r="Z415" i="5"/>
  <c r="AI415" i="5" s="1"/>
  <c r="Y415" i="5"/>
  <c r="X415" i="5"/>
  <c r="W415" i="5"/>
  <c r="V415" i="5"/>
  <c r="AH414" i="5"/>
  <c r="AF414" i="5"/>
  <c r="AE414" i="5"/>
  <c r="AD414" i="5"/>
  <c r="AC414" i="5"/>
  <c r="AB414" i="5"/>
  <c r="AG414" i="5" s="1"/>
  <c r="AA414" i="5"/>
  <c r="Z414" i="5"/>
  <c r="AI414" i="5" s="1"/>
  <c r="Y414" i="5"/>
  <c r="X414" i="5"/>
  <c r="W414" i="5"/>
  <c r="V414" i="5"/>
  <c r="AH413" i="5"/>
  <c r="AF413" i="5"/>
  <c r="AE413" i="5"/>
  <c r="AD413" i="5"/>
  <c r="AC413" i="5"/>
  <c r="AB413" i="5"/>
  <c r="AG413" i="5" s="1"/>
  <c r="AA413" i="5"/>
  <c r="Z413" i="5"/>
  <c r="AI413" i="5" s="1"/>
  <c r="Y413" i="5"/>
  <c r="X413" i="5"/>
  <c r="W413" i="5"/>
  <c r="V413" i="5"/>
  <c r="AH412" i="5"/>
  <c r="AG412" i="5"/>
  <c r="AF412" i="5"/>
  <c r="AE412" i="5"/>
  <c r="AD412" i="5"/>
  <c r="AC412" i="5"/>
  <c r="AB412" i="5"/>
  <c r="AA412" i="5"/>
  <c r="Z412" i="5"/>
  <c r="AI412" i="5" s="1"/>
  <c r="Y412" i="5"/>
  <c r="X412" i="5"/>
  <c r="W412" i="5"/>
  <c r="V412" i="5"/>
  <c r="AI411" i="5"/>
  <c r="AH411" i="5"/>
  <c r="AF411" i="5"/>
  <c r="AE411" i="5"/>
  <c r="AD411" i="5"/>
  <c r="AC411" i="5"/>
  <c r="AB411" i="5"/>
  <c r="AG411" i="5" s="1"/>
  <c r="AA411" i="5"/>
  <c r="Z411" i="5"/>
  <c r="Y411" i="5"/>
  <c r="X411" i="5"/>
  <c r="W411" i="5"/>
  <c r="V411" i="5"/>
  <c r="AH410" i="5"/>
  <c r="AF410" i="5"/>
  <c r="AE410" i="5"/>
  <c r="AD410" i="5"/>
  <c r="AC410" i="5"/>
  <c r="AB410" i="5"/>
  <c r="AG410" i="5" s="1"/>
  <c r="AA410" i="5"/>
  <c r="Z410" i="5"/>
  <c r="AI410" i="5" s="1"/>
  <c r="Y410" i="5"/>
  <c r="X410" i="5"/>
  <c r="W410" i="5"/>
  <c r="V410" i="5"/>
  <c r="AH409" i="5"/>
  <c r="AF409" i="5"/>
  <c r="AE409" i="5"/>
  <c r="AD409" i="5"/>
  <c r="AC409" i="5"/>
  <c r="AB409" i="5"/>
  <c r="AG409" i="5" s="1"/>
  <c r="AA409" i="5"/>
  <c r="Z409" i="5"/>
  <c r="AI409" i="5" s="1"/>
  <c r="Y409" i="5"/>
  <c r="X409" i="5"/>
  <c r="W409" i="5"/>
  <c r="V409" i="5"/>
  <c r="AH408" i="5"/>
  <c r="AG408" i="5"/>
  <c r="AF408" i="5"/>
  <c r="AE408" i="5"/>
  <c r="AD408" i="5"/>
  <c r="AC408" i="5"/>
  <c r="AB408" i="5"/>
  <c r="AA408" i="5"/>
  <c r="Z408" i="5"/>
  <c r="AI408" i="5" s="1"/>
  <c r="Y408" i="5"/>
  <c r="X408" i="5"/>
  <c r="W408" i="5"/>
  <c r="V408" i="5"/>
  <c r="AI407" i="5"/>
  <c r="AH407" i="5"/>
  <c r="AF407" i="5"/>
  <c r="AE407" i="5"/>
  <c r="AD407" i="5"/>
  <c r="AC407" i="5"/>
  <c r="AB407" i="5"/>
  <c r="AG407" i="5" s="1"/>
  <c r="AA407" i="5"/>
  <c r="Z407" i="5"/>
  <c r="Y407" i="5"/>
  <c r="X407" i="5"/>
  <c r="W407" i="5"/>
  <c r="V407" i="5"/>
  <c r="AH406" i="5"/>
  <c r="AG406" i="5"/>
  <c r="AF406" i="5"/>
  <c r="AE406" i="5"/>
  <c r="AD406" i="5"/>
  <c r="AC406" i="5"/>
  <c r="AB406" i="5"/>
  <c r="AA406" i="5"/>
  <c r="Z406" i="5"/>
  <c r="AI406" i="5" s="1"/>
  <c r="Y406" i="5"/>
  <c r="X406" i="5"/>
  <c r="W406" i="5"/>
  <c r="V406" i="5"/>
  <c r="AI405" i="5"/>
  <c r="AH405" i="5"/>
  <c r="AF405" i="5"/>
  <c r="AE405" i="5"/>
  <c r="AD405" i="5"/>
  <c r="AC405" i="5"/>
  <c r="AB405" i="5"/>
  <c r="AG405" i="5" s="1"/>
  <c r="AA405" i="5"/>
  <c r="Z405" i="5"/>
  <c r="Y405" i="5"/>
  <c r="X405" i="5"/>
  <c r="W405" i="5"/>
  <c r="V405" i="5"/>
  <c r="AH404" i="5"/>
  <c r="AF404" i="5"/>
  <c r="AE404" i="5"/>
  <c r="AD404" i="5"/>
  <c r="AC404" i="5"/>
  <c r="AB404" i="5"/>
  <c r="AG404" i="5" s="1"/>
  <c r="AA404" i="5"/>
  <c r="Z404" i="5"/>
  <c r="AI404" i="5" s="1"/>
  <c r="Y404" i="5"/>
  <c r="X404" i="5"/>
  <c r="W404" i="5"/>
  <c r="V404" i="5"/>
  <c r="AH403" i="5"/>
  <c r="AF403" i="5"/>
  <c r="AE403" i="5"/>
  <c r="AD403" i="5"/>
  <c r="AC403" i="5"/>
  <c r="AB403" i="5"/>
  <c r="AG403" i="5" s="1"/>
  <c r="AA403" i="5"/>
  <c r="Z403" i="5"/>
  <c r="AI403" i="5" s="1"/>
  <c r="Y403" i="5"/>
  <c r="X403" i="5"/>
  <c r="W403" i="5"/>
  <c r="V403" i="5"/>
  <c r="AH402" i="5"/>
  <c r="AG402" i="5"/>
  <c r="AF402" i="5"/>
  <c r="AE402" i="5"/>
  <c r="AD402" i="5"/>
  <c r="AC402" i="5"/>
  <c r="AB402" i="5"/>
  <c r="AA402" i="5"/>
  <c r="Z402" i="5"/>
  <c r="AI402" i="5" s="1"/>
  <c r="Y402" i="5"/>
  <c r="X402" i="5"/>
  <c r="W402" i="5"/>
  <c r="V402" i="5"/>
  <c r="AI401" i="5"/>
  <c r="AH401" i="5"/>
  <c r="AF401" i="5"/>
  <c r="AE401" i="5"/>
  <c r="AD401" i="5"/>
  <c r="AC401" i="5"/>
  <c r="AB401" i="5"/>
  <c r="AG401" i="5" s="1"/>
  <c r="AA401" i="5"/>
  <c r="Z401" i="5"/>
  <c r="Y401" i="5"/>
  <c r="X401" i="5"/>
  <c r="W401" i="5"/>
  <c r="V401" i="5"/>
  <c r="AH400" i="5"/>
  <c r="AG400" i="5"/>
  <c r="AF400" i="5"/>
  <c r="AE400" i="5"/>
  <c r="AD400" i="5"/>
  <c r="AC400" i="5"/>
  <c r="AB400" i="5"/>
  <c r="AA400" i="5"/>
  <c r="Z400" i="5"/>
  <c r="AI400" i="5" s="1"/>
  <c r="Y400" i="5"/>
  <c r="X400" i="5"/>
  <c r="W400" i="5"/>
  <c r="V400" i="5"/>
  <c r="AI399" i="5"/>
  <c r="AH399" i="5"/>
  <c r="AF399" i="5"/>
  <c r="AE399" i="5"/>
  <c r="AD399" i="5"/>
  <c r="AC399" i="5"/>
  <c r="AB399" i="5"/>
  <c r="AG399" i="5" s="1"/>
  <c r="AA399" i="5"/>
  <c r="Z399" i="5"/>
  <c r="Y399" i="5"/>
  <c r="X399" i="5"/>
  <c r="W399" i="5"/>
  <c r="V399" i="5"/>
  <c r="AH398" i="5"/>
  <c r="AF398" i="5"/>
  <c r="AE398" i="5"/>
  <c r="AD398" i="5"/>
  <c r="AC398" i="5"/>
  <c r="AB398" i="5"/>
  <c r="AG398" i="5" s="1"/>
  <c r="AA398" i="5"/>
  <c r="Z398" i="5"/>
  <c r="AI398" i="5" s="1"/>
  <c r="Y398" i="5"/>
  <c r="X398" i="5"/>
  <c r="W398" i="5"/>
  <c r="V398" i="5"/>
  <c r="AH397" i="5"/>
  <c r="AF397" i="5"/>
  <c r="AE397" i="5"/>
  <c r="AD397" i="5"/>
  <c r="AC397" i="5"/>
  <c r="AB397" i="5"/>
  <c r="AG397" i="5" s="1"/>
  <c r="AA397" i="5"/>
  <c r="Z397" i="5"/>
  <c r="AI397" i="5" s="1"/>
  <c r="Y397" i="5"/>
  <c r="X397" i="5"/>
  <c r="W397" i="5"/>
  <c r="V397" i="5"/>
  <c r="AH396" i="5"/>
  <c r="AG396" i="5"/>
  <c r="AF396" i="5"/>
  <c r="AE396" i="5"/>
  <c r="AD396" i="5"/>
  <c r="AC396" i="5"/>
  <c r="AB396" i="5"/>
  <c r="AA396" i="5"/>
  <c r="Z396" i="5"/>
  <c r="AI396" i="5" s="1"/>
  <c r="Y396" i="5"/>
  <c r="X396" i="5"/>
  <c r="W396" i="5"/>
  <c r="V396" i="5"/>
  <c r="AI395" i="5"/>
  <c r="AH395" i="5"/>
  <c r="AF395" i="5"/>
  <c r="AE395" i="5"/>
  <c r="AD395" i="5"/>
  <c r="AC395" i="5"/>
  <c r="AB395" i="5"/>
  <c r="AG395" i="5" s="1"/>
  <c r="AA395" i="5"/>
  <c r="Z395" i="5"/>
  <c r="Y395" i="5"/>
  <c r="X395" i="5"/>
  <c r="W395" i="5"/>
  <c r="V395" i="5"/>
  <c r="AH394" i="5"/>
  <c r="AG394" i="5"/>
  <c r="AF394" i="5"/>
  <c r="AE394" i="5"/>
  <c r="AD394" i="5"/>
  <c r="AC394" i="5"/>
  <c r="AB394" i="5"/>
  <c r="AA394" i="5"/>
  <c r="Z394" i="5"/>
  <c r="AI394" i="5" s="1"/>
  <c r="Y394" i="5"/>
  <c r="X394" i="5"/>
  <c r="W394" i="5"/>
  <c r="V394" i="5"/>
  <c r="AI393" i="5"/>
  <c r="AH393" i="5"/>
  <c r="AF393" i="5"/>
  <c r="AE393" i="5"/>
  <c r="AD393" i="5"/>
  <c r="AC393" i="5"/>
  <c r="AB393" i="5"/>
  <c r="AG393" i="5" s="1"/>
  <c r="AA393" i="5"/>
  <c r="Z393" i="5"/>
  <c r="Y393" i="5"/>
  <c r="X393" i="5"/>
  <c r="W393" i="5"/>
  <c r="V393" i="5"/>
  <c r="AH392" i="5"/>
  <c r="AF392" i="5"/>
  <c r="AE392" i="5"/>
  <c r="AD392" i="5"/>
  <c r="AC392" i="5"/>
  <c r="AB392" i="5"/>
  <c r="AG392" i="5" s="1"/>
  <c r="AA392" i="5"/>
  <c r="Z392" i="5"/>
  <c r="AI392" i="5" s="1"/>
  <c r="Y392" i="5"/>
  <c r="X392" i="5"/>
  <c r="W392" i="5"/>
  <c r="V392" i="5"/>
  <c r="AH391" i="5"/>
  <c r="AF391" i="5"/>
  <c r="AE391" i="5"/>
  <c r="AD391" i="5"/>
  <c r="AC391" i="5"/>
  <c r="AB391" i="5"/>
  <c r="AG391" i="5" s="1"/>
  <c r="AA391" i="5"/>
  <c r="Z391" i="5"/>
  <c r="AI391" i="5" s="1"/>
  <c r="Y391" i="5"/>
  <c r="X391" i="5"/>
  <c r="W391" i="5"/>
  <c r="V391" i="5"/>
  <c r="AH390" i="5"/>
  <c r="AG390" i="5"/>
  <c r="AF390" i="5"/>
  <c r="AE390" i="5"/>
  <c r="AD390" i="5"/>
  <c r="AC390" i="5"/>
  <c r="AB390" i="5"/>
  <c r="AA390" i="5"/>
  <c r="Z390" i="5"/>
  <c r="AI390" i="5" s="1"/>
  <c r="Y390" i="5"/>
  <c r="X390" i="5"/>
  <c r="W390" i="5"/>
  <c r="V390" i="5"/>
  <c r="AI389" i="5"/>
  <c r="AH389" i="5"/>
  <c r="AF389" i="5"/>
  <c r="AE389" i="5"/>
  <c r="AD389" i="5"/>
  <c r="AC389" i="5"/>
  <c r="AB389" i="5"/>
  <c r="AG389" i="5" s="1"/>
  <c r="AA389" i="5"/>
  <c r="Z389" i="5"/>
  <c r="Y389" i="5"/>
  <c r="X389" i="5"/>
  <c r="W389" i="5"/>
  <c r="V389" i="5"/>
  <c r="AH388" i="5"/>
  <c r="AG388" i="5"/>
  <c r="AF388" i="5"/>
  <c r="AE388" i="5"/>
  <c r="AD388" i="5"/>
  <c r="AC388" i="5"/>
  <c r="AB388" i="5"/>
  <c r="AA388" i="5"/>
  <c r="Z388" i="5"/>
  <c r="AI388" i="5" s="1"/>
  <c r="Y388" i="5"/>
  <c r="X388" i="5"/>
  <c r="W388" i="5"/>
  <c r="V388" i="5"/>
  <c r="AI387" i="5"/>
  <c r="AH387" i="5"/>
  <c r="AF387" i="5"/>
  <c r="AE387" i="5"/>
  <c r="AD387" i="5"/>
  <c r="AC387" i="5"/>
  <c r="AB387" i="5"/>
  <c r="AG387" i="5" s="1"/>
  <c r="AA387" i="5"/>
  <c r="Z387" i="5"/>
  <c r="Y387" i="5"/>
  <c r="X387" i="5"/>
  <c r="W387" i="5"/>
  <c r="V387" i="5"/>
  <c r="AH386" i="5"/>
  <c r="AF386" i="5"/>
  <c r="AE386" i="5"/>
  <c r="AD386" i="5"/>
  <c r="AC386" i="5"/>
  <c r="AB386" i="5"/>
  <c r="AG386" i="5" s="1"/>
  <c r="AA386" i="5"/>
  <c r="Z386" i="5"/>
  <c r="AI386" i="5" s="1"/>
  <c r="Y386" i="5"/>
  <c r="X386" i="5"/>
  <c r="W386" i="5"/>
  <c r="V386" i="5"/>
  <c r="AH385" i="5"/>
  <c r="AF385" i="5"/>
  <c r="AE385" i="5"/>
  <c r="AD385" i="5"/>
  <c r="AC385" i="5"/>
  <c r="AB385" i="5"/>
  <c r="AG385" i="5" s="1"/>
  <c r="AA385" i="5"/>
  <c r="Z385" i="5"/>
  <c r="AI385" i="5" s="1"/>
  <c r="Y385" i="5"/>
  <c r="X385" i="5"/>
  <c r="W385" i="5"/>
  <c r="V385" i="5"/>
  <c r="AH384" i="5"/>
  <c r="AG384" i="5"/>
  <c r="AF384" i="5"/>
  <c r="AE384" i="5"/>
  <c r="AD384" i="5"/>
  <c r="AC384" i="5"/>
  <c r="AB384" i="5"/>
  <c r="AA384" i="5"/>
  <c r="Z384" i="5"/>
  <c r="AI384" i="5" s="1"/>
  <c r="Y384" i="5"/>
  <c r="X384" i="5"/>
  <c r="W384" i="5"/>
  <c r="V384" i="5"/>
  <c r="AH383" i="5"/>
  <c r="AF383" i="5"/>
  <c r="AE383" i="5"/>
  <c r="AD383" i="5"/>
  <c r="AC383" i="5"/>
  <c r="AB383" i="5"/>
  <c r="AG383" i="5" s="1"/>
  <c r="AA383" i="5"/>
  <c r="Z383" i="5"/>
  <c r="AI383" i="5" s="1"/>
  <c r="Y383" i="5"/>
  <c r="X383" i="5"/>
  <c r="W383" i="5"/>
  <c r="V383" i="5"/>
  <c r="AH382" i="5"/>
  <c r="AF382" i="5"/>
  <c r="AE382" i="5"/>
  <c r="AD382" i="5"/>
  <c r="AC382" i="5"/>
  <c r="AB382" i="5"/>
  <c r="AG382" i="5" s="1"/>
  <c r="AA382" i="5"/>
  <c r="Z382" i="5"/>
  <c r="AI382" i="5" s="1"/>
  <c r="Y382" i="5"/>
  <c r="X382" i="5"/>
  <c r="W382" i="5"/>
  <c r="V382" i="5"/>
  <c r="AI381" i="5"/>
  <c r="AH381" i="5"/>
  <c r="AF381" i="5"/>
  <c r="AE381" i="5"/>
  <c r="AD381" i="5"/>
  <c r="AC381" i="5"/>
  <c r="AB381" i="5"/>
  <c r="AG381" i="5" s="1"/>
  <c r="AA381" i="5"/>
  <c r="Z381" i="5"/>
  <c r="Y381" i="5"/>
  <c r="X381" i="5"/>
  <c r="W381" i="5"/>
  <c r="V381" i="5"/>
  <c r="AH380" i="5"/>
  <c r="AF380" i="5"/>
  <c r="AE380" i="5"/>
  <c r="AD380" i="5"/>
  <c r="AC380" i="5"/>
  <c r="AB380" i="5"/>
  <c r="AG380" i="5" s="1"/>
  <c r="AA380" i="5"/>
  <c r="Z380" i="5"/>
  <c r="AI380" i="5" s="1"/>
  <c r="Y380" i="5"/>
  <c r="X380" i="5"/>
  <c r="W380" i="5"/>
  <c r="V380" i="5"/>
  <c r="AH379" i="5"/>
  <c r="AF379" i="5"/>
  <c r="AE379" i="5"/>
  <c r="AD379" i="5"/>
  <c r="AC379" i="5"/>
  <c r="AB379" i="5"/>
  <c r="AG379" i="5" s="1"/>
  <c r="AA379" i="5"/>
  <c r="Z379" i="5"/>
  <c r="AI379" i="5" s="1"/>
  <c r="Y379" i="5"/>
  <c r="X379" i="5"/>
  <c r="W379" i="5"/>
  <c r="V379" i="5"/>
  <c r="AH378" i="5"/>
  <c r="AG378" i="5"/>
  <c r="AF378" i="5"/>
  <c r="AE378" i="5"/>
  <c r="AD378" i="5"/>
  <c r="AC378" i="5"/>
  <c r="AB378" i="5"/>
  <c r="AA378" i="5"/>
  <c r="Z378" i="5"/>
  <c r="AI378" i="5" s="1"/>
  <c r="Y378" i="5"/>
  <c r="X378" i="5"/>
  <c r="W378" i="5"/>
  <c r="V378" i="5"/>
  <c r="AH377" i="5"/>
  <c r="AF377" i="5"/>
  <c r="AE377" i="5"/>
  <c r="AD377" i="5"/>
  <c r="AC377" i="5"/>
  <c r="AB377" i="5"/>
  <c r="AG377" i="5" s="1"/>
  <c r="AA377" i="5"/>
  <c r="Z377" i="5"/>
  <c r="AI377" i="5" s="1"/>
  <c r="Y377" i="5"/>
  <c r="X377" i="5"/>
  <c r="W377" i="5"/>
  <c r="V377" i="5"/>
  <c r="AH376" i="5"/>
  <c r="AG376" i="5"/>
  <c r="AF376" i="5"/>
  <c r="AE376" i="5"/>
  <c r="AD376" i="5"/>
  <c r="AC376" i="5"/>
  <c r="AB376" i="5"/>
  <c r="AA376" i="5"/>
  <c r="Z376" i="5"/>
  <c r="AI376" i="5" s="1"/>
  <c r="Y376" i="5"/>
  <c r="X376" i="5"/>
  <c r="W376" i="5"/>
  <c r="V376" i="5"/>
  <c r="AI375" i="5"/>
  <c r="AH375" i="5"/>
  <c r="AF375" i="5"/>
  <c r="AE375" i="5"/>
  <c r="AD375" i="5"/>
  <c r="AC375" i="5"/>
  <c r="AB375" i="5"/>
  <c r="AG375" i="5" s="1"/>
  <c r="AA375" i="5"/>
  <c r="Z375" i="5"/>
  <c r="Y375" i="5"/>
  <c r="X375" i="5"/>
  <c r="W375" i="5"/>
  <c r="V375" i="5"/>
  <c r="AH374" i="5"/>
  <c r="AF374" i="5"/>
  <c r="AE374" i="5"/>
  <c r="AD374" i="5"/>
  <c r="AC374" i="5"/>
  <c r="AB374" i="5"/>
  <c r="AG374" i="5" s="1"/>
  <c r="AA374" i="5"/>
  <c r="Z374" i="5"/>
  <c r="AI374" i="5" s="1"/>
  <c r="Y374" i="5"/>
  <c r="X374" i="5"/>
  <c r="W374" i="5"/>
  <c r="V374" i="5"/>
  <c r="AH373" i="5"/>
  <c r="AF373" i="5"/>
  <c r="AE373" i="5"/>
  <c r="AD373" i="5"/>
  <c r="AC373" i="5"/>
  <c r="AB373" i="5"/>
  <c r="AG373" i="5" s="1"/>
  <c r="AA373" i="5"/>
  <c r="Z373" i="5"/>
  <c r="AI373" i="5" s="1"/>
  <c r="Y373" i="5"/>
  <c r="X373" i="5"/>
  <c r="W373" i="5"/>
  <c r="V373" i="5"/>
  <c r="AH372" i="5"/>
  <c r="AG372" i="5"/>
  <c r="AF372" i="5"/>
  <c r="AE372" i="5"/>
  <c r="AD372" i="5"/>
  <c r="AC372" i="5"/>
  <c r="AB372" i="5"/>
  <c r="AA372" i="5"/>
  <c r="Z372" i="5"/>
  <c r="AI372" i="5" s="1"/>
  <c r="Y372" i="5"/>
  <c r="X372" i="5"/>
  <c r="W372" i="5"/>
  <c r="V372" i="5"/>
  <c r="AH371" i="5"/>
  <c r="AF371" i="5"/>
  <c r="AE371" i="5"/>
  <c r="AD371" i="5"/>
  <c r="AC371" i="5"/>
  <c r="AB371" i="5"/>
  <c r="AG371" i="5" s="1"/>
  <c r="AA371" i="5"/>
  <c r="Z371" i="5"/>
  <c r="AI371" i="5" s="1"/>
  <c r="Y371" i="5"/>
  <c r="X371" i="5"/>
  <c r="W371" i="5"/>
  <c r="V371" i="5"/>
  <c r="AH370" i="5"/>
  <c r="AF370" i="5"/>
  <c r="AE370" i="5"/>
  <c r="AD370" i="5"/>
  <c r="AC370" i="5"/>
  <c r="AB370" i="5"/>
  <c r="AG370" i="5" s="1"/>
  <c r="AA370" i="5"/>
  <c r="Z370" i="5"/>
  <c r="AI370" i="5" s="1"/>
  <c r="Y370" i="5"/>
  <c r="X370" i="5"/>
  <c r="W370" i="5"/>
  <c r="V370" i="5"/>
  <c r="AI369" i="5"/>
  <c r="AH369" i="5"/>
  <c r="AF369" i="5"/>
  <c r="AE369" i="5"/>
  <c r="AD369" i="5"/>
  <c r="AC369" i="5"/>
  <c r="AB369" i="5"/>
  <c r="AG369" i="5" s="1"/>
  <c r="AA369" i="5"/>
  <c r="Z369" i="5"/>
  <c r="Y369" i="5"/>
  <c r="X369" i="5"/>
  <c r="W369" i="5"/>
  <c r="V369" i="5"/>
  <c r="AH368" i="5"/>
  <c r="AF368" i="5"/>
  <c r="AE368" i="5"/>
  <c r="AD368" i="5"/>
  <c r="AC368" i="5"/>
  <c r="AB368" i="5"/>
  <c r="AG368" i="5" s="1"/>
  <c r="AA368" i="5"/>
  <c r="Z368" i="5"/>
  <c r="AI368" i="5" s="1"/>
  <c r="Y368" i="5"/>
  <c r="X368" i="5"/>
  <c r="W368" i="5"/>
  <c r="V368" i="5"/>
  <c r="AH367" i="5"/>
  <c r="AF367" i="5"/>
  <c r="AE367" i="5"/>
  <c r="AD367" i="5"/>
  <c r="AC367" i="5"/>
  <c r="AB367" i="5"/>
  <c r="AG367" i="5" s="1"/>
  <c r="AA367" i="5"/>
  <c r="Z367" i="5"/>
  <c r="AI367" i="5" s="1"/>
  <c r="Y367" i="5"/>
  <c r="X367" i="5"/>
  <c r="W367" i="5"/>
  <c r="V367" i="5"/>
  <c r="AH366" i="5"/>
  <c r="AF366" i="5"/>
  <c r="AE366" i="5"/>
  <c r="AD366" i="5"/>
  <c r="AC366" i="5"/>
  <c r="AB366" i="5"/>
  <c r="AG366" i="5" s="1"/>
  <c r="AA366" i="5"/>
  <c r="Z366" i="5"/>
  <c r="AI366" i="5" s="1"/>
  <c r="Y366" i="5"/>
  <c r="X366" i="5"/>
  <c r="W366" i="5"/>
  <c r="V366" i="5"/>
  <c r="AH365" i="5"/>
  <c r="AF365" i="5"/>
  <c r="AE365" i="5"/>
  <c r="AD365" i="5"/>
  <c r="AC365" i="5"/>
  <c r="AB365" i="5"/>
  <c r="AG365" i="5" s="1"/>
  <c r="AA365" i="5"/>
  <c r="Z365" i="5"/>
  <c r="AI365" i="5" s="1"/>
  <c r="Y365" i="5"/>
  <c r="X365" i="5"/>
  <c r="W365" i="5"/>
  <c r="V365" i="5"/>
  <c r="AH364" i="5"/>
  <c r="AG364" i="5"/>
  <c r="AF364" i="5"/>
  <c r="AE364" i="5"/>
  <c r="AD364" i="5"/>
  <c r="AC364" i="5"/>
  <c r="AB364" i="5"/>
  <c r="AA364" i="5"/>
  <c r="Z364" i="5"/>
  <c r="AI364" i="5" s="1"/>
  <c r="Y364" i="5"/>
  <c r="X364" i="5"/>
  <c r="W364" i="5"/>
  <c r="V364" i="5"/>
  <c r="AI363" i="5"/>
  <c r="AH363" i="5"/>
  <c r="AF363" i="5"/>
  <c r="AE363" i="5"/>
  <c r="AD363" i="5"/>
  <c r="AC363" i="5"/>
  <c r="AB363" i="5"/>
  <c r="AG363" i="5" s="1"/>
  <c r="AA363" i="5"/>
  <c r="Z363" i="5"/>
  <c r="Y363" i="5"/>
  <c r="X363" i="5"/>
  <c r="W363" i="5"/>
  <c r="V363" i="5"/>
  <c r="AH362" i="5"/>
  <c r="AF362" i="5"/>
  <c r="AE362" i="5"/>
  <c r="AD362" i="5"/>
  <c r="AC362" i="5"/>
  <c r="AB362" i="5"/>
  <c r="AG362" i="5" s="1"/>
  <c r="AA362" i="5"/>
  <c r="Z362" i="5"/>
  <c r="AI362" i="5" s="1"/>
  <c r="Y362" i="5"/>
  <c r="X362" i="5"/>
  <c r="W362" i="5"/>
  <c r="V362" i="5"/>
  <c r="AH361" i="5"/>
  <c r="AF361" i="5"/>
  <c r="AE361" i="5"/>
  <c r="AD361" i="5"/>
  <c r="AC361" i="5"/>
  <c r="AB361" i="5"/>
  <c r="AG361" i="5" s="1"/>
  <c r="AA361" i="5"/>
  <c r="Z361" i="5"/>
  <c r="AI361" i="5" s="1"/>
  <c r="Y361" i="5"/>
  <c r="X361" i="5"/>
  <c r="W361" i="5"/>
  <c r="V361" i="5"/>
  <c r="AH360" i="5"/>
  <c r="AF360" i="5"/>
  <c r="AE360" i="5"/>
  <c r="AD360" i="5"/>
  <c r="AC360" i="5"/>
  <c r="AB360" i="5"/>
  <c r="AG360" i="5" s="1"/>
  <c r="AA360" i="5"/>
  <c r="Z360" i="5"/>
  <c r="AI360" i="5" s="1"/>
  <c r="Y360" i="5"/>
  <c r="X360" i="5"/>
  <c r="W360" i="5"/>
  <c r="V360" i="5"/>
  <c r="AH359" i="5"/>
  <c r="AF359" i="5"/>
  <c r="AE359" i="5"/>
  <c r="AD359" i="5"/>
  <c r="AC359" i="5"/>
  <c r="AB359" i="5"/>
  <c r="AG359" i="5" s="1"/>
  <c r="AA359" i="5"/>
  <c r="Z359" i="5"/>
  <c r="AI359" i="5" s="1"/>
  <c r="Y359" i="5"/>
  <c r="X359" i="5"/>
  <c r="W359" i="5"/>
  <c r="V359" i="5"/>
  <c r="AH358" i="5"/>
  <c r="AF358" i="5"/>
  <c r="AE358" i="5"/>
  <c r="AD358" i="5"/>
  <c r="AC358" i="5"/>
  <c r="AB358" i="5"/>
  <c r="AG358" i="5" s="1"/>
  <c r="AA358" i="5"/>
  <c r="Z358" i="5"/>
  <c r="AI358" i="5" s="1"/>
  <c r="Y358" i="5"/>
  <c r="X358" i="5"/>
  <c r="W358" i="5"/>
  <c r="V358" i="5"/>
  <c r="AI357" i="5"/>
  <c r="AH357" i="5"/>
  <c r="AF357" i="5"/>
  <c r="AE357" i="5"/>
  <c r="AD357" i="5"/>
  <c r="AC357" i="5"/>
  <c r="AB357" i="5"/>
  <c r="AG357" i="5" s="1"/>
  <c r="AA357" i="5"/>
  <c r="Z357" i="5"/>
  <c r="Y357" i="5"/>
  <c r="X357" i="5"/>
  <c r="W357" i="5"/>
  <c r="V357" i="5"/>
  <c r="AH356" i="5"/>
  <c r="AF356" i="5"/>
  <c r="AE356" i="5"/>
  <c r="AD356" i="5"/>
  <c r="AC356" i="5"/>
  <c r="AB356" i="5"/>
  <c r="AG356" i="5" s="1"/>
  <c r="AA356" i="5"/>
  <c r="Z356" i="5"/>
  <c r="AI356" i="5" s="1"/>
  <c r="Y356" i="5"/>
  <c r="X356" i="5"/>
  <c r="W356" i="5"/>
  <c r="V356" i="5"/>
  <c r="AH355" i="5"/>
  <c r="AF355" i="5"/>
  <c r="AE355" i="5"/>
  <c r="AD355" i="5"/>
  <c r="AC355" i="5"/>
  <c r="AB355" i="5"/>
  <c r="AG355" i="5" s="1"/>
  <c r="AA355" i="5"/>
  <c r="Z355" i="5"/>
  <c r="AI355" i="5" s="1"/>
  <c r="Y355" i="5"/>
  <c r="X355" i="5"/>
  <c r="W355" i="5"/>
  <c r="V355" i="5"/>
  <c r="AH354" i="5"/>
  <c r="AF354" i="5"/>
  <c r="AE354" i="5"/>
  <c r="AD354" i="5"/>
  <c r="AC354" i="5"/>
  <c r="AB354" i="5"/>
  <c r="AG354" i="5" s="1"/>
  <c r="AA354" i="5"/>
  <c r="Z354" i="5"/>
  <c r="AI354" i="5" s="1"/>
  <c r="Y354" i="5"/>
  <c r="X354" i="5"/>
  <c r="W354" i="5"/>
  <c r="V354" i="5"/>
  <c r="AH353" i="5"/>
  <c r="AG353" i="5"/>
  <c r="AF353" i="5"/>
  <c r="AE353" i="5"/>
  <c r="AD353" i="5"/>
  <c r="AC353" i="5"/>
  <c r="AB353" i="5"/>
  <c r="AA353" i="5"/>
  <c r="Z353" i="5"/>
  <c r="AI353" i="5" s="1"/>
  <c r="Y353" i="5"/>
  <c r="X353" i="5"/>
  <c r="W353" i="5"/>
  <c r="V353" i="5"/>
  <c r="AH352" i="5"/>
  <c r="AF352" i="5"/>
  <c r="AE352" i="5"/>
  <c r="AD352" i="5"/>
  <c r="AC352" i="5"/>
  <c r="AB352" i="5"/>
  <c r="AG352" i="5" s="1"/>
  <c r="AA352" i="5"/>
  <c r="Z352" i="5"/>
  <c r="AI352" i="5" s="1"/>
  <c r="Y352" i="5"/>
  <c r="X352" i="5"/>
  <c r="W352" i="5"/>
  <c r="V352" i="5"/>
  <c r="AH351" i="5"/>
  <c r="AF351" i="5"/>
  <c r="AE351" i="5"/>
  <c r="AD351" i="5"/>
  <c r="AC351" i="5"/>
  <c r="AB351" i="5"/>
  <c r="AG351" i="5" s="1"/>
  <c r="AA351" i="5"/>
  <c r="Z351" i="5"/>
  <c r="AI351" i="5" s="1"/>
  <c r="Y351" i="5"/>
  <c r="X351" i="5"/>
  <c r="W351" i="5"/>
  <c r="V351" i="5"/>
  <c r="AH350" i="5"/>
  <c r="AF350" i="5"/>
  <c r="AE350" i="5"/>
  <c r="AD350" i="5"/>
  <c r="AC350" i="5"/>
  <c r="AB350" i="5"/>
  <c r="AG350" i="5" s="1"/>
  <c r="AA350" i="5"/>
  <c r="Z350" i="5"/>
  <c r="AI350" i="5" s="1"/>
  <c r="Y350" i="5"/>
  <c r="X350" i="5"/>
  <c r="W350" i="5"/>
  <c r="V350" i="5"/>
  <c r="AH349" i="5"/>
  <c r="AF349" i="5"/>
  <c r="AE349" i="5"/>
  <c r="AD349" i="5"/>
  <c r="AC349" i="5"/>
  <c r="AB349" i="5"/>
  <c r="AG349" i="5" s="1"/>
  <c r="AA349" i="5"/>
  <c r="Z349" i="5"/>
  <c r="AI349" i="5" s="1"/>
  <c r="Y349" i="5"/>
  <c r="X349" i="5"/>
  <c r="W349" i="5"/>
  <c r="V349" i="5"/>
  <c r="AH348" i="5"/>
  <c r="AF348" i="5"/>
  <c r="AE348" i="5"/>
  <c r="AD348" i="5"/>
  <c r="AC348" i="5"/>
  <c r="AB348" i="5"/>
  <c r="AG348" i="5" s="1"/>
  <c r="AA348" i="5"/>
  <c r="Z348" i="5"/>
  <c r="AI348" i="5" s="1"/>
  <c r="Y348" i="5"/>
  <c r="X348" i="5"/>
  <c r="W348" i="5"/>
  <c r="V348" i="5"/>
  <c r="AH347" i="5"/>
  <c r="AF347" i="5"/>
  <c r="AE347" i="5"/>
  <c r="AD347" i="5"/>
  <c r="AC347" i="5"/>
  <c r="AB347" i="5"/>
  <c r="AG347" i="5" s="1"/>
  <c r="AA347" i="5"/>
  <c r="Z347" i="5"/>
  <c r="AI347" i="5" s="1"/>
  <c r="Y347" i="5"/>
  <c r="X347" i="5"/>
  <c r="W347" i="5"/>
  <c r="V347" i="5"/>
  <c r="AH346" i="5"/>
  <c r="AF346" i="5"/>
  <c r="AE346" i="5"/>
  <c r="AD346" i="5"/>
  <c r="AC346" i="5"/>
  <c r="AB346" i="5"/>
  <c r="AG346" i="5" s="1"/>
  <c r="AA346" i="5"/>
  <c r="Z346" i="5"/>
  <c r="AI346" i="5" s="1"/>
  <c r="Y346" i="5"/>
  <c r="X346" i="5"/>
  <c r="W346" i="5"/>
  <c r="V346" i="5"/>
  <c r="AH345" i="5"/>
  <c r="AF345" i="5"/>
  <c r="AE345" i="5"/>
  <c r="AD345" i="5"/>
  <c r="AC345" i="5"/>
  <c r="AB345" i="5"/>
  <c r="AG345" i="5" s="1"/>
  <c r="AA345" i="5"/>
  <c r="Z345" i="5"/>
  <c r="AI345" i="5" s="1"/>
  <c r="Y345" i="5"/>
  <c r="X345" i="5"/>
  <c r="W345" i="5"/>
  <c r="V345" i="5"/>
  <c r="AH344" i="5"/>
  <c r="AF344" i="5"/>
  <c r="AE344" i="5"/>
  <c r="AD344" i="5"/>
  <c r="AC344" i="5"/>
  <c r="AB344" i="5"/>
  <c r="AG344" i="5" s="1"/>
  <c r="AA344" i="5"/>
  <c r="Z344" i="5"/>
  <c r="AI344" i="5" s="1"/>
  <c r="Y344" i="5"/>
  <c r="X344" i="5"/>
  <c r="W344" i="5"/>
  <c r="V344" i="5"/>
  <c r="AH343" i="5"/>
  <c r="AG343" i="5"/>
  <c r="AF343" i="5"/>
  <c r="AE343" i="5"/>
  <c r="AD343" i="5"/>
  <c r="AC343" i="5"/>
  <c r="AB343" i="5"/>
  <c r="AA343" i="5"/>
  <c r="Z343" i="5"/>
  <c r="AI343" i="5" s="1"/>
  <c r="Y343" i="5"/>
  <c r="X343" i="5"/>
  <c r="W343" i="5"/>
  <c r="V343" i="5"/>
  <c r="AH342" i="5"/>
  <c r="AF342" i="5"/>
  <c r="AE342" i="5"/>
  <c r="AD342" i="5"/>
  <c r="AC342" i="5"/>
  <c r="AB342" i="5"/>
  <c r="AG342" i="5" s="1"/>
  <c r="AA342" i="5"/>
  <c r="Z342" i="5"/>
  <c r="AI342" i="5" s="1"/>
  <c r="Y342" i="5"/>
  <c r="X342" i="5"/>
  <c r="W342" i="5"/>
  <c r="V342" i="5"/>
  <c r="AH341" i="5"/>
  <c r="AF341" i="5"/>
  <c r="AE341" i="5"/>
  <c r="AD341" i="5"/>
  <c r="AC341" i="5"/>
  <c r="AB341" i="5"/>
  <c r="AG341" i="5" s="1"/>
  <c r="AA341" i="5"/>
  <c r="Z341" i="5"/>
  <c r="AI341" i="5" s="1"/>
  <c r="Y341" i="5"/>
  <c r="X341" i="5"/>
  <c r="W341" i="5"/>
  <c r="V341" i="5"/>
  <c r="AH340" i="5"/>
  <c r="AF340" i="5"/>
  <c r="AE340" i="5"/>
  <c r="AD340" i="5"/>
  <c r="AC340" i="5"/>
  <c r="AB340" i="5"/>
  <c r="AG340" i="5" s="1"/>
  <c r="AA340" i="5"/>
  <c r="Z340" i="5"/>
  <c r="AI340" i="5" s="1"/>
  <c r="Y340" i="5"/>
  <c r="X340" i="5"/>
  <c r="W340" i="5"/>
  <c r="V340" i="5"/>
  <c r="AI339" i="5"/>
  <c r="AH339" i="5"/>
  <c r="AF339" i="5"/>
  <c r="AE339" i="5"/>
  <c r="AD339" i="5"/>
  <c r="AC339" i="5"/>
  <c r="AB339" i="5"/>
  <c r="AG339" i="5" s="1"/>
  <c r="AA339" i="5"/>
  <c r="Z339" i="5"/>
  <c r="Y339" i="5"/>
  <c r="X339" i="5"/>
  <c r="W339" i="5"/>
  <c r="V339" i="5"/>
  <c r="AH338" i="5"/>
  <c r="AF338" i="5"/>
  <c r="AE338" i="5"/>
  <c r="AD338" i="5"/>
  <c r="AC338" i="5"/>
  <c r="AB338" i="5"/>
  <c r="AG338" i="5" s="1"/>
  <c r="AA338" i="5"/>
  <c r="Z338" i="5"/>
  <c r="AI338" i="5" s="1"/>
  <c r="Y338" i="5"/>
  <c r="X338" i="5"/>
  <c r="W338" i="5"/>
  <c r="V338" i="5"/>
  <c r="AH337" i="5"/>
  <c r="AF337" i="5"/>
  <c r="AE337" i="5"/>
  <c r="AD337" i="5"/>
  <c r="AC337" i="5"/>
  <c r="AB337" i="5"/>
  <c r="AG337" i="5" s="1"/>
  <c r="AA337" i="5"/>
  <c r="Z337" i="5"/>
  <c r="AI337" i="5" s="1"/>
  <c r="Y337" i="5"/>
  <c r="X337" i="5"/>
  <c r="W337" i="5"/>
  <c r="V337" i="5"/>
  <c r="AH336" i="5"/>
  <c r="AF336" i="5"/>
  <c r="AE336" i="5"/>
  <c r="AD336" i="5"/>
  <c r="AC336" i="5"/>
  <c r="AB336" i="5"/>
  <c r="AG336" i="5" s="1"/>
  <c r="AA336" i="5"/>
  <c r="Z336" i="5"/>
  <c r="AI336" i="5" s="1"/>
  <c r="Y336" i="5"/>
  <c r="X336" i="5"/>
  <c r="W336" i="5"/>
  <c r="V336" i="5"/>
  <c r="AH335" i="5"/>
  <c r="AG335" i="5"/>
  <c r="AF335" i="5"/>
  <c r="AE335" i="5"/>
  <c r="AD335" i="5"/>
  <c r="AC335" i="5"/>
  <c r="AB335" i="5"/>
  <c r="AA335" i="5"/>
  <c r="Z335" i="5"/>
  <c r="AI335" i="5" s="1"/>
  <c r="Y335" i="5"/>
  <c r="X335" i="5"/>
  <c r="W335" i="5"/>
  <c r="V335" i="5"/>
  <c r="AH334" i="5"/>
  <c r="AF334" i="5"/>
  <c r="AE334" i="5"/>
  <c r="AD334" i="5"/>
  <c r="AC334" i="5"/>
  <c r="AB334" i="5"/>
  <c r="AG334" i="5" s="1"/>
  <c r="AA334" i="5"/>
  <c r="Z334" i="5"/>
  <c r="AI334" i="5" s="1"/>
  <c r="Y334" i="5"/>
  <c r="X334" i="5"/>
  <c r="W334" i="5"/>
  <c r="V334" i="5"/>
  <c r="AH333" i="5"/>
  <c r="AF333" i="5"/>
  <c r="AE333" i="5"/>
  <c r="AD333" i="5"/>
  <c r="AC333" i="5"/>
  <c r="AB333" i="5"/>
  <c r="AG333" i="5" s="1"/>
  <c r="AA333" i="5"/>
  <c r="Z333" i="5"/>
  <c r="AI333" i="5" s="1"/>
  <c r="Y333" i="5"/>
  <c r="X333" i="5"/>
  <c r="W333" i="5"/>
  <c r="V333" i="5"/>
  <c r="AH332" i="5"/>
  <c r="AF332" i="5"/>
  <c r="AE332" i="5"/>
  <c r="AD332" i="5"/>
  <c r="AC332" i="5"/>
  <c r="AB332" i="5"/>
  <c r="AG332" i="5" s="1"/>
  <c r="AA332" i="5"/>
  <c r="Z332" i="5"/>
  <c r="AI332" i="5" s="1"/>
  <c r="Y332" i="5"/>
  <c r="X332" i="5"/>
  <c r="W332" i="5"/>
  <c r="V332" i="5"/>
  <c r="AH331" i="5"/>
  <c r="AF331" i="5"/>
  <c r="AE331" i="5"/>
  <c r="AD331" i="5"/>
  <c r="AC331" i="5"/>
  <c r="AB331" i="5"/>
  <c r="AG331" i="5" s="1"/>
  <c r="AA331" i="5"/>
  <c r="Z331" i="5"/>
  <c r="AI331" i="5" s="1"/>
  <c r="Y331" i="5"/>
  <c r="X331" i="5"/>
  <c r="W331" i="5"/>
  <c r="V331" i="5"/>
  <c r="AH330" i="5"/>
  <c r="AF330" i="5"/>
  <c r="AE330" i="5"/>
  <c r="AD330" i="5"/>
  <c r="AC330" i="5"/>
  <c r="AB330" i="5"/>
  <c r="AG330" i="5" s="1"/>
  <c r="AA330" i="5"/>
  <c r="Z330" i="5"/>
  <c r="AI330" i="5" s="1"/>
  <c r="Y330" i="5"/>
  <c r="X330" i="5"/>
  <c r="W330" i="5"/>
  <c r="V330" i="5"/>
  <c r="AH329" i="5"/>
  <c r="AF329" i="5"/>
  <c r="AE329" i="5"/>
  <c r="AD329" i="5"/>
  <c r="AC329" i="5"/>
  <c r="AB329" i="5"/>
  <c r="AG329" i="5" s="1"/>
  <c r="AA329" i="5"/>
  <c r="Z329" i="5"/>
  <c r="AI329" i="5" s="1"/>
  <c r="Y329" i="5"/>
  <c r="X329" i="5"/>
  <c r="W329" i="5"/>
  <c r="V329" i="5"/>
  <c r="AH328" i="5"/>
  <c r="AF328" i="5"/>
  <c r="AE328" i="5"/>
  <c r="AD328" i="5"/>
  <c r="AC328" i="5"/>
  <c r="AB328" i="5"/>
  <c r="AG328" i="5" s="1"/>
  <c r="AA328" i="5"/>
  <c r="Z328" i="5"/>
  <c r="AI328" i="5" s="1"/>
  <c r="Y328" i="5"/>
  <c r="X328" i="5"/>
  <c r="W328" i="5"/>
  <c r="V328" i="5"/>
  <c r="AH327" i="5"/>
  <c r="AF327" i="5"/>
  <c r="AE327" i="5"/>
  <c r="AD327" i="5"/>
  <c r="AC327" i="5"/>
  <c r="AB327" i="5"/>
  <c r="AG327" i="5" s="1"/>
  <c r="AA327" i="5"/>
  <c r="Z327" i="5"/>
  <c r="AI327" i="5" s="1"/>
  <c r="Y327" i="5"/>
  <c r="X327" i="5"/>
  <c r="W327" i="5"/>
  <c r="V327" i="5"/>
  <c r="AH326" i="5"/>
  <c r="AF326" i="5"/>
  <c r="AE326" i="5"/>
  <c r="AD326" i="5"/>
  <c r="AC326" i="5"/>
  <c r="AB326" i="5"/>
  <c r="AG326" i="5" s="1"/>
  <c r="AA326" i="5"/>
  <c r="Z326" i="5"/>
  <c r="AI326" i="5" s="1"/>
  <c r="Y326" i="5"/>
  <c r="X326" i="5"/>
  <c r="W326" i="5"/>
  <c r="V326" i="5"/>
  <c r="AH325" i="5"/>
  <c r="AG325" i="5"/>
  <c r="AF325" i="5"/>
  <c r="AE325" i="5"/>
  <c r="AD325" i="5"/>
  <c r="AC325" i="5"/>
  <c r="AB325" i="5"/>
  <c r="AA325" i="5"/>
  <c r="Z325" i="5"/>
  <c r="AI325" i="5" s="1"/>
  <c r="Y325" i="5"/>
  <c r="X325" i="5"/>
  <c r="W325" i="5"/>
  <c r="V325" i="5"/>
  <c r="AH324" i="5"/>
  <c r="AF324" i="5"/>
  <c r="AE324" i="5"/>
  <c r="AD324" i="5"/>
  <c r="AC324" i="5"/>
  <c r="AB324" i="5"/>
  <c r="AG324" i="5" s="1"/>
  <c r="AA324" i="5"/>
  <c r="Z324" i="5"/>
  <c r="AI324" i="5" s="1"/>
  <c r="Y324" i="5"/>
  <c r="X324" i="5"/>
  <c r="W324" i="5"/>
  <c r="V324" i="5"/>
  <c r="AH323" i="5"/>
  <c r="AF323" i="5"/>
  <c r="AE323" i="5"/>
  <c r="AD323" i="5"/>
  <c r="AC323" i="5"/>
  <c r="AB323" i="5"/>
  <c r="AG323" i="5" s="1"/>
  <c r="AA323" i="5"/>
  <c r="Z323" i="5"/>
  <c r="AI323" i="5" s="1"/>
  <c r="Y323" i="5"/>
  <c r="X323" i="5"/>
  <c r="W323" i="5"/>
  <c r="V323" i="5"/>
  <c r="AH322" i="5"/>
  <c r="AF322" i="5"/>
  <c r="AE322" i="5"/>
  <c r="AD322" i="5"/>
  <c r="AC322" i="5"/>
  <c r="AB322" i="5"/>
  <c r="AG322" i="5" s="1"/>
  <c r="AA322" i="5"/>
  <c r="Z322" i="5"/>
  <c r="AI322" i="5" s="1"/>
  <c r="Y322" i="5"/>
  <c r="X322" i="5"/>
  <c r="W322" i="5"/>
  <c r="V322" i="5"/>
  <c r="AI321" i="5"/>
  <c r="AH321" i="5"/>
  <c r="AF321" i="5"/>
  <c r="AE321" i="5"/>
  <c r="AD321" i="5"/>
  <c r="AC321" i="5"/>
  <c r="AB321" i="5"/>
  <c r="AG321" i="5" s="1"/>
  <c r="AA321" i="5"/>
  <c r="Z321" i="5"/>
  <c r="Y321" i="5"/>
  <c r="X321" i="5"/>
  <c r="W321" i="5"/>
  <c r="V321" i="5"/>
  <c r="AH320" i="5"/>
  <c r="AF320" i="5"/>
  <c r="AE320" i="5"/>
  <c r="AD320" i="5"/>
  <c r="AC320" i="5"/>
  <c r="AB320" i="5"/>
  <c r="AG320" i="5" s="1"/>
  <c r="AA320" i="5"/>
  <c r="Z320" i="5"/>
  <c r="AI320" i="5" s="1"/>
  <c r="Y320" i="5"/>
  <c r="X320" i="5"/>
  <c r="W320" i="5"/>
  <c r="V320" i="5"/>
  <c r="AH319" i="5"/>
  <c r="AF319" i="5"/>
  <c r="AE319" i="5"/>
  <c r="AD319" i="5"/>
  <c r="AC319" i="5"/>
  <c r="AB319" i="5"/>
  <c r="AG319" i="5" s="1"/>
  <c r="AA319" i="5"/>
  <c r="Z319" i="5"/>
  <c r="AI319" i="5" s="1"/>
  <c r="Y319" i="5"/>
  <c r="X319" i="5"/>
  <c r="W319" i="5"/>
  <c r="V319" i="5"/>
  <c r="AH318" i="5"/>
  <c r="AF318" i="5"/>
  <c r="AE318" i="5"/>
  <c r="AD318" i="5"/>
  <c r="AC318" i="5"/>
  <c r="AB318" i="5"/>
  <c r="AG318" i="5" s="1"/>
  <c r="AA318" i="5"/>
  <c r="Z318" i="5"/>
  <c r="AI318" i="5" s="1"/>
  <c r="Y318" i="5"/>
  <c r="X318" i="5"/>
  <c r="W318" i="5"/>
  <c r="V318" i="5"/>
  <c r="AH317" i="5"/>
  <c r="AG317" i="5"/>
  <c r="AF317" i="5"/>
  <c r="AE317" i="5"/>
  <c r="AD317" i="5"/>
  <c r="AC317" i="5"/>
  <c r="AB317" i="5"/>
  <c r="AA317" i="5"/>
  <c r="Z317" i="5"/>
  <c r="AI317" i="5" s="1"/>
  <c r="Y317" i="5"/>
  <c r="X317" i="5"/>
  <c r="W317" i="5"/>
  <c r="V317" i="5"/>
  <c r="AH316" i="5"/>
  <c r="AF316" i="5"/>
  <c r="AE316" i="5"/>
  <c r="AD316" i="5"/>
  <c r="AC316" i="5"/>
  <c r="AB316" i="5"/>
  <c r="AG316" i="5" s="1"/>
  <c r="AA316" i="5"/>
  <c r="Z316" i="5"/>
  <c r="AI316" i="5" s="1"/>
  <c r="Y316" i="5"/>
  <c r="X316" i="5"/>
  <c r="W316" i="5"/>
  <c r="V316" i="5"/>
  <c r="AH315" i="5"/>
  <c r="AF315" i="5"/>
  <c r="AE315" i="5"/>
  <c r="AD315" i="5"/>
  <c r="AC315" i="5"/>
  <c r="AB315" i="5"/>
  <c r="AG315" i="5" s="1"/>
  <c r="AA315" i="5"/>
  <c r="Z315" i="5"/>
  <c r="AI315" i="5" s="1"/>
  <c r="Y315" i="5"/>
  <c r="X315" i="5"/>
  <c r="W315" i="5"/>
  <c r="V315" i="5"/>
  <c r="AH314" i="5"/>
  <c r="AF314" i="5"/>
  <c r="AE314" i="5"/>
  <c r="AD314" i="5"/>
  <c r="AC314" i="5"/>
  <c r="AB314" i="5"/>
  <c r="AG314" i="5" s="1"/>
  <c r="AA314" i="5"/>
  <c r="Z314" i="5"/>
  <c r="AI314" i="5" s="1"/>
  <c r="Y314" i="5"/>
  <c r="X314" i="5"/>
  <c r="W314" i="5"/>
  <c r="V314" i="5"/>
  <c r="AH313" i="5"/>
  <c r="AF313" i="5"/>
  <c r="AE313" i="5"/>
  <c r="AD313" i="5"/>
  <c r="AC313" i="5"/>
  <c r="AB313" i="5"/>
  <c r="AG313" i="5" s="1"/>
  <c r="AA313" i="5"/>
  <c r="Z313" i="5"/>
  <c r="AI313" i="5" s="1"/>
  <c r="Y313" i="5"/>
  <c r="X313" i="5"/>
  <c r="W313" i="5"/>
  <c r="V313" i="5"/>
  <c r="AH312" i="5"/>
  <c r="AF312" i="5"/>
  <c r="AE312" i="5"/>
  <c r="AD312" i="5"/>
  <c r="AC312" i="5"/>
  <c r="AB312" i="5"/>
  <c r="AG312" i="5" s="1"/>
  <c r="AA312" i="5"/>
  <c r="Z312" i="5"/>
  <c r="AI312" i="5" s="1"/>
  <c r="Y312" i="5"/>
  <c r="X312" i="5"/>
  <c r="W312" i="5"/>
  <c r="V312" i="5"/>
  <c r="AH311" i="5"/>
  <c r="AF311" i="5"/>
  <c r="AE311" i="5"/>
  <c r="AD311" i="5"/>
  <c r="AC311" i="5"/>
  <c r="AB311" i="5"/>
  <c r="AG311" i="5" s="1"/>
  <c r="AA311" i="5"/>
  <c r="Z311" i="5"/>
  <c r="AI311" i="5" s="1"/>
  <c r="Y311" i="5"/>
  <c r="X311" i="5"/>
  <c r="W311" i="5"/>
  <c r="V311" i="5"/>
  <c r="AH310" i="5"/>
  <c r="AF310" i="5"/>
  <c r="AE310" i="5"/>
  <c r="AD310" i="5"/>
  <c r="AC310" i="5"/>
  <c r="AB310" i="5"/>
  <c r="AG310" i="5" s="1"/>
  <c r="AA310" i="5"/>
  <c r="Z310" i="5"/>
  <c r="AI310" i="5" s="1"/>
  <c r="Y310" i="5"/>
  <c r="X310" i="5"/>
  <c r="W310" i="5"/>
  <c r="V310" i="5"/>
  <c r="AH309" i="5"/>
  <c r="AF309" i="5"/>
  <c r="AE309" i="5"/>
  <c r="AD309" i="5"/>
  <c r="AC309" i="5"/>
  <c r="AB309" i="5"/>
  <c r="AG309" i="5" s="1"/>
  <c r="AA309" i="5"/>
  <c r="Z309" i="5"/>
  <c r="AI309" i="5" s="1"/>
  <c r="Y309" i="5"/>
  <c r="X309" i="5"/>
  <c r="W309" i="5"/>
  <c r="V309" i="5"/>
  <c r="AH308" i="5"/>
  <c r="AF308" i="5"/>
  <c r="AE308" i="5"/>
  <c r="AD308" i="5"/>
  <c r="AC308" i="5"/>
  <c r="AB308" i="5"/>
  <c r="AG308" i="5" s="1"/>
  <c r="AA308" i="5"/>
  <c r="Z308" i="5"/>
  <c r="AI308" i="5" s="1"/>
  <c r="Y308" i="5"/>
  <c r="X308" i="5"/>
  <c r="W308" i="5"/>
  <c r="V308" i="5"/>
  <c r="AH307" i="5"/>
  <c r="AF307" i="5"/>
  <c r="AE307" i="5"/>
  <c r="AD307" i="5"/>
  <c r="AC307" i="5"/>
  <c r="AB307" i="5"/>
  <c r="AG307" i="5" s="1"/>
  <c r="AA307" i="5"/>
  <c r="Z307" i="5"/>
  <c r="AI307" i="5" s="1"/>
  <c r="Y307" i="5"/>
  <c r="X307" i="5"/>
  <c r="W307" i="5"/>
  <c r="V307" i="5"/>
  <c r="AH306" i="5"/>
  <c r="AF306" i="5"/>
  <c r="AE306" i="5"/>
  <c r="AD306" i="5"/>
  <c r="AC306" i="5"/>
  <c r="AB306" i="5"/>
  <c r="AG306" i="5" s="1"/>
  <c r="AA306" i="5"/>
  <c r="Z306" i="5"/>
  <c r="AI306" i="5" s="1"/>
  <c r="Y306" i="5"/>
  <c r="X306" i="5"/>
  <c r="W306" i="5"/>
  <c r="V306" i="5"/>
  <c r="AH305" i="5"/>
  <c r="AF305" i="5"/>
  <c r="AE305" i="5"/>
  <c r="AD305" i="5"/>
  <c r="AC305" i="5"/>
  <c r="AB305" i="5"/>
  <c r="AG305" i="5" s="1"/>
  <c r="AA305" i="5"/>
  <c r="Z305" i="5"/>
  <c r="AI305" i="5" s="1"/>
  <c r="Y305" i="5"/>
  <c r="X305" i="5"/>
  <c r="W305" i="5"/>
  <c r="V305" i="5"/>
  <c r="AH304" i="5"/>
  <c r="AF304" i="5"/>
  <c r="AE304" i="5"/>
  <c r="AD304" i="5"/>
  <c r="AC304" i="5"/>
  <c r="AB304" i="5"/>
  <c r="AG304" i="5" s="1"/>
  <c r="AA304" i="5"/>
  <c r="Z304" i="5"/>
  <c r="AI304" i="5" s="1"/>
  <c r="Y304" i="5"/>
  <c r="X304" i="5"/>
  <c r="W304" i="5"/>
  <c r="V304" i="5"/>
  <c r="AI303" i="5"/>
  <c r="AH303" i="5"/>
  <c r="AF303" i="5"/>
  <c r="AE303" i="5"/>
  <c r="AD303" i="5"/>
  <c r="AC303" i="5"/>
  <c r="AB303" i="5"/>
  <c r="AG303" i="5" s="1"/>
  <c r="AA303" i="5"/>
  <c r="Z303" i="5"/>
  <c r="Y303" i="5"/>
  <c r="X303" i="5"/>
  <c r="W303" i="5"/>
  <c r="V303" i="5"/>
  <c r="AH302" i="5"/>
  <c r="AF302" i="5"/>
  <c r="AE302" i="5"/>
  <c r="AD302" i="5"/>
  <c r="AC302" i="5"/>
  <c r="AB302" i="5"/>
  <c r="AG302" i="5" s="1"/>
  <c r="AA302" i="5"/>
  <c r="Z302" i="5"/>
  <c r="AI302" i="5" s="1"/>
  <c r="Y302" i="5"/>
  <c r="X302" i="5"/>
  <c r="W302" i="5"/>
  <c r="V302" i="5"/>
  <c r="AH301" i="5"/>
  <c r="AF301" i="5"/>
  <c r="AE301" i="5"/>
  <c r="AD301" i="5"/>
  <c r="AC301" i="5"/>
  <c r="AB301" i="5"/>
  <c r="AG301" i="5" s="1"/>
  <c r="AA301" i="5"/>
  <c r="Z301" i="5"/>
  <c r="AI301" i="5" s="1"/>
  <c r="Y301" i="5"/>
  <c r="X301" i="5"/>
  <c r="W301" i="5"/>
  <c r="V301" i="5"/>
  <c r="AH300" i="5"/>
  <c r="AF300" i="5"/>
  <c r="AE300" i="5"/>
  <c r="AD300" i="5"/>
  <c r="AC300" i="5"/>
  <c r="AB300" i="5"/>
  <c r="AG300" i="5" s="1"/>
  <c r="AA300" i="5"/>
  <c r="Z300" i="5"/>
  <c r="AI300" i="5" s="1"/>
  <c r="Y300" i="5"/>
  <c r="X300" i="5"/>
  <c r="W300" i="5"/>
  <c r="V300" i="5"/>
  <c r="AH299" i="5"/>
  <c r="AF299" i="5"/>
  <c r="AE299" i="5"/>
  <c r="AD299" i="5"/>
  <c r="AC299" i="5"/>
  <c r="AB299" i="5"/>
  <c r="AG299" i="5" s="1"/>
  <c r="AA299" i="5"/>
  <c r="Z299" i="5"/>
  <c r="AI299" i="5" s="1"/>
  <c r="Y299" i="5"/>
  <c r="X299" i="5"/>
  <c r="W299" i="5"/>
  <c r="V299" i="5"/>
  <c r="AH298" i="5"/>
  <c r="AF298" i="5"/>
  <c r="AE298" i="5"/>
  <c r="AD298" i="5"/>
  <c r="AC298" i="5"/>
  <c r="AB298" i="5"/>
  <c r="AG298" i="5" s="1"/>
  <c r="AA298" i="5"/>
  <c r="Z298" i="5"/>
  <c r="AI298" i="5" s="1"/>
  <c r="Y298" i="5"/>
  <c r="X298" i="5"/>
  <c r="W298" i="5"/>
  <c r="V298" i="5"/>
  <c r="AH297" i="5"/>
  <c r="AF297" i="5"/>
  <c r="AE297" i="5"/>
  <c r="AD297" i="5"/>
  <c r="AC297" i="5"/>
  <c r="AB297" i="5"/>
  <c r="AG297" i="5" s="1"/>
  <c r="AA297" i="5"/>
  <c r="Z297" i="5"/>
  <c r="AI297" i="5" s="1"/>
  <c r="Y297" i="5"/>
  <c r="X297" i="5"/>
  <c r="W297" i="5"/>
  <c r="V297" i="5"/>
  <c r="AH296" i="5"/>
  <c r="AF296" i="5"/>
  <c r="AE296" i="5"/>
  <c r="AD296" i="5"/>
  <c r="AC296" i="5"/>
  <c r="AB296" i="5"/>
  <c r="AG296" i="5" s="1"/>
  <c r="AA296" i="5"/>
  <c r="Z296" i="5"/>
  <c r="AI296" i="5" s="1"/>
  <c r="Y296" i="5"/>
  <c r="X296" i="5"/>
  <c r="W296" i="5"/>
  <c r="V296" i="5"/>
  <c r="AH295" i="5"/>
  <c r="AF295" i="5"/>
  <c r="AE295" i="5"/>
  <c r="AD295" i="5"/>
  <c r="AC295" i="5"/>
  <c r="AB295" i="5"/>
  <c r="AG295" i="5" s="1"/>
  <c r="AA295" i="5"/>
  <c r="Z295" i="5"/>
  <c r="AI295" i="5" s="1"/>
  <c r="Y295" i="5"/>
  <c r="X295" i="5"/>
  <c r="W295" i="5"/>
  <c r="V295" i="5"/>
  <c r="AH294" i="5"/>
  <c r="AF294" i="5"/>
  <c r="AE294" i="5"/>
  <c r="AD294" i="5"/>
  <c r="AC294" i="5"/>
  <c r="AB294" i="5"/>
  <c r="AG294" i="5" s="1"/>
  <c r="AA294" i="5"/>
  <c r="Z294" i="5"/>
  <c r="AI294" i="5" s="1"/>
  <c r="Y294" i="5"/>
  <c r="X294" i="5"/>
  <c r="W294" i="5"/>
  <c r="V294" i="5"/>
  <c r="AH293" i="5"/>
  <c r="AF293" i="5"/>
  <c r="AE293" i="5"/>
  <c r="AD293" i="5"/>
  <c r="AC293" i="5"/>
  <c r="AB293" i="5"/>
  <c r="AG293" i="5" s="1"/>
  <c r="AA293" i="5"/>
  <c r="Z293" i="5"/>
  <c r="AI293" i="5" s="1"/>
  <c r="Y293" i="5"/>
  <c r="X293" i="5"/>
  <c r="W293" i="5"/>
  <c r="V293" i="5"/>
  <c r="AH292" i="5"/>
  <c r="AF292" i="5"/>
  <c r="AE292" i="5"/>
  <c r="AD292" i="5"/>
  <c r="AC292" i="5"/>
  <c r="AB292" i="5"/>
  <c r="AG292" i="5" s="1"/>
  <c r="AA292" i="5"/>
  <c r="Z292" i="5"/>
  <c r="AI292" i="5" s="1"/>
  <c r="Y292" i="5"/>
  <c r="X292" i="5"/>
  <c r="W292" i="5"/>
  <c r="V292" i="5"/>
  <c r="AH291" i="5"/>
  <c r="AF291" i="5"/>
  <c r="AE291" i="5"/>
  <c r="AD291" i="5"/>
  <c r="AC291" i="5"/>
  <c r="AB291" i="5"/>
  <c r="AG291" i="5" s="1"/>
  <c r="AA291" i="5"/>
  <c r="Z291" i="5"/>
  <c r="AI291" i="5" s="1"/>
  <c r="Y291" i="5"/>
  <c r="X291" i="5"/>
  <c r="W291" i="5"/>
  <c r="V291" i="5"/>
  <c r="AH290" i="5"/>
  <c r="AF290" i="5"/>
  <c r="AE290" i="5"/>
  <c r="AD290" i="5"/>
  <c r="AC290" i="5"/>
  <c r="AB290" i="5"/>
  <c r="AG290" i="5" s="1"/>
  <c r="AA290" i="5"/>
  <c r="Z290" i="5"/>
  <c r="AI290" i="5" s="1"/>
  <c r="Y290" i="5"/>
  <c r="X290" i="5"/>
  <c r="W290" i="5"/>
  <c r="V290" i="5"/>
  <c r="AH289" i="5"/>
  <c r="AF289" i="5"/>
  <c r="AE289" i="5"/>
  <c r="AD289" i="5"/>
  <c r="AC289" i="5"/>
  <c r="AB289" i="5"/>
  <c r="AG289" i="5" s="1"/>
  <c r="AA289" i="5"/>
  <c r="Z289" i="5"/>
  <c r="AI289" i="5" s="1"/>
  <c r="Y289" i="5"/>
  <c r="X289" i="5"/>
  <c r="W289" i="5"/>
  <c r="V289" i="5"/>
  <c r="AH288" i="5"/>
  <c r="AF288" i="5"/>
  <c r="AE288" i="5"/>
  <c r="AD288" i="5"/>
  <c r="AC288" i="5"/>
  <c r="AB288" i="5"/>
  <c r="AG288" i="5" s="1"/>
  <c r="AA288" i="5"/>
  <c r="Z288" i="5"/>
  <c r="AI288" i="5" s="1"/>
  <c r="Y288" i="5"/>
  <c r="X288" i="5"/>
  <c r="W288" i="5"/>
  <c r="V288" i="5"/>
  <c r="AH287" i="5"/>
  <c r="AF287" i="5"/>
  <c r="AE287" i="5"/>
  <c r="AD287" i="5"/>
  <c r="AC287" i="5"/>
  <c r="AB287" i="5"/>
  <c r="AG287" i="5" s="1"/>
  <c r="AA287" i="5"/>
  <c r="Z287" i="5"/>
  <c r="AI287" i="5" s="1"/>
  <c r="Y287" i="5"/>
  <c r="X287" i="5"/>
  <c r="W287" i="5"/>
  <c r="V287" i="5"/>
  <c r="AH286" i="5"/>
  <c r="AF286" i="5"/>
  <c r="AE286" i="5"/>
  <c r="AD286" i="5"/>
  <c r="AC286" i="5"/>
  <c r="AB286" i="5"/>
  <c r="AG286" i="5" s="1"/>
  <c r="AA286" i="5"/>
  <c r="Z286" i="5"/>
  <c r="AI286" i="5" s="1"/>
  <c r="Y286" i="5"/>
  <c r="X286" i="5"/>
  <c r="W286" i="5"/>
  <c r="V286" i="5"/>
  <c r="AH285" i="5"/>
  <c r="AF285" i="5"/>
  <c r="AE285" i="5"/>
  <c r="AD285" i="5"/>
  <c r="AC285" i="5"/>
  <c r="AB285" i="5"/>
  <c r="AG285" i="5" s="1"/>
  <c r="AA285" i="5"/>
  <c r="Z285" i="5"/>
  <c r="AI285" i="5" s="1"/>
  <c r="Y285" i="5"/>
  <c r="X285" i="5"/>
  <c r="W285" i="5"/>
  <c r="V285" i="5"/>
  <c r="AH284" i="5"/>
  <c r="AF284" i="5"/>
  <c r="AE284" i="5"/>
  <c r="AD284" i="5"/>
  <c r="AC284" i="5"/>
  <c r="AB284" i="5"/>
  <c r="AG284" i="5" s="1"/>
  <c r="AA284" i="5"/>
  <c r="Z284" i="5"/>
  <c r="AI284" i="5" s="1"/>
  <c r="Y284" i="5"/>
  <c r="X284" i="5"/>
  <c r="W284" i="5"/>
  <c r="V284" i="5"/>
  <c r="AH283" i="5"/>
  <c r="AF283" i="5"/>
  <c r="AE283" i="5"/>
  <c r="AD283" i="5"/>
  <c r="AC283" i="5"/>
  <c r="AB283" i="5"/>
  <c r="AG283" i="5" s="1"/>
  <c r="AA283" i="5"/>
  <c r="Z283" i="5"/>
  <c r="AI283" i="5" s="1"/>
  <c r="Y283" i="5"/>
  <c r="X283" i="5"/>
  <c r="W283" i="5"/>
  <c r="V283" i="5"/>
  <c r="AH282" i="5"/>
  <c r="AF282" i="5"/>
  <c r="AE282" i="5"/>
  <c r="AD282" i="5"/>
  <c r="AC282" i="5"/>
  <c r="AB282" i="5"/>
  <c r="AG282" i="5" s="1"/>
  <c r="AA282" i="5"/>
  <c r="Z282" i="5"/>
  <c r="AI282" i="5" s="1"/>
  <c r="Y282" i="5"/>
  <c r="X282" i="5"/>
  <c r="W282" i="5"/>
  <c r="V282" i="5"/>
  <c r="AH281" i="5"/>
  <c r="AF281" i="5"/>
  <c r="AE281" i="5"/>
  <c r="AD281" i="5"/>
  <c r="AC281" i="5"/>
  <c r="AB281" i="5"/>
  <c r="AG281" i="5" s="1"/>
  <c r="AA281" i="5"/>
  <c r="Z281" i="5"/>
  <c r="AI281" i="5" s="1"/>
  <c r="Y281" i="5"/>
  <c r="X281" i="5"/>
  <c r="W281" i="5"/>
  <c r="V281" i="5"/>
  <c r="AH280" i="5"/>
  <c r="AF280" i="5"/>
  <c r="AE280" i="5"/>
  <c r="AD280" i="5"/>
  <c r="AC280" i="5"/>
  <c r="AB280" i="5"/>
  <c r="AG280" i="5" s="1"/>
  <c r="AA280" i="5"/>
  <c r="Z280" i="5"/>
  <c r="AI280" i="5" s="1"/>
  <c r="Y280" i="5"/>
  <c r="X280" i="5"/>
  <c r="W280" i="5"/>
  <c r="V280" i="5"/>
  <c r="AH279" i="5"/>
  <c r="AF279" i="5"/>
  <c r="AE279" i="5"/>
  <c r="AD279" i="5"/>
  <c r="AC279" i="5"/>
  <c r="AB279" i="5"/>
  <c r="AG279" i="5" s="1"/>
  <c r="AA279" i="5"/>
  <c r="Z279" i="5"/>
  <c r="AI279" i="5" s="1"/>
  <c r="Y279" i="5"/>
  <c r="X279" i="5"/>
  <c r="W279" i="5"/>
  <c r="V279" i="5"/>
  <c r="AH278" i="5"/>
  <c r="AF278" i="5"/>
  <c r="AE278" i="5"/>
  <c r="AD278" i="5"/>
  <c r="AC278" i="5"/>
  <c r="AB278" i="5"/>
  <c r="AG278" i="5" s="1"/>
  <c r="AA278" i="5"/>
  <c r="Z278" i="5"/>
  <c r="AI278" i="5" s="1"/>
  <c r="Y278" i="5"/>
  <c r="X278" i="5"/>
  <c r="W278" i="5"/>
  <c r="V278" i="5"/>
  <c r="AH277" i="5"/>
  <c r="AF277" i="5"/>
  <c r="AE277" i="5"/>
  <c r="AD277" i="5"/>
  <c r="AC277" i="5"/>
  <c r="AB277" i="5"/>
  <c r="AG277" i="5" s="1"/>
  <c r="AA277" i="5"/>
  <c r="Z277" i="5"/>
  <c r="AI277" i="5" s="1"/>
  <c r="Y277" i="5"/>
  <c r="X277" i="5"/>
  <c r="W277" i="5"/>
  <c r="V277" i="5"/>
  <c r="AI276" i="5"/>
  <c r="AH276" i="5"/>
  <c r="AF276" i="5"/>
  <c r="AE276" i="5"/>
  <c r="AD276" i="5"/>
  <c r="AC276" i="5"/>
  <c r="AB276" i="5"/>
  <c r="AG276" i="5" s="1"/>
  <c r="AA276" i="5"/>
  <c r="Z276" i="5"/>
  <c r="Y276" i="5"/>
  <c r="X276" i="5"/>
  <c r="W276" i="5"/>
  <c r="V276" i="5"/>
  <c r="AH275" i="5"/>
  <c r="AG275" i="5"/>
  <c r="AF275" i="5"/>
  <c r="AE275" i="5"/>
  <c r="AD275" i="5"/>
  <c r="AC275" i="5"/>
  <c r="AB275" i="5"/>
  <c r="AA275" i="5"/>
  <c r="Z275" i="5"/>
  <c r="AI275" i="5" s="1"/>
  <c r="Y275" i="5"/>
  <c r="X275" i="5"/>
  <c r="W275" i="5"/>
  <c r="V275" i="5"/>
  <c r="AH274" i="5"/>
  <c r="AF274" i="5"/>
  <c r="AE274" i="5"/>
  <c r="AD274" i="5"/>
  <c r="AC274" i="5"/>
  <c r="AB274" i="5"/>
  <c r="AG274" i="5" s="1"/>
  <c r="AA274" i="5"/>
  <c r="Z274" i="5"/>
  <c r="AI274" i="5" s="1"/>
  <c r="Y274" i="5"/>
  <c r="X274" i="5"/>
  <c r="W274" i="5"/>
  <c r="V274" i="5"/>
  <c r="AH273" i="5"/>
  <c r="AF273" i="5"/>
  <c r="AE273" i="5"/>
  <c r="AD273" i="5"/>
  <c r="AC273" i="5"/>
  <c r="AB273" i="5"/>
  <c r="AG273" i="5" s="1"/>
  <c r="AA273" i="5"/>
  <c r="Z273" i="5"/>
  <c r="AI273" i="5" s="1"/>
  <c r="Y273" i="5"/>
  <c r="X273" i="5"/>
  <c r="W273" i="5"/>
  <c r="V273" i="5"/>
  <c r="AH272" i="5"/>
  <c r="AF272" i="5"/>
  <c r="AE272" i="5"/>
  <c r="AD272" i="5"/>
  <c r="AC272" i="5"/>
  <c r="AB272" i="5"/>
  <c r="AG272" i="5" s="1"/>
  <c r="AA272" i="5"/>
  <c r="Z272" i="5"/>
  <c r="AI272" i="5" s="1"/>
  <c r="Y272" i="5"/>
  <c r="X272" i="5"/>
  <c r="W272" i="5"/>
  <c r="V272" i="5"/>
  <c r="AH271" i="5"/>
  <c r="AF271" i="5"/>
  <c r="AE271" i="5"/>
  <c r="AD271" i="5"/>
  <c r="AC271" i="5"/>
  <c r="AB271" i="5"/>
  <c r="AG271" i="5" s="1"/>
  <c r="AA271" i="5"/>
  <c r="Z271" i="5"/>
  <c r="AI271" i="5" s="1"/>
  <c r="Y271" i="5"/>
  <c r="X271" i="5"/>
  <c r="W271" i="5"/>
  <c r="V271" i="5"/>
  <c r="AI270" i="5"/>
  <c r="AH270" i="5"/>
  <c r="AF270" i="5"/>
  <c r="AE270" i="5"/>
  <c r="AD270" i="5"/>
  <c r="AC270" i="5"/>
  <c r="AB270" i="5"/>
  <c r="AG270" i="5" s="1"/>
  <c r="AA270" i="5"/>
  <c r="Z270" i="5"/>
  <c r="Y270" i="5"/>
  <c r="X270" i="5"/>
  <c r="W270" i="5"/>
  <c r="V270" i="5"/>
  <c r="AH269" i="5"/>
  <c r="AG269" i="5"/>
  <c r="AF269" i="5"/>
  <c r="AE269" i="5"/>
  <c r="AD269" i="5"/>
  <c r="AC269" i="5"/>
  <c r="AB269" i="5"/>
  <c r="AA269" i="5"/>
  <c r="Z269" i="5"/>
  <c r="AI269" i="5" s="1"/>
  <c r="Y269" i="5"/>
  <c r="X269" i="5"/>
  <c r="W269" i="5"/>
  <c r="V269" i="5"/>
  <c r="AH268" i="5"/>
  <c r="AF268" i="5"/>
  <c r="AE268" i="5"/>
  <c r="AD268" i="5"/>
  <c r="AC268" i="5"/>
  <c r="AB268" i="5"/>
  <c r="AG268" i="5" s="1"/>
  <c r="AA268" i="5"/>
  <c r="Z268" i="5"/>
  <c r="AI268" i="5" s="1"/>
  <c r="Y268" i="5"/>
  <c r="X268" i="5"/>
  <c r="W268" i="5"/>
  <c r="V268" i="5"/>
  <c r="AH267" i="5"/>
  <c r="AF267" i="5"/>
  <c r="AE267" i="5"/>
  <c r="AD267" i="5"/>
  <c r="AC267" i="5"/>
  <c r="AB267" i="5"/>
  <c r="AG267" i="5" s="1"/>
  <c r="AA267" i="5"/>
  <c r="Z267" i="5"/>
  <c r="AI267" i="5" s="1"/>
  <c r="Y267" i="5"/>
  <c r="X267" i="5"/>
  <c r="W267" i="5"/>
  <c r="V267" i="5"/>
  <c r="AH266" i="5"/>
  <c r="AF266" i="5"/>
  <c r="AE266" i="5"/>
  <c r="AD266" i="5"/>
  <c r="AC266" i="5"/>
  <c r="AB266" i="5"/>
  <c r="AG266" i="5" s="1"/>
  <c r="AA266" i="5"/>
  <c r="Z266" i="5"/>
  <c r="AI266" i="5" s="1"/>
  <c r="Y266" i="5"/>
  <c r="X266" i="5"/>
  <c r="W266" i="5"/>
  <c r="V266" i="5"/>
  <c r="AH265" i="5"/>
  <c r="AF265" i="5"/>
  <c r="AE265" i="5"/>
  <c r="AD265" i="5"/>
  <c r="AC265" i="5"/>
  <c r="AB265" i="5"/>
  <c r="AG265" i="5" s="1"/>
  <c r="AA265" i="5"/>
  <c r="Z265" i="5"/>
  <c r="AI265" i="5" s="1"/>
  <c r="Y265" i="5"/>
  <c r="X265" i="5"/>
  <c r="W265" i="5"/>
  <c r="V265" i="5"/>
  <c r="AI264" i="5"/>
  <c r="AH264" i="5"/>
  <c r="AF264" i="5"/>
  <c r="AE264" i="5"/>
  <c r="AD264" i="5"/>
  <c r="AC264" i="5"/>
  <c r="AB264" i="5"/>
  <c r="AG264" i="5" s="1"/>
  <c r="AA264" i="5"/>
  <c r="Z264" i="5"/>
  <c r="Y264" i="5"/>
  <c r="X264" i="5"/>
  <c r="W264" i="5"/>
  <c r="V264" i="5"/>
  <c r="AH263" i="5"/>
  <c r="AG263" i="5"/>
  <c r="AF263" i="5"/>
  <c r="AE263" i="5"/>
  <c r="AD263" i="5"/>
  <c r="AC263" i="5"/>
  <c r="AB263" i="5"/>
  <c r="AA263" i="5"/>
  <c r="Z263" i="5"/>
  <c r="AI263" i="5" s="1"/>
  <c r="Y263" i="5"/>
  <c r="X263" i="5"/>
  <c r="W263" i="5"/>
  <c r="V263" i="5"/>
  <c r="AI262" i="5"/>
  <c r="AH262" i="5"/>
  <c r="AF262" i="5"/>
  <c r="AE262" i="5"/>
  <c r="AD262" i="5"/>
  <c r="AC262" i="5"/>
  <c r="AB262" i="5"/>
  <c r="AG262" i="5" s="1"/>
  <c r="AA262" i="5"/>
  <c r="Z262" i="5"/>
  <c r="Y262" i="5"/>
  <c r="X262" i="5"/>
  <c r="W262" i="5"/>
  <c r="V262" i="5"/>
  <c r="AH261" i="5"/>
  <c r="AF261" i="5"/>
  <c r="AE261" i="5"/>
  <c r="AD261" i="5"/>
  <c r="AC261" i="5"/>
  <c r="AB261" i="5"/>
  <c r="AG261" i="5" s="1"/>
  <c r="AA261" i="5"/>
  <c r="Z261" i="5"/>
  <c r="AI261" i="5" s="1"/>
  <c r="Y261" i="5"/>
  <c r="X261" i="5"/>
  <c r="W261" i="5"/>
  <c r="V261" i="5"/>
  <c r="AH260" i="5"/>
  <c r="AF260" i="5"/>
  <c r="AE260" i="5"/>
  <c r="AD260" i="5"/>
  <c r="AC260" i="5"/>
  <c r="AB260" i="5"/>
  <c r="AG260" i="5" s="1"/>
  <c r="AA260" i="5"/>
  <c r="Z260" i="5"/>
  <c r="AI260" i="5" s="1"/>
  <c r="Y260" i="5"/>
  <c r="X260" i="5"/>
  <c r="W260" i="5"/>
  <c r="V260" i="5"/>
  <c r="AH259" i="5"/>
  <c r="AF259" i="5"/>
  <c r="AE259" i="5"/>
  <c r="AD259" i="5"/>
  <c r="AC259" i="5"/>
  <c r="AB259" i="5"/>
  <c r="AG259" i="5" s="1"/>
  <c r="AA259" i="5"/>
  <c r="Z259" i="5"/>
  <c r="AI259" i="5" s="1"/>
  <c r="Y259" i="5"/>
  <c r="X259" i="5"/>
  <c r="W259" i="5"/>
  <c r="V259" i="5"/>
  <c r="AI258" i="5"/>
  <c r="AH258" i="5"/>
  <c r="AF258" i="5"/>
  <c r="AE258" i="5"/>
  <c r="AD258" i="5"/>
  <c r="AC258" i="5"/>
  <c r="AB258" i="5"/>
  <c r="AG258" i="5" s="1"/>
  <c r="AA258" i="5"/>
  <c r="Z258" i="5"/>
  <c r="Y258" i="5"/>
  <c r="X258" i="5"/>
  <c r="W258" i="5"/>
  <c r="V258" i="5"/>
  <c r="AH257" i="5"/>
  <c r="AG257" i="5"/>
  <c r="AF257" i="5"/>
  <c r="AE257" i="5"/>
  <c r="AD257" i="5"/>
  <c r="AC257" i="5"/>
  <c r="AB257" i="5"/>
  <c r="AA257" i="5"/>
  <c r="Z257" i="5"/>
  <c r="AI257" i="5" s="1"/>
  <c r="Y257" i="5"/>
  <c r="X257" i="5"/>
  <c r="W257" i="5"/>
  <c r="V257" i="5"/>
  <c r="AI256" i="5"/>
  <c r="AH256" i="5"/>
  <c r="AF256" i="5"/>
  <c r="AE256" i="5"/>
  <c r="AD256" i="5"/>
  <c r="AC256" i="5"/>
  <c r="AB256" i="5"/>
  <c r="AG256" i="5" s="1"/>
  <c r="AA256" i="5"/>
  <c r="Z256" i="5"/>
  <c r="Y256" i="5"/>
  <c r="X256" i="5"/>
  <c r="W256" i="5"/>
  <c r="V256" i="5"/>
  <c r="AH255" i="5"/>
  <c r="AF255" i="5"/>
  <c r="AE255" i="5"/>
  <c r="AD255" i="5"/>
  <c r="AC255" i="5"/>
  <c r="AB255" i="5"/>
  <c r="AG255" i="5" s="1"/>
  <c r="AA255" i="5"/>
  <c r="Z255" i="5"/>
  <c r="AI255" i="5" s="1"/>
  <c r="Y255" i="5"/>
  <c r="X255" i="5"/>
  <c r="W255" i="5"/>
  <c r="V255" i="5"/>
  <c r="AH254" i="5"/>
  <c r="AF254" i="5"/>
  <c r="AE254" i="5"/>
  <c r="AD254" i="5"/>
  <c r="AC254" i="5"/>
  <c r="AB254" i="5"/>
  <c r="AG254" i="5" s="1"/>
  <c r="AA254" i="5"/>
  <c r="Z254" i="5"/>
  <c r="AI254" i="5" s="1"/>
  <c r="Y254" i="5"/>
  <c r="X254" i="5"/>
  <c r="W254" i="5"/>
  <c r="V254" i="5"/>
  <c r="AH253" i="5"/>
  <c r="AF253" i="5"/>
  <c r="AE253" i="5"/>
  <c r="AD253" i="5"/>
  <c r="AC253" i="5"/>
  <c r="AB253" i="5"/>
  <c r="AG253" i="5" s="1"/>
  <c r="AA253" i="5"/>
  <c r="Z253" i="5"/>
  <c r="AI253" i="5" s="1"/>
  <c r="Y253" i="5"/>
  <c r="X253" i="5"/>
  <c r="W253" i="5"/>
  <c r="V253" i="5"/>
  <c r="AI252" i="5"/>
  <c r="AH252" i="5"/>
  <c r="AF252" i="5"/>
  <c r="AE252" i="5"/>
  <c r="AD252" i="5"/>
  <c r="AC252" i="5"/>
  <c r="AB252" i="5"/>
  <c r="AG252" i="5" s="1"/>
  <c r="AA252" i="5"/>
  <c r="Z252" i="5"/>
  <c r="Y252" i="5"/>
  <c r="X252" i="5"/>
  <c r="W252" i="5"/>
  <c r="V252" i="5"/>
  <c r="AH251" i="5"/>
  <c r="AG251" i="5"/>
  <c r="AF251" i="5"/>
  <c r="AE251" i="5"/>
  <c r="AD251" i="5"/>
  <c r="AC251" i="5"/>
  <c r="AB251" i="5"/>
  <c r="AA251" i="5"/>
  <c r="Z251" i="5"/>
  <c r="AI251" i="5" s="1"/>
  <c r="Y251" i="5"/>
  <c r="X251" i="5"/>
  <c r="W251" i="5"/>
  <c r="V251" i="5"/>
  <c r="AH250" i="5"/>
  <c r="AF250" i="5"/>
  <c r="AE250" i="5"/>
  <c r="AD250" i="5"/>
  <c r="AC250" i="5"/>
  <c r="AB250" i="5"/>
  <c r="AG250" i="5" s="1"/>
  <c r="AA250" i="5"/>
  <c r="Z250" i="5"/>
  <c r="AI250" i="5" s="1"/>
  <c r="Y250" i="5"/>
  <c r="X250" i="5"/>
  <c r="W250" i="5"/>
  <c r="V250" i="5"/>
  <c r="AH249" i="5"/>
  <c r="AF249" i="5"/>
  <c r="AE249" i="5"/>
  <c r="AD249" i="5"/>
  <c r="AC249" i="5"/>
  <c r="AB249" i="5"/>
  <c r="AG249" i="5" s="1"/>
  <c r="AA249" i="5"/>
  <c r="Z249" i="5"/>
  <c r="AI249" i="5" s="1"/>
  <c r="Y249" i="5"/>
  <c r="X249" i="5"/>
  <c r="W249" i="5"/>
  <c r="V249" i="5"/>
  <c r="AH248" i="5"/>
  <c r="AF248" i="5"/>
  <c r="AE248" i="5"/>
  <c r="AD248" i="5"/>
  <c r="AC248" i="5"/>
  <c r="AB248" i="5"/>
  <c r="AG248" i="5" s="1"/>
  <c r="AA248" i="5"/>
  <c r="Z248" i="5"/>
  <c r="AI248" i="5" s="1"/>
  <c r="Y248" i="5"/>
  <c r="X248" i="5"/>
  <c r="W248" i="5"/>
  <c r="V248" i="5"/>
  <c r="AH247" i="5"/>
  <c r="AF247" i="5"/>
  <c r="AE247" i="5"/>
  <c r="AD247" i="5"/>
  <c r="AC247" i="5"/>
  <c r="AB247" i="5"/>
  <c r="AG247" i="5" s="1"/>
  <c r="AA247" i="5"/>
  <c r="Z247" i="5"/>
  <c r="AI247" i="5" s="1"/>
  <c r="Y247" i="5"/>
  <c r="X247" i="5"/>
  <c r="W247" i="5"/>
  <c r="V247" i="5"/>
  <c r="AI246" i="5"/>
  <c r="AH246" i="5"/>
  <c r="AF246" i="5"/>
  <c r="AE246" i="5"/>
  <c r="AD246" i="5"/>
  <c r="AC246" i="5"/>
  <c r="AB246" i="5"/>
  <c r="AG246" i="5" s="1"/>
  <c r="AA246" i="5"/>
  <c r="Z246" i="5"/>
  <c r="Y246" i="5"/>
  <c r="X246" i="5"/>
  <c r="W246" i="5"/>
  <c r="V246" i="5"/>
  <c r="AH245" i="5"/>
  <c r="AG245" i="5"/>
  <c r="AF245" i="5"/>
  <c r="AE245" i="5"/>
  <c r="AD245" i="5"/>
  <c r="AC245" i="5"/>
  <c r="AB245" i="5"/>
  <c r="AA245" i="5"/>
  <c r="Z245" i="5"/>
  <c r="AI245" i="5" s="1"/>
  <c r="Y245" i="5"/>
  <c r="X245" i="5"/>
  <c r="W245" i="5"/>
  <c r="V245" i="5"/>
  <c r="AH244" i="5"/>
  <c r="AF244" i="5"/>
  <c r="AE244" i="5"/>
  <c r="AD244" i="5"/>
  <c r="AC244" i="5"/>
  <c r="AB244" i="5"/>
  <c r="AG244" i="5" s="1"/>
  <c r="AA244" i="5"/>
  <c r="Z244" i="5"/>
  <c r="AI244" i="5" s="1"/>
  <c r="Y244" i="5"/>
  <c r="X244" i="5"/>
  <c r="W244" i="5"/>
  <c r="V244" i="5"/>
  <c r="AH243" i="5"/>
  <c r="AF243" i="5"/>
  <c r="AE243" i="5"/>
  <c r="AD243" i="5"/>
  <c r="AC243" i="5"/>
  <c r="AB243" i="5"/>
  <c r="AG243" i="5" s="1"/>
  <c r="AA243" i="5"/>
  <c r="Z243" i="5"/>
  <c r="AI243" i="5" s="1"/>
  <c r="Y243" i="5"/>
  <c r="X243" i="5"/>
  <c r="W243" i="5"/>
  <c r="V243" i="5"/>
  <c r="AH242" i="5"/>
  <c r="AF242" i="5"/>
  <c r="AE242" i="5"/>
  <c r="AD242" i="5"/>
  <c r="AC242" i="5"/>
  <c r="AB242" i="5"/>
  <c r="AG242" i="5" s="1"/>
  <c r="AA242" i="5"/>
  <c r="Z242" i="5"/>
  <c r="AI242" i="5" s="1"/>
  <c r="Y242" i="5"/>
  <c r="X242" i="5"/>
  <c r="W242" i="5"/>
  <c r="V242" i="5"/>
  <c r="AH241" i="5"/>
  <c r="AF241" i="5"/>
  <c r="AE241" i="5"/>
  <c r="AD241" i="5"/>
  <c r="AC241" i="5"/>
  <c r="AB241" i="5"/>
  <c r="AG241" i="5" s="1"/>
  <c r="AA241" i="5"/>
  <c r="Z241" i="5"/>
  <c r="AI241" i="5" s="1"/>
  <c r="Y241" i="5"/>
  <c r="X241" i="5"/>
  <c r="W241" i="5"/>
  <c r="V241" i="5"/>
  <c r="AI240" i="5"/>
  <c r="AH240" i="5"/>
  <c r="AF240" i="5"/>
  <c r="AE240" i="5"/>
  <c r="AD240" i="5"/>
  <c r="AC240" i="5"/>
  <c r="AB240" i="5"/>
  <c r="AG240" i="5" s="1"/>
  <c r="AA240" i="5"/>
  <c r="Z240" i="5"/>
  <c r="Y240" i="5"/>
  <c r="X240" i="5"/>
  <c r="W240" i="5"/>
  <c r="V240" i="5"/>
  <c r="AH239" i="5"/>
  <c r="AG239" i="5"/>
  <c r="AF239" i="5"/>
  <c r="AE239" i="5"/>
  <c r="AD239" i="5"/>
  <c r="AC239" i="5"/>
  <c r="AB239" i="5"/>
  <c r="AA239" i="5"/>
  <c r="Z239" i="5"/>
  <c r="AI239" i="5" s="1"/>
  <c r="Y239" i="5"/>
  <c r="X239" i="5"/>
  <c r="W239" i="5"/>
  <c r="V239" i="5"/>
  <c r="AH238" i="5"/>
  <c r="AF238" i="5"/>
  <c r="AE238" i="5"/>
  <c r="AD238" i="5"/>
  <c r="AC238" i="5"/>
  <c r="AB238" i="5"/>
  <c r="AG238" i="5" s="1"/>
  <c r="AA238" i="5"/>
  <c r="Z238" i="5"/>
  <c r="AI238" i="5" s="1"/>
  <c r="Y238" i="5"/>
  <c r="X238" i="5"/>
  <c r="W238" i="5"/>
  <c r="V238" i="5"/>
  <c r="AH237" i="5"/>
  <c r="AF237" i="5"/>
  <c r="AE237" i="5"/>
  <c r="AD237" i="5"/>
  <c r="AC237" i="5"/>
  <c r="AB237" i="5"/>
  <c r="AG237" i="5" s="1"/>
  <c r="AA237" i="5"/>
  <c r="Z237" i="5"/>
  <c r="AI237" i="5" s="1"/>
  <c r="Y237" i="5"/>
  <c r="X237" i="5"/>
  <c r="W237" i="5"/>
  <c r="V237" i="5"/>
  <c r="AH236" i="5"/>
  <c r="AF236" i="5"/>
  <c r="AE236" i="5"/>
  <c r="AD236" i="5"/>
  <c r="AC236" i="5"/>
  <c r="AB236" i="5"/>
  <c r="AG236" i="5" s="1"/>
  <c r="AA236" i="5"/>
  <c r="Z236" i="5"/>
  <c r="AI236" i="5" s="1"/>
  <c r="Y236" i="5"/>
  <c r="X236" i="5"/>
  <c r="W236" i="5"/>
  <c r="V236" i="5"/>
  <c r="AH235" i="5"/>
  <c r="AF235" i="5"/>
  <c r="AE235" i="5"/>
  <c r="AD235" i="5"/>
  <c r="AC235" i="5"/>
  <c r="AB235" i="5"/>
  <c r="AG235" i="5" s="1"/>
  <c r="AA235" i="5"/>
  <c r="Z235" i="5"/>
  <c r="AI235" i="5" s="1"/>
  <c r="Y235" i="5"/>
  <c r="X235" i="5"/>
  <c r="W235" i="5"/>
  <c r="V235" i="5"/>
  <c r="AI234" i="5"/>
  <c r="AH234" i="5"/>
  <c r="AF234" i="5"/>
  <c r="AE234" i="5"/>
  <c r="AD234" i="5"/>
  <c r="AC234" i="5"/>
  <c r="AB234" i="5"/>
  <c r="AG234" i="5" s="1"/>
  <c r="AA234" i="5"/>
  <c r="Z234" i="5"/>
  <c r="Y234" i="5"/>
  <c r="X234" i="5"/>
  <c r="W234" i="5"/>
  <c r="V234" i="5"/>
  <c r="AH233" i="5"/>
  <c r="AG233" i="5"/>
  <c r="AF233" i="5"/>
  <c r="AE233" i="5"/>
  <c r="AD233" i="5"/>
  <c r="AC233" i="5"/>
  <c r="AB233" i="5"/>
  <c r="AA233" i="5"/>
  <c r="Z233" i="5"/>
  <c r="AI233" i="5" s="1"/>
  <c r="Y233" i="5"/>
  <c r="X233" i="5"/>
  <c r="W233" i="5"/>
  <c r="V233" i="5"/>
  <c r="AI232" i="5"/>
  <c r="AH232" i="5"/>
  <c r="AF232" i="5"/>
  <c r="AE232" i="5"/>
  <c r="AD232" i="5"/>
  <c r="AC232" i="5"/>
  <c r="AB232" i="5"/>
  <c r="AG232" i="5" s="1"/>
  <c r="AA232" i="5"/>
  <c r="Z232" i="5"/>
  <c r="Y232" i="5"/>
  <c r="X232" i="5"/>
  <c r="W232" i="5"/>
  <c r="V232" i="5"/>
  <c r="AH231" i="5"/>
  <c r="AF231" i="5"/>
  <c r="AE231" i="5"/>
  <c r="AD231" i="5"/>
  <c r="AC231" i="5"/>
  <c r="AB231" i="5"/>
  <c r="AG231" i="5" s="1"/>
  <c r="AA231" i="5"/>
  <c r="Z231" i="5"/>
  <c r="AI231" i="5" s="1"/>
  <c r="Y231" i="5"/>
  <c r="X231" i="5"/>
  <c r="W231" i="5"/>
  <c r="V231" i="5"/>
  <c r="AH230" i="5"/>
  <c r="AF230" i="5"/>
  <c r="AE230" i="5"/>
  <c r="AD230" i="5"/>
  <c r="AC230" i="5"/>
  <c r="AB230" i="5"/>
  <c r="AG230" i="5" s="1"/>
  <c r="AA230" i="5"/>
  <c r="Z230" i="5"/>
  <c r="AI230" i="5" s="1"/>
  <c r="Y230" i="5"/>
  <c r="X230" i="5"/>
  <c r="W230" i="5"/>
  <c r="V230" i="5"/>
  <c r="AH229" i="5"/>
  <c r="AF229" i="5"/>
  <c r="AE229" i="5"/>
  <c r="AD229" i="5"/>
  <c r="AC229" i="5"/>
  <c r="AB229" i="5"/>
  <c r="AG229" i="5" s="1"/>
  <c r="AA229" i="5"/>
  <c r="Z229" i="5"/>
  <c r="AI229" i="5" s="1"/>
  <c r="Y229" i="5"/>
  <c r="X229" i="5"/>
  <c r="W229" i="5"/>
  <c r="V229" i="5"/>
  <c r="AI228" i="5"/>
  <c r="AH228" i="5"/>
  <c r="AF228" i="5"/>
  <c r="AE228" i="5"/>
  <c r="AD228" i="5"/>
  <c r="AC228" i="5"/>
  <c r="AB228" i="5"/>
  <c r="AG228" i="5" s="1"/>
  <c r="AA228" i="5"/>
  <c r="Z228" i="5"/>
  <c r="Y228" i="5"/>
  <c r="X228" i="5"/>
  <c r="W228" i="5"/>
  <c r="V228" i="5"/>
  <c r="AH227" i="5"/>
  <c r="AG227" i="5"/>
  <c r="AF227" i="5"/>
  <c r="AE227" i="5"/>
  <c r="AD227" i="5"/>
  <c r="AC227" i="5"/>
  <c r="AB227" i="5"/>
  <c r="AA227" i="5"/>
  <c r="Z227" i="5"/>
  <c r="AI227" i="5" s="1"/>
  <c r="Y227" i="5"/>
  <c r="X227" i="5"/>
  <c r="W227" i="5"/>
  <c r="V227" i="5"/>
  <c r="AH226" i="5"/>
  <c r="AF226" i="5"/>
  <c r="AE226" i="5"/>
  <c r="AD226" i="5"/>
  <c r="AC226" i="5"/>
  <c r="AB226" i="5"/>
  <c r="AG226" i="5" s="1"/>
  <c r="AA226" i="5"/>
  <c r="Z226" i="5"/>
  <c r="AI226" i="5" s="1"/>
  <c r="Y226" i="5"/>
  <c r="X226" i="5"/>
  <c r="W226" i="5"/>
  <c r="V226" i="5"/>
  <c r="AH225" i="5"/>
  <c r="AF225" i="5"/>
  <c r="AE225" i="5"/>
  <c r="AD225" i="5"/>
  <c r="AC225" i="5"/>
  <c r="AB225" i="5"/>
  <c r="AG225" i="5" s="1"/>
  <c r="AA225" i="5"/>
  <c r="Z225" i="5"/>
  <c r="AI225" i="5" s="1"/>
  <c r="Y225" i="5"/>
  <c r="X225" i="5"/>
  <c r="W225" i="5"/>
  <c r="V225" i="5"/>
  <c r="AH224" i="5"/>
  <c r="AF224" i="5"/>
  <c r="AE224" i="5"/>
  <c r="AD224" i="5"/>
  <c r="AC224" i="5"/>
  <c r="AB224" i="5"/>
  <c r="AG224" i="5" s="1"/>
  <c r="AA224" i="5"/>
  <c r="Z224" i="5"/>
  <c r="AI224" i="5" s="1"/>
  <c r="Y224" i="5"/>
  <c r="X224" i="5"/>
  <c r="W224" i="5"/>
  <c r="V224" i="5"/>
  <c r="AH223" i="5"/>
  <c r="AF223" i="5"/>
  <c r="AE223" i="5"/>
  <c r="AD223" i="5"/>
  <c r="AC223" i="5"/>
  <c r="AB223" i="5"/>
  <c r="AG223" i="5" s="1"/>
  <c r="AA223" i="5"/>
  <c r="Z223" i="5"/>
  <c r="AI223" i="5" s="1"/>
  <c r="Y223" i="5"/>
  <c r="X223" i="5"/>
  <c r="W223" i="5"/>
  <c r="V223" i="5"/>
  <c r="AI222" i="5"/>
  <c r="AH222" i="5"/>
  <c r="AF222" i="5"/>
  <c r="AE222" i="5"/>
  <c r="AD222" i="5"/>
  <c r="AC222" i="5"/>
  <c r="AB222" i="5"/>
  <c r="AG222" i="5" s="1"/>
  <c r="AA222" i="5"/>
  <c r="Z222" i="5"/>
  <c r="Y222" i="5"/>
  <c r="X222" i="5"/>
  <c r="W222" i="5"/>
  <c r="V222" i="5"/>
  <c r="AH221" i="5"/>
  <c r="AG221" i="5"/>
  <c r="AF221" i="5"/>
  <c r="AE221" i="5"/>
  <c r="AD221" i="5"/>
  <c r="AC221" i="5"/>
  <c r="AB221" i="5"/>
  <c r="AA221" i="5"/>
  <c r="Z221" i="5"/>
  <c r="AI221" i="5" s="1"/>
  <c r="Y221" i="5"/>
  <c r="X221" i="5"/>
  <c r="W221" i="5"/>
  <c r="V221" i="5"/>
  <c r="AH220" i="5"/>
  <c r="AF220" i="5"/>
  <c r="AE220" i="5"/>
  <c r="AD220" i="5"/>
  <c r="AC220" i="5"/>
  <c r="AB220" i="5"/>
  <c r="AG220" i="5" s="1"/>
  <c r="AA220" i="5"/>
  <c r="Z220" i="5"/>
  <c r="AI220" i="5" s="1"/>
  <c r="Y220" i="5"/>
  <c r="X220" i="5"/>
  <c r="W220" i="5"/>
  <c r="V220" i="5"/>
  <c r="AH219" i="5"/>
  <c r="AF219" i="5"/>
  <c r="AE219" i="5"/>
  <c r="AD219" i="5"/>
  <c r="AC219" i="5"/>
  <c r="AB219" i="5"/>
  <c r="AG219" i="5" s="1"/>
  <c r="AA219" i="5"/>
  <c r="Z219" i="5"/>
  <c r="AI219" i="5" s="1"/>
  <c r="Y219" i="5"/>
  <c r="X219" i="5"/>
  <c r="W219" i="5"/>
  <c r="V219" i="5"/>
  <c r="AH218" i="5"/>
  <c r="AF218" i="5"/>
  <c r="AE218" i="5"/>
  <c r="AD218" i="5"/>
  <c r="AC218" i="5"/>
  <c r="AB218" i="5"/>
  <c r="AG218" i="5" s="1"/>
  <c r="AA218" i="5"/>
  <c r="Z218" i="5"/>
  <c r="AI218" i="5" s="1"/>
  <c r="Y218" i="5"/>
  <c r="X218" i="5"/>
  <c r="W218" i="5"/>
  <c r="V218" i="5"/>
  <c r="AH217" i="5"/>
  <c r="AF217" i="5"/>
  <c r="AE217" i="5"/>
  <c r="AD217" i="5"/>
  <c r="AC217" i="5"/>
  <c r="AB217" i="5"/>
  <c r="AG217" i="5" s="1"/>
  <c r="AA217" i="5"/>
  <c r="Z217" i="5"/>
  <c r="AI217" i="5" s="1"/>
  <c r="Y217" i="5"/>
  <c r="X217" i="5"/>
  <c r="W217" i="5"/>
  <c r="V217" i="5"/>
  <c r="AI216" i="5"/>
  <c r="AH216" i="5"/>
  <c r="AF216" i="5"/>
  <c r="AE216" i="5"/>
  <c r="AD216" i="5"/>
  <c r="AC216" i="5"/>
  <c r="AB216" i="5"/>
  <c r="AG216" i="5" s="1"/>
  <c r="AA216" i="5"/>
  <c r="Z216" i="5"/>
  <c r="Y216" i="5"/>
  <c r="X216" i="5"/>
  <c r="W216" i="5"/>
  <c r="V216" i="5"/>
  <c r="AH215" i="5"/>
  <c r="AG215" i="5"/>
  <c r="AF215" i="5"/>
  <c r="AE215" i="5"/>
  <c r="AD215" i="5"/>
  <c r="AC215" i="5"/>
  <c r="AB215" i="5"/>
  <c r="AA215" i="5"/>
  <c r="Z215" i="5"/>
  <c r="AI215" i="5" s="1"/>
  <c r="Y215" i="5"/>
  <c r="X215" i="5"/>
  <c r="W215" i="5"/>
  <c r="V215" i="5"/>
  <c r="AH214" i="5"/>
  <c r="AF214" i="5"/>
  <c r="AE214" i="5"/>
  <c r="AD214" i="5"/>
  <c r="AC214" i="5"/>
  <c r="AB214" i="5"/>
  <c r="AG214" i="5" s="1"/>
  <c r="AA214" i="5"/>
  <c r="Z214" i="5"/>
  <c r="AI214" i="5" s="1"/>
  <c r="Y214" i="5"/>
  <c r="X214" i="5"/>
  <c r="W214" i="5"/>
  <c r="V214" i="5"/>
  <c r="AH213" i="5"/>
  <c r="AF213" i="5"/>
  <c r="AE213" i="5"/>
  <c r="AD213" i="5"/>
  <c r="AC213" i="5"/>
  <c r="AB213" i="5"/>
  <c r="AG213" i="5" s="1"/>
  <c r="AA213" i="5"/>
  <c r="Z213" i="5"/>
  <c r="AI213" i="5" s="1"/>
  <c r="Y213" i="5"/>
  <c r="X213" i="5"/>
  <c r="W213" i="5"/>
  <c r="V213" i="5"/>
  <c r="AH212" i="5"/>
  <c r="AF212" i="5"/>
  <c r="AE212" i="5"/>
  <c r="AD212" i="5"/>
  <c r="AC212" i="5"/>
  <c r="AB212" i="5"/>
  <c r="AG212" i="5" s="1"/>
  <c r="AA212" i="5"/>
  <c r="Z212" i="5"/>
  <c r="AI212" i="5" s="1"/>
  <c r="Y212" i="5"/>
  <c r="X212" i="5"/>
  <c r="W212" i="5"/>
  <c r="V212" i="5"/>
  <c r="AH211" i="5"/>
  <c r="AF211" i="5"/>
  <c r="AE211" i="5"/>
  <c r="AD211" i="5"/>
  <c r="AC211" i="5"/>
  <c r="AB211" i="5"/>
  <c r="AG211" i="5" s="1"/>
  <c r="AA211" i="5"/>
  <c r="Z211" i="5"/>
  <c r="AI211" i="5" s="1"/>
  <c r="Y211" i="5"/>
  <c r="X211" i="5"/>
  <c r="W211" i="5"/>
  <c r="V211" i="5"/>
  <c r="AI210" i="5"/>
  <c r="AH210" i="5"/>
  <c r="AF210" i="5"/>
  <c r="AE210" i="5"/>
  <c r="AD210" i="5"/>
  <c r="AC210" i="5"/>
  <c r="AB210" i="5"/>
  <c r="AG210" i="5" s="1"/>
  <c r="AA210" i="5"/>
  <c r="Z210" i="5"/>
  <c r="Y210" i="5"/>
  <c r="X210" i="5"/>
  <c r="W210" i="5"/>
  <c r="V210" i="5"/>
  <c r="AH209" i="5"/>
  <c r="AG209" i="5"/>
  <c r="AF209" i="5"/>
  <c r="AE209" i="5"/>
  <c r="AD209" i="5"/>
  <c r="AC209" i="5"/>
  <c r="AB209" i="5"/>
  <c r="AA209" i="5"/>
  <c r="Z209" i="5"/>
  <c r="AI209" i="5" s="1"/>
  <c r="Y209" i="5"/>
  <c r="X209" i="5"/>
  <c r="W209" i="5"/>
  <c r="V209" i="5"/>
  <c r="AI208" i="5"/>
  <c r="AH208" i="5"/>
  <c r="AF208" i="5"/>
  <c r="AE208" i="5"/>
  <c r="AD208" i="5"/>
  <c r="AC208" i="5"/>
  <c r="AB208" i="5"/>
  <c r="AG208" i="5" s="1"/>
  <c r="AA208" i="5"/>
  <c r="Z208" i="5"/>
  <c r="Y208" i="5"/>
  <c r="X208" i="5"/>
  <c r="W208" i="5"/>
  <c r="V208" i="5"/>
  <c r="AH207" i="5"/>
  <c r="AF207" i="5"/>
  <c r="AE207" i="5"/>
  <c r="AD207" i="5"/>
  <c r="AC207" i="5"/>
  <c r="AB207" i="5"/>
  <c r="AG207" i="5" s="1"/>
  <c r="AA207" i="5"/>
  <c r="Z207" i="5"/>
  <c r="AI207" i="5" s="1"/>
  <c r="Y207" i="5"/>
  <c r="X207" i="5"/>
  <c r="W207" i="5"/>
  <c r="V207" i="5"/>
  <c r="AH206" i="5"/>
  <c r="AF206" i="5"/>
  <c r="AE206" i="5"/>
  <c r="AD206" i="5"/>
  <c r="AC206" i="5"/>
  <c r="AB206" i="5"/>
  <c r="AG206" i="5" s="1"/>
  <c r="AA206" i="5"/>
  <c r="Z206" i="5"/>
  <c r="AI206" i="5" s="1"/>
  <c r="Y206" i="5"/>
  <c r="X206" i="5"/>
  <c r="W206" i="5"/>
  <c r="V206" i="5"/>
  <c r="AH205" i="5"/>
  <c r="AF205" i="5"/>
  <c r="AE205" i="5"/>
  <c r="AD205" i="5"/>
  <c r="AC205" i="5"/>
  <c r="AB205" i="5"/>
  <c r="AG205" i="5" s="1"/>
  <c r="AA205" i="5"/>
  <c r="Z205" i="5"/>
  <c r="AI205" i="5" s="1"/>
  <c r="Y205" i="5"/>
  <c r="X205" i="5"/>
  <c r="W205" i="5"/>
  <c r="V205" i="5"/>
  <c r="AI204" i="5"/>
  <c r="AH204" i="5"/>
  <c r="AF204" i="5"/>
  <c r="AE204" i="5"/>
  <c r="AD204" i="5"/>
  <c r="AC204" i="5"/>
  <c r="AB204" i="5"/>
  <c r="AG204" i="5" s="1"/>
  <c r="AA204" i="5"/>
  <c r="Z204" i="5"/>
  <c r="Y204" i="5"/>
  <c r="X204" i="5"/>
  <c r="W204" i="5"/>
  <c r="V204" i="5"/>
  <c r="AH203" i="5"/>
  <c r="AG203" i="5"/>
  <c r="AF203" i="5"/>
  <c r="AE203" i="5"/>
  <c r="AD203" i="5"/>
  <c r="AC203" i="5"/>
  <c r="AB203" i="5"/>
  <c r="AA203" i="5"/>
  <c r="Z203" i="5"/>
  <c r="AI203" i="5" s="1"/>
  <c r="Y203" i="5"/>
  <c r="X203" i="5"/>
  <c r="W203" i="5"/>
  <c r="V203" i="5"/>
  <c r="AH202" i="5"/>
  <c r="AF202" i="5"/>
  <c r="AE202" i="5"/>
  <c r="AD202" i="5"/>
  <c r="AC202" i="5"/>
  <c r="AB202" i="5"/>
  <c r="AG202" i="5" s="1"/>
  <c r="AA202" i="5"/>
  <c r="Z202" i="5"/>
  <c r="AI202" i="5" s="1"/>
  <c r="Y202" i="5"/>
  <c r="X202" i="5"/>
  <c r="W202" i="5"/>
  <c r="V202" i="5"/>
  <c r="AH201" i="5"/>
  <c r="AF201" i="5"/>
  <c r="AE201" i="5"/>
  <c r="AD201" i="5"/>
  <c r="AC201" i="5"/>
  <c r="AB201" i="5"/>
  <c r="AG201" i="5" s="1"/>
  <c r="AA201" i="5"/>
  <c r="Z201" i="5"/>
  <c r="AI201" i="5" s="1"/>
  <c r="Y201" i="5"/>
  <c r="X201" i="5"/>
  <c r="W201" i="5"/>
  <c r="V201" i="5"/>
  <c r="AH200" i="5"/>
  <c r="AF200" i="5"/>
  <c r="AE200" i="5"/>
  <c r="AD200" i="5"/>
  <c r="AC200" i="5"/>
  <c r="AB200" i="5"/>
  <c r="AG200" i="5" s="1"/>
  <c r="AA200" i="5"/>
  <c r="Z200" i="5"/>
  <c r="AI200" i="5" s="1"/>
  <c r="Y200" i="5"/>
  <c r="X200" i="5"/>
  <c r="W200" i="5"/>
  <c r="V200" i="5"/>
  <c r="AH199" i="5"/>
  <c r="AF199" i="5"/>
  <c r="AE199" i="5"/>
  <c r="AD199" i="5"/>
  <c r="AC199" i="5"/>
  <c r="AB199" i="5"/>
  <c r="AG199" i="5" s="1"/>
  <c r="AA199" i="5"/>
  <c r="Z199" i="5"/>
  <c r="AI199" i="5" s="1"/>
  <c r="Y199" i="5"/>
  <c r="X199" i="5"/>
  <c r="W199" i="5"/>
  <c r="V199" i="5"/>
  <c r="AI198" i="5"/>
  <c r="AH198" i="5"/>
  <c r="AF198" i="5"/>
  <c r="AE198" i="5"/>
  <c r="AD198" i="5"/>
  <c r="AC198" i="5"/>
  <c r="AB198" i="5"/>
  <c r="AG198" i="5" s="1"/>
  <c r="AA198" i="5"/>
  <c r="Z198" i="5"/>
  <c r="Y198" i="5"/>
  <c r="X198" i="5"/>
  <c r="W198" i="5"/>
  <c r="V198" i="5"/>
  <c r="AH197" i="5"/>
  <c r="AG197" i="5"/>
  <c r="AF197" i="5"/>
  <c r="AE197" i="5"/>
  <c r="AD197" i="5"/>
  <c r="AC197" i="5"/>
  <c r="AB197" i="5"/>
  <c r="AA197" i="5"/>
  <c r="Z197" i="5"/>
  <c r="AI197" i="5" s="1"/>
  <c r="Y197" i="5"/>
  <c r="X197" i="5"/>
  <c r="W197" i="5"/>
  <c r="V197" i="5"/>
  <c r="AH196" i="5"/>
  <c r="AF196" i="5"/>
  <c r="AE196" i="5"/>
  <c r="AD196" i="5"/>
  <c r="AC196" i="5"/>
  <c r="AB196" i="5"/>
  <c r="AG196" i="5" s="1"/>
  <c r="AA196" i="5"/>
  <c r="Z196" i="5"/>
  <c r="AI196" i="5" s="1"/>
  <c r="Y196" i="5"/>
  <c r="X196" i="5"/>
  <c r="W196" i="5"/>
  <c r="V196" i="5"/>
  <c r="AH195" i="5"/>
  <c r="AF195" i="5"/>
  <c r="AE195" i="5"/>
  <c r="AD195" i="5"/>
  <c r="AC195" i="5"/>
  <c r="AB195" i="5"/>
  <c r="AG195" i="5" s="1"/>
  <c r="AA195" i="5"/>
  <c r="Z195" i="5"/>
  <c r="AI195" i="5" s="1"/>
  <c r="Y195" i="5"/>
  <c r="X195" i="5"/>
  <c r="W195" i="5"/>
  <c r="V195" i="5"/>
  <c r="AH194" i="5"/>
  <c r="AF194" i="5"/>
  <c r="AE194" i="5"/>
  <c r="AD194" i="5"/>
  <c r="AC194" i="5"/>
  <c r="AB194" i="5"/>
  <c r="AG194" i="5" s="1"/>
  <c r="AA194" i="5"/>
  <c r="Z194" i="5"/>
  <c r="AI194" i="5" s="1"/>
  <c r="Y194" i="5"/>
  <c r="X194" i="5"/>
  <c r="W194" i="5"/>
  <c r="V194" i="5"/>
  <c r="AH193" i="5"/>
  <c r="AF193" i="5"/>
  <c r="AE193" i="5"/>
  <c r="AD193" i="5"/>
  <c r="AC193" i="5"/>
  <c r="AB193" i="5"/>
  <c r="AG193" i="5" s="1"/>
  <c r="AA193" i="5"/>
  <c r="Z193" i="5"/>
  <c r="AI193" i="5" s="1"/>
  <c r="Y193" i="5"/>
  <c r="X193" i="5"/>
  <c r="W193" i="5"/>
  <c r="V193" i="5"/>
  <c r="AI192" i="5"/>
  <c r="AH192" i="5"/>
  <c r="AF192" i="5"/>
  <c r="AE192" i="5"/>
  <c r="AD192" i="5"/>
  <c r="AC192" i="5"/>
  <c r="AB192" i="5"/>
  <c r="AG192" i="5" s="1"/>
  <c r="AA192" i="5"/>
  <c r="Z192" i="5"/>
  <c r="Y192" i="5"/>
  <c r="X192" i="5"/>
  <c r="W192" i="5"/>
  <c r="V192" i="5"/>
  <c r="AH191" i="5"/>
  <c r="AG191" i="5"/>
  <c r="AF191" i="5"/>
  <c r="AE191" i="5"/>
  <c r="AD191" i="5"/>
  <c r="AC191" i="5"/>
  <c r="AB191" i="5"/>
  <c r="AA191" i="5"/>
  <c r="Z191" i="5"/>
  <c r="AI191" i="5" s="1"/>
  <c r="Y191" i="5"/>
  <c r="X191" i="5"/>
  <c r="W191" i="5"/>
  <c r="V191" i="5"/>
  <c r="AH190" i="5"/>
  <c r="AF190" i="5"/>
  <c r="AE190" i="5"/>
  <c r="AD190" i="5"/>
  <c r="AC190" i="5"/>
  <c r="AB190" i="5"/>
  <c r="AG190" i="5" s="1"/>
  <c r="AA190" i="5"/>
  <c r="Z190" i="5"/>
  <c r="AI190" i="5" s="1"/>
  <c r="Y190" i="5"/>
  <c r="X190" i="5"/>
  <c r="W190" i="5"/>
  <c r="V190" i="5"/>
  <c r="AH189" i="5"/>
  <c r="AF189" i="5"/>
  <c r="AE189" i="5"/>
  <c r="AD189" i="5"/>
  <c r="AC189" i="5"/>
  <c r="AB189" i="5"/>
  <c r="AG189" i="5" s="1"/>
  <c r="AA189" i="5"/>
  <c r="Z189" i="5"/>
  <c r="AI189" i="5" s="1"/>
  <c r="Y189" i="5"/>
  <c r="X189" i="5"/>
  <c r="W189" i="5"/>
  <c r="V189" i="5"/>
  <c r="AH188" i="5"/>
  <c r="AF188" i="5"/>
  <c r="AE188" i="5"/>
  <c r="AD188" i="5"/>
  <c r="AC188" i="5"/>
  <c r="AB188" i="5"/>
  <c r="AG188" i="5" s="1"/>
  <c r="AA188" i="5"/>
  <c r="Z188" i="5"/>
  <c r="AI188" i="5" s="1"/>
  <c r="Y188" i="5"/>
  <c r="X188" i="5"/>
  <c r="W188" i="5"/>
  <c r="V188" i="5"/>
  <c r="AH187" i="5"/>
  <c r="AF187" i="5"/>
  <c r="AE187" i="5"/>
  <c r="AD187" i="5"/>
  <c r="AC187" i="5"/>
  <c r="AB187" i="5"/>
  <c r="AG187" i="5" s="1"/>
  <c r="AA187" i="5"/>
  <c r="Z187" i="5"/>
  <c r="AI187" i="5" s="1"/>
  <c r="Y187" i="5"/>
  <c r="X187" i="5"/>
  <c r="W187" i="5"/>
  <c r="V187" i="5"/>
  <c r="AH186" i="5"/>
  <c r="AF186" i="5"/>
  <c r="AE186" i="5"/>
  <c r="AD186" i="5"/>
  <c r="AC186" i="5"/>
  <c r="AB186" i="5"/>
  <c r="AG186" i="5" s="1"/>
  <c r="AA186" i="5"/>
  <c r="Z186" i="5"/>
  <c r="AI186" i="5" s="1"/>
  <c r="Y186" i="5"/>
  <c r="X186" i="5"/>
  <c r="W186" i="5"/>
  <c r="V186" i="5"/>
  <c r="AH185" i="5"/>
  <c r="AG185" i="5"/>
  <c r="AF185" i="5"/>
  <c r="AE185" i="5"/>
  <c r="AD185" i="5"/>
  <c r="AC185" i="5"/>
  <c r="AB185" i="5"/>
  <c r="AA185" i="5"/>
  <c r="Z185" i="5"/>
  <c r="AI185" i="5" s="1"/>
  <c r="Y185" i="5"/>
  <c r="X185" i="5"/>
  <c r="W185" i="5"/>
  <c r="V185" i="5"/>
  <c r="AH184" i="5"/>
  <c r="AF184" i="5"/>
  <c r="AE184" i="5"/>
  <c r="AD184" i="5"/>
  <c r="AC184" i="5"/>
  <c r="AB184" i="5"/>
  <c r="AG184" i="5" s="1"/>
  <c r="AA184" i="5"/>
  <c r="Z184" i="5"/>
  <c r="AI184" i="5" s="1"/>
  <c r="Y184" i="5"/>
  <c r="X184" i="5"/>
  <c r="W184" i="5"/>
  <c r="V184" i="5"/>
  <c r="AH183" i="5"/>
  <c r="AF183" i="5"/>
  <c r="AE183" i="5"/>
  <c r="AD183" i="5"/>
  <c r="AC183" i="5"/>
  <c r="AB183" i="5"/>
  <c r="AG183" i="5" s="1"/>
  <c r="AA183" i="5"/>
  <c r="Z183" i="5"/>
  <c r="AI183" i="5" s="1"/>
  <c r="Y183" i="5"/>
  <c r="X183" i="5"/>
  <c r="W183" i="5"/>
  <c r="V183" i="5"/>
  <c r="AH182" i="5"/>
  <c r="AF182" i="5"/>
  <c r="AE182" i="5"/>
  <c r="AD182" i="5"/>
  <c r="AC182" i="5"/>
  <c r="AB182" i="5"/>
  <c r="AG182" i="5" s="1"/>
  <c r="AA182" i="5"/>
  <c r="Z182" i="5"/>
  <c r="AI182" i="5" s="1"/>
  <c r="Y182" i="5"/>
  <c r="X182" i="5"/>
  <c r="W182" i="5"/>
  <c r="V182" i="5"/>
  <c r="AH181" i="5"/>
  <c r="AF181" i="5"/>
  <c r="AE181" i="5"/>
  <c r="AD181" i="5"/>
  <c r="AC181" i="5"/>
  <c r="AB181" i="5"/>
  <c r="AG181" i="5" s="1"/>
  <c r="AA181" i="5"/>
  <c r="Z181" i="5"/>
  <c r="AI181" i="5" s="1"/>
  <c r="Y181" i="5"/>
  <c r="X181" i="5"/>
  <c r="W181" i="5"/>
  <c r="V181" i="5"/>
  <c r="AH180" i="5"/>
  <c r="AF180" i="5"/>
  <c r="AE180" i="5"/>
  <c r="AD180" i="5"/>
  <c r="AC180" i="5"/>
  <c r="AB180" i="5"/>
  <c r="AG180" i="5" s="1"/>
  <c r="AA180" i="5"/>
  <c r="Z180" i="5"/>
  <c r="AI180" i="5" s="1"/>
  <c r="Y180" i="5"/>
  <c r="X180" i="5"/>
  <c r="W180" i="5"/>
  <c r="V180" i="5"/>
  <c r="AH179" i="5"/>
  <c r="AG179" i="5"/>
  <c r="AF179" i="5"/>
  <c r="AE179" i="5"/>
  <c r="AD179" i="5"/>
  <c r="AC179" i="5"/>
  <c r="AB179" i="5"/>
  <c r="AA179" i="5"/>
  <c r="Z179" i="5"/>
  <c r="AI179" i="5" s="1"/>
  <c r="Y179" i="5"/>
  <c r="X179" i="5"/>
  <c r="W179" i="5"/>
  <c r="V179" i="5"/>
  <c r="AI178" i="5"/>
  <c r="AH178" i="5"/>
  <c r="AF178" i="5"/>
  <c r="AE178" i="5"/>
  <c r="AD178" i="5"/>
  <c r="AC178" i="5"/>
  <c r="AB178" i="5"/>
  <c r="AG178" i="5" s="1"/>
  <c r="AA178" i="5"/>
  <c r="Z178" i="5"/>
  <c r="Y178" i="5"/>
  <c r="X178" i="5"/>
  <c r="W178" i="5"/>
  <c r="V178" i="5"/>
  <c r="AH177" i="5"/>
  <c r="AF177" i="5"/>
  <c r="AE177" i="5"/>
  <c r="AD177" i="5"/>
  <c r="AC177" i="5"/>
  <c r="AB177" i="5"/>
  <c r="AG177" i="5" s="1"/>
  <c r="AA177" i="5"/>
  <c r="Z177" i="5"/>
  <c r="AI177" i="5" s="1"/>
  <c r="Y177" i="5"/>
  <c r="X177" i="5"/>
  <c r="W177" i="5"/>
  <c r="V177" i="5"/>
  <c r="AH176" i="5"/>
  <c r="AF176" i="5"/>
  <c r="AE176" i="5"/>
  <c r="AD176" i="5"/>
  <c r="AC176" i="5"/>
  <c r="AB176" i="5"/>
  <c r="AG176" i="5" s="1"/>
  <c r="AA176" i="5"/>
  <c r="Z176" i="5"/>
  <c r="AI176" i="5" s="1"/>
  <c r="Y176" i="5"/>
  <c r="X176" i="5"/>
  <c r="W176" i="5"/>
  <c r="V176" i="5"/>
  <c r="AH175" i="5"/>
  <c r="AF175" i="5"/>
  <c r="AE175" i="5"/>
  <c r="AD175" i="5"/>
  <c r="AC175" i="5"/>
  <c r="AB175" i="5"/>
  <c r="AG175" i="5" s="1"/>
  <c r="AA175" i="5"/>
  <c r="Z175" i="5"/>
  <c r="AI175" i="5" s="1"/>
  <c r="Y175" i="5"/>
  <c r="X175" i="5"/>
  <c r="W175" i="5"/>
  <c r="V175" i="5"/>
  <c r="AH174" i="5"/>
  <c r="AF174" i="5"/>
  <c r="AE174" i="5"/>
  <c r="AD174" i="5"/>
  <c r="AC174" i="5"/>
  <c r="AB174" i="5"/>
  <c r="AG174" i="5" s="1"/>
  <c r="AA174" i="5"/>
  <c r="Z174" i="5"/>
  <c r="AI174" i="5" s="1"/>
  <c r="Y174" i="5"/>
  <c r="X174" i="5"/>
  <c r="W174" i="5"/>
  <c r="V174" i="5"/>
  <c r="AH173" i="5"/>
  <c r="AF173" i="5"/>
  <c r="AE173" i="5"/>
  <c r="AD173" i="5"/>
  <c r="AC173" i="5"/>
  <c r="AB173" i="5"/>
  <c r="AG173" i="5" s="1"/>
  <c r="AA173" i="5"/>
  <c r="Z173" i="5"/>
  <c r="AI173" i="5" s="1"/>
  <c r="Y173" i="5"/>
  <c r="X173" i="5"/>
  <c r="W173" i="5"/>
  <c r="V173" i="5"/>
  <c r="AH172" i="5"/>
  <c r="AF172" i="5"/>
  <c r="AE172" i="5"/>
  <c r="AD172" i="5"/>
  <c r="AC172" i="5"/>
  <c r="AB172" i="5"/>
  <c r="AG172" i="5" s="1"/>
  <c r="AA172" i="5"/>
  <c r="Z172" i="5"/>
  <c r="AI172" i="5" s="1"/>
  <c r="Y172" i="5"/>
  <c r="X172" i="5"/>
  <c r="W172" i="5"/>
  <c r="V172" i="5"/>
  <c r="AH171" i="5"/>
  <c r="AF171" i="5"/>
  <c r="AE171" i="5"/>
  <c r="AD171" i="5"/>
  <c r="AC171" i="5"/>
  <c r="AB171" i="5"/>
  <c r="AG171" i="5" s="1"/>
  <c r="AA171" i="5"/>
  <c r="Z171" i="5"/>
  <c r="AI171" i="5" s="1"/>
  <c r="Y171" i="5"/>
  <c r="X171" i="5"/>
  <c r="W171" i="5"/>
  <c r="V171" i="5"/>
  <c r="AH170" i="5"/>
  <c r="AF170" i="5"/>
  <c r="AE170" i="5"/>
  <c r="AD170" i="5"/>
  <c r="AC170" i="5"/>
  <c r="AB170" i="5"/>
  <c r="AG170" i="5" s="1"/>
  <c r="AA170" i="5"/>
  <c r="Z170" i="5"/>
  <c r="AI170" i="5" s="1"/>
  <c r="Y170" i="5"/>
  <c r="X170" i="5"/>
  <c r="W170" i="5"/>
  <c r="V170" i="5"/>
  <c r="AH169" i="5"/>
  <c r="AF169" i="5"/>
  <c r="AE169" i="5"/>
  <c r="AD169" i="5"/>
  <c r="AC169" i="5"/>
  <c r="AB169" i="5"/>
  <c r="AG169" i="5" s="1"/>
  <c r="AA169" i="5"/>
  <c r="Z169" i="5"/>
  <c r="AI169" i="5" s="1"/>
  <c r="Y169" i="5"/>
  <c r="X169" i="5"/>
  <c r="W169" i="5"/>
  <c r="V169" i="5"/>
  <c r="AH168" i="5"/>
  <c r="AF168" i="5"/>
  <c r="AE168" i="5"/>
  <c r="AD168" i="5"/>
  <c r="AC168" i="5"/>
  <c r="AB168" i="5"/>
  <c r="AG168" i="5" s="1"/>
  <c r="AA168" i="5"/>
  <c r="Z168" i="5"/>
  <c r="AI168" i="5" s="1"/>
  <c r="Y168" i="5"/>
  <c r="X168" i="5"/>
  <c r="W168" i="5"/>
  <c r="V168" i="5"/>
  <c r="AH167" i="5"/>
  <c r="AF167" i="5"/>
  <c r="AE167" i="5"/>
  <c r="AD167" i="5"/>
  <c r="AC167" i="5"/>
  <c r="AB167" i="5"/>
  <c r="AG167" i="5" s="1"/>
  <c r="AA167" i="5"/>
  <c r="Z167" i="5"/>
  <c r="AI167" i="5" s="1"/>
  <c r="Y167" i="5"/>
  <c r="X167" i="5"/>
  <c r="W167" i="5"/>
  <c r="V167" i="5"/>
  <c r="AI166" i="5"/>
  <c r="AH166" i="5"/>
  <c r="AF166" i="5"/>
  <c r="AE166" i="5"/>
  <c r="AD166" i="5"/>
  <c r="AC166" i="5"/>
  <c r="AB166" i="5"/>
  <c r="AG166" i="5" s="1"/>
  <c r="AA166" i="5"/>
  <c r="Z166" i="5"/>
  <c r="Y166" i="5"/>
  <c r="X166" i="5"/>
  <c r="W166" i="5"/>
  <c r="V166" i="5"/>
  <c r="AH165" i="5"/>
  <c r="AF165" i="5"/>
  <c r="AE165" i="5"/>
  <c r="AD165" i="5"/>
  <c r="AC165" i="5"/>
  <c r="AB165" i="5"/>
  <c r="AG165" i="5" s="1"/>
  <c r="AA165" i="5"/>
  <c r="Z165" i="5"/>
  <c r="AI165" i="5" s="1"/>
  <c r="Y165" i="5"/>
  <c r="X165" i="5"/>
  <c r="W165" i="5"/>
  <c r="V165" i="5"/>
  <c r="AH164" i="5"/>
  <c r="AF164" i="5"/>
  <c r="AE164" i="5"/>
  <c r="AD164" i="5"/>
  <c r="AC164" i="5"/>
  <c r="AB164" i="5"/>
  <c r="AG164" i="5" s="1"/>
  <c r="AA164" i="5"/>
  <c r="Z164" i="5"/>
  <c r="AI164" i="5" s="1"/>
  <c r="Y164" i="5"/>
  <c r="X164" i="5"/>
  <c r="W164" i="5"/>
  <c r="V164" i="5"/>
  <c r="AH163" i="5"/>
  <c r="AF163" i="5"/>
  <c r="AE163" i="5"/>
  <c r="AD163" i="5"/>
  <c r="AC163" i="5"/>
  <c r="AB163" i="5"/>
  <c r="AG163" i="5" s="1"/>
  <c r="AA163" i="5"/>
  <c r="Z163" i="5"/>
  <c r="AI163" i="5" s="1"/>
  <c r="Y163" i="5"/>
  <c r="X163" i="5"/>
  <c r="W163" i="5"/>
  <c r="V163" i="5"/>
  <c r="AH162" i="5"/>
  <c r="AF162" i="5"/>
  <c r="AE162" i="5"/>
  <c r="AD162" i="5"/>
  <c r="AC162" i="5"/>
  <c r="AB162" i="5"/>
  <c r="AG162" i="5" s="1"/>
  <c r="AA162" i="5"/>
  <c r="Z162" i="5"/>
  <c r="AI162" i="5" s="1"/>
  <c r="Y162" i="5"/>
  <c r="X162" i="5"/>
  <c r="W162" i="5"/>
  <c r="V162" i="5"/>
  <c r="AH161" i="5"/>
  <c r="AF161" i="5"/>
  <c r="AE161" i="5"/>
  <c r="AD161" i="5"/>
  <c r="AC161" i="5"/>
  <c r="AB161" i="5"/>
  <c r="AG161" i="5" s="1"/>
  <c r="AA161" i="5"/>
  <c r="Z161" i="5"/>
  <c r="AI161" i="5" s="1"/>
  <c r="Y161" i="5"/>
  <c r="X161" i="5"/>
  <c r="W161" i="5"/>
  <c r="V161" i="5"/>
  <c r="AH160" i="5"/>
  <c r="AF160" i="5"/>
  <c r="AE160" i="5"/>
  <c r="AD160" i="5"/>
  <c r="AC160" i="5"/>
  <c r="AB160" i="5"/>
  <c r="AG160" i="5" s="1"/>
  <c r="AA160" i="5"/>
  <c r="Z160" i="5"/>
  <c r="AI160" i="5" s="1"/>
  <c r="Y160" i="5"/>
  <c r="X160" i="5"/>
  <c r="W160" i="5"/>
  <c r="V160" i="5"/>
  <c r="AH159" i="5"/>
  <c r="AF159" i="5"/>
  <c r="AE159" i="5"/>
  <c r="AD159" i="5"/>
  <c r="AC159" i="5"/>
  <c r="AB159" i="5"/>
  <c r="AG159" i="5" s="1"/>
  <c r="AA159" i="5"/>
  <c r="Z159" i="5"/>
  <c r="AI159" i="5" s="1"/>
  <c r="Y159" i="5"/>
  <c r="X159" i="5"/>
  <c r="W159" i="5"/>
  <c r="V159" i="5"/>
  <c r="AH158" i="5"/>
  <c r="AF158" i="5"/>
  <c r="AE158" i="5"/>
  <c r="AD158" i="5"/>
  <c r="AC158" i="5"/>
  <c r="AB158" i="5"/>
  <c r="AG158" i="5" s="1"/>
  <c r="AA158" i="5"/>
  <c r="Z158" i="5"/>
  <c r="AI158" i="5" s="1"/>
  <c r="Y158" i="5"/>
  <c r="X158" i="5"/>
  <c r="W158" i="5"/>
  <c r="V158" i="5"/>
  <c r="AH157" i="5"/>
  <c r="AG157" i="5"/>
  <c r="AF157" i="5"/>
  <c r="AE157" i="5"/>
  <c r="AD157" i="5"/>
  <c r="AC157" i="5"/>
  <c r="AB157" i="5"/>
  <c r="AA157" i="5"/>
  <c r="Z157" i="5"/>
  <c r="AI157" i="5" s="1"/>
  <c r="Y157" i="5"/>
  <c r="X157" i="5"/>
  <c r="W157" i="5"/>
  <c r="V157" i="5"/>
  <c r="AI156" i="5"/>
  <c r="AH156" i="5"/>
  <c r="AF156" i="5"/>
  <c r="AE156" i="5"/>
  <c r="AD156" i="5"/>
  <c r="AC156" i="5"/>
  <c r="AB156" i="5"/>
  <c r="AG156" i="5" s="1"/>
  <c r="AA156" i="5"/>
  <c r="Z156" i="5"/>
  <c r="Y156" i="5"/>
  <c r="X156" i="5"/>
  <c r="W156" i="5"/>
  <c r="V156" i="5"/>
  <c r="AH155" i="5"/>
  <c r="AF155" i="5"/>
  <c r="AE155" i="5"/>
  <c r="AD155" i="5"/>
  <c r="AC155" i="5"/>
  <c r="AB155" i="5"/>
  <c r="AG155" i="5" s="1"/>
  <c r="AA155" i="5"/>
  <c r="Z155" i="5"/>
  <c r="AI155" i="5" s="1"/>
  <c r="Y155" i="5"/>
  <c r="X155" i="5"/>
  <c r="W155" i="5"/>
  <c r="V155" i="5"/>
  <c r="AH154" i="5"/>
  <c r="AF154" i="5"/>
  <c r="AE154" i="5"/>
  <c r="AD154" i="5"/>
  <c r="AC154" i="5"/>
  <c r="AB154" i="5"/>
  <c r="AG154" i="5" s="1"/>
  <c r="AA154" i="5"/>
  <c r="Z154" i="5"/>
  <c r="AI154" i="5" s="1"/>
  <c r="Y154" i="5"/>
  <c r="X154" i="5"/>
  <c r="W154" i="5"/>
  <c r="V154" i="5"/>
  <c r="AH153" i="5"/>
  <c r="AF153" i="5"/>
  <c r="AE153" i="5"/>
  <c r="AD153" i="5"/>
  <c r="AC153" i="5"/>
  <c r="AB153" i="5"/>
  <c r="AG153" i="5" s="1"/>
  <c r="AA153" i="5"/>
  <c r="Z153" i="5"/>
  <c r="AI153" i="5" s="1"/>
  <c r="Y153" i="5"/>
  <c r="X153" i="5"/>
  <c r="W153" i="5"/>
  <c r="V153" i="5"/>
  <c r="AH152" i="5"/>
  <c r="AF152" i="5"/>
  <c r="AE152" i="5"/>
  <c r="AD152" i="5"/>
  <c r="AC152" i="5"/>
  <c r="AB152" i="5"/>
  <c r="AG152" i="5" s="1"/>
  <c r="AA152" i="5"/>
  <c r="Z152" i="5"/>
  <c r="AI152" i="5" s="1"/>
  <c r="Y152" i="5"/>
  <c r="X152" i="5"/>
  <c r="W152" i="5"/>
  <c r="V152" i="5"/>
  <c r="AH151" i="5"/>
  <c r="AF151" i="5"/>
  <c r="AE151" i="5"/>
  <c r="AD151" i="5"/>
  <c r="AC151" i="5"/>
  <c r="AB151" i="5"/>
  <c r="AG151" i="5" s="1"/>
  <c r="AA151" i="5"/>
  <c r="Z151" i="5"/>
  <c r="AI151" i="5" s="1"/>
  <c r="Y151" i="5"/>
  <c r="X151" i="5"/>
  <c r="W151" i="5"/>
  <c r="V151" i="5"/>
  <c r="AH150" i="5"/>
  <c r="AF150" i="5"/>
  <c r="AE150" i="5"/>
  <c r="AD150" i="5"/>
  <c r="AC150" i="5"/>
  <c r="AB150" i="5"/>
  <c r="AG150" i="5" s="1"/>
  <c r="AA150" i="5"/>
  <c r="Z150" i="5"/>
  <c r="AI150" i="5" s="1"/>
  <c r="Y150" i="5"/>
  <c r="X150" i="5"/>
  <c r="W150" i="5"/>
  <c r="V150" i="5"/>
  <c r="AH149" i="5"/>
  <c r="AF149" i="5"/>
  <c r="AE149" i="5"/>
  <c r="AD149" i="5"/>
  <c r="AC149" i="5"/>
  <c r="AB149" i="5"/>
  <c r="AG149" i="5" s="1"/>
  <c r="AA149" i="5"/>
  <c r="Z149" i="5"/>
  <c r="AI149" i="5" s="1"/>
  <c r="Y149" i="5"/>
  <c r="X149" i="5"/>
  <c r="W149" i="5"/>
  <c r="V149" i="5"/>
  <c r="AI148" i="5"/>
  <c r="AH148" i="5"/>
  <c r="AF148" i="5"/>
  <c r="AE148" i="5"/>
  <c r="AD148" i="5"/>
  <c r="AC148" i="5"/>
  <c r="AB148" i="5"/>
  <c r="AG148" i="5" s="1"/>
  <c r="AA148" i="5"/>
  <c r="Z148" i="5"/>
  <c r="Y148" i="5"/>
  <c r="X148" i="5"/>
  <c r="W148" i="5"/>
  <c r="V148" i="5"/>
  <c r="AH147" i="5"/>
  <c r="AF147" i="5"/>
  <c r="AE147" i="5"/>
  <c r="AD147" i="5"/>
  <c r="AC147" i="5"/>
  <c r="AB147" i="5"/>
  <c r="AG147" i="5" s="1"/>
  <c r="AA147" i="5"/>
  <c r="Z147" i="5"/>
  <c r="AI147" i="5" s="1"/>
  <c r="Y147" i="5"/>
  <c r="X147" i="5"/>
  <c r="W147" i="5"/>
  <c r="V147" i="5"/>
  <c r="AH146" i="5"/>
  <c r="AF146" i="5"/>
  <c r="AE146" i="5"/>
  <c r="AD146" i="5"/>
  <c r="AC146" i="5"/>
  <c r="AB146" i="5"/>
  <c r="AG146" i="5" s="1"/>
  <c r="AA146" i="5"/>
  <c r="Z146" i="5"/>
  <c r="AI146" i="5" s="1"/>
  <c r="Y146" i="5"/>
  <c r="X146" i="5"/>
  <c r="W146" i="5"/>
  <c r="V146" i="5"/>
  <c r="AH145" i="5"/>
  <c r="AF145" i="5"/>
  <c r="AE145" i="5"/>
  <c r="AD145" i="5"/>
  <c r="AC145" i="5"/>
  <c r="AB145" i="5"/>
  <c r="AG145" i="5" s="1"/>
  <c r="AA145" i="5"/>
  <c r="Z145" i="5"/>
  <c r="AI145" i="5" s="1"/>
  <c r="Y145" i="5"/>
  <c r="X145" i="5"/>
  <c r="W145" i="5"/>
  <c r="V145" i="5"/>
  <c r="AH144" i="5"/>
  <c r="AF144" i="5"/>
  <c r="AE144" i="5"/>
  <c r="AD144" i="5"/>
  <c r="AC144" i="5"/>
  <c r="AB144" i="5"/>
  <c r="AG144" i="5" s="1"/>
  <c r="AA144" i="5"/>
  <c r="Z144" i="5"/>
  <c r="AI144" i="5" s="1"/>
  <c r="Y144" i="5"/>
  <c r="X144" i="5"/>
  <c r="W144" i="5"/>
  <c r="V144" i="5"/>
  <c r="AH143" i="5"/>
  <c r="AF143" i="5"/>
  <c r="AE143" i="5"/>
  <c r="AD143" i="5"/>
  <c r="AC143" i="5"/>
  <c r="AB143" i="5"/>
  <c r="AG143" i="5" s="1"/>
  <c r="AA143" i="5"/>
  <c r="Z143" i="5"/>
  <c r="AI143" i="5" s="1"/>
  <c r="Y143" i="5"/>
  <c r="X143" i="5"/>
  <c r="W143" i="5"/>
  <c r="V143" i="5"/>
  <c r="AH142" i="5"/>
  <c r="AF142" i="5"/>
  <c r="AE142" i="5"/>
  <c r="AD142" i="5"/>
  <c r="AC142" i="5"/>
  <c r="AB142" i="5"/>
  <c r="AG142" i="5" s="1"/>
  <c r="AA142" i="5"/>
  <c r="Z142" i="5"/>
  <c r="AI142" i="5" s="1"/>
  <c r="Y142" i="5"/>
  <c r="X142" i="5"/>
  <c r="W142" i="5"/>
  <c r="V142" i="5"/>
  <c r="AH141" i="5"/>
  <c r="AF141" i="5"/>
  <c r="AE141" i="5"/>
  <c r="AD141" i="5"/>
  <c r="AC141" i="5"/>
  <c r="AB141" i="5"/>
  <c r="AG141" i="5" s="1"/>
  <c r="AA141" i="5"/>
  <c r="Z141" i="5"/>
  <c r="AI141" i="5" s="1"/>
  <c r="Y141" i="5"/>
  <c r="X141" i="5"/>
  <c r="W141" i="5"/>
  <c r="V141" i="5"/>
  <c r="AH140" i="5"/>
  <c r="AF140" i="5"/>
  <c r="AE140" i="5"/>
  <c r="AD140" i="5"/>
  <c r="AC140" i="5"/>
  <c r="AB140" i="5"/>
  <c r="AG140" i="5" s="1"/>
  <c r="AA140" i="5"/>
  <c r="Z140" i="5"/>
  <c r="AI140" i="5" s="1"/>
  <c r="Y140" i="5"/>
  <c r="X140" i="5"/>
  <c r="W140" i="5"/>
  <c r="V140" i="5"/>
  <c r="AH139" i="5"/>
  <c r="AG139" i="5"/>
  <c r="AF139" i="5"/>
  <c r="AE139" i="5"/>
  <c r="AD139" i="5"/>
  <c r="AC139" i="5"/>
  <c r="AB139" i="5"/>
  <c r="AA139" i="5"/>
  <c r="Z139" i="5"/>
  <c r="AI139" i="5" s="1"/>
  <c r="Y139" i="5"/>
  <c r="X139" i="5"/>
  <c r="W139" i="5"/>
  <c r="V139" i="5"/>
  <c r="AI138" i="5"/>
  <c r="AH138" i="5"/>
  <c r="AF138" i="5"/>
  <c r="AE138" i="5"/>
  <c r="AD138" i="5"/>
  <c r="AC138" i="5"/>
  <c r="AB138" i="5"/>
  <c r="AG138" i="5" s="1"/>
  <c r="AA138" i="5"/>
  <c r="Z138" i="5"/>
  <c r="Y138" i="5"/>
  <c r="X138" i="5"/>
  <c r="W138" i="5"/>
  <c r="V138" i="5"/>
  <c r="AH137" i="5"/>
  <c r="AF137" i="5"/>
  <c r="AE137" i="5"/>
  <c r="AD137" i="5"/>
  <c r="AC137" i="5"/>
  <c r="AB137" i="5"/>
  <c r="AG137" i="5" s="1"/>
  <c r="AA137" i="5"/>
  <c r="Z137" i="5"/>
  <c r="AI137" i="5" s="1"/>
  <c r="Y137" i="5"/>
  <c r="X137" i="5"/>
  <c r="W137" i="5"/>
  <c r="V137" i="5"/>
  <c r="AH136" i="5"/>
  <c r="AF136" i="5"/>
  <c r="AE136" i="5"/>
  <c r="AD136" i="5"/>
  <c r="AC136" i="5"/>
  <c r="AB136" i="5"/>
  <c r="AG136" i="5" s="1"/>
  <c r="AA136" i="5"/>
  <c r="Z136" i="5"/>
  <c r="AI136" i="5" s="1"/>
  <c r="Y136" i="5"/>
  <c r="X136" i="5"/>
  <c r="W136" i="5"/>
  <c r="V136" i="5"/>
  <c r="AH135" i="5"/>
  <c r="AF135" i="5"/>
  <c r="AE135" i="5"/>
  <c r="AD135" i="5"/>
  <c r="AC135" i="5"/>
  <c r="AB135" i="5"/>
  <c r="AG135" i="5" s="1"/>
  <c r="AA135" i="5"/>
  <c r="Z135" i="5"/>
  <c r="AI135" i="5" s="1"/>
  <c r="Y135" i="5"/>
  <c r="X135" i="5"/>
  <c r="W135" i="5"/>
  <c r="V135" i="5"/>
  <c r="AH134" i="5"/>
  <c r="AF134" i="5"/>
  <c r="AE134" i="5"/>
  <c r="AD134" i="5"/>
  <c r="AC134" i="5"/>
  <c r="AB134" i="5"/>
  <c r="AG134" i="5" s="1"/>
  <c r="AA134" i="5"/>
  <c r="Z134" i="5"/>
  <c r="AI134" i="5" s="1"/>
  <c r="Y134" i="5"/>
  <c r="X134" i="5"/>
  <c r="W134" i="5"/>
  <c r="V134" i="5"/>
  <c r="AH133" i="5"/>
  <c r="AF133" i="5"/>
  <c r="AE133" i="5"/>
  <c r="AD133" i="5"/>
  <c r="AC133" i="5"/>
  <c r="AB133" i="5"/>
  <c r="AG133" i="5" s="1"/>
  <c r="AA133" i="5"/>
  <c r="Z133" i="5"/>
  <c r="AI133" i="5" s="1"/>
  <c r="Y133" i="5"/>
  <c r="X133" i="5"/>
  <c r="W133" i="5"/>
  <c r="V133" i="5"/>
  <c r="AH132" i="5"/>
  <c r="AF132" i="5"/>
  <c r="AE132" i="5"/>
  <c r="AD132" i="5"/>
  <c r="AC132" i="5"/>
  <c r="AB132" i="5"/>
  <c r="AG132" i="5" s="1"/>
  <c r="AA132" i="5"/>
  <c r="Z132" i="5"/>
  <c r="AI132" i="5" s="1"/>
  <c r="Y132" i="5"/>
  <c r="X132" i="5"/>
  <c r="W132" i="5"/>
  <c r="V132" i="5"/>
  <c r="AH131" i="5"/>
  <c r="AF131" i="5"/>
  <c r="AE131" i="5"/>
  <c r="AD131" i="5"/>
  <c r="AC131" i="5"/>
  <c r="AB131" i="5"/>
  <c r="AG131" i="5" s="1"/>
  <c r="AA131" i="5"/>
  <c r="Z131" i="5"/>
  <c r="AI131" i="5" s="1"/>
  <c r="Y131" i="5"/>
  <c r="X131" i="5"/>
  <c r="W131" i="5"/>
  <c r="V131" i="5"/>
  <c r="AI130" i="5"/>
  <c r="AH130" i="5"/>
  <c r="AF130" i="5"/>
  <c r="AE130" i="5"/>
  <c r="AD130" i="5"/>
  <c r="AC130" i="5"/>
  <c r="AB130" i="5"/>
  <c r="AG130" i="5" s="1"/>
  <c r="AA130" i="5"/>
  <c r="Z130" i="5"/>
  <c r="Y130" i="5"/>
  <c r="X130" i="5"/>
  <c r="W130" i="5"/>
  <c r="V130" i="5"/>
  <c r="AH129" i="5"/>
  <c r="AF129" i="5"/>
  <c r="AE129" i="5"/>
  <c r="AD129" i="5"/>
  <c r="AC129" i="5"/>
  <c r="AB129" i="5"/>
  <c r="AG129" i="5" s="1"/>
  <c r="AA129" i="5"/>
  <c r="Z129" i="5"/>
  <c r="AI129" i="5" s="1"/>
  <c r="Y129" i="5"/>
  <c r="X129" i="5"/>
  <c r="W129" i="5"/>
  <c r="V129" i="5"/>
  <c r="AH128" i="5"/>
  <c r="AF128" i="5"/>
  <c r="AE128" i="5"/>
  <c r="AD128" i="5"/>
  <c r="AC128" i="5"/>
  <c r="AB128" i="5"/>
  <c r="AG128" i="5" s="1"/>
  <c r="AA128" i="5"/>
  <c r="Z128" i="5"/>
  <c r="AI128" i="5" s="1"/>
  <c r="Y128" i="5"/>
  <c r="X128" i="5"/>
  <c r="W128" i="5"/>
  <c r="V128" i="5"/>
  <c r="AH127" i="5"/>
  <c r="AF127" i="5"/>
  <c r="AE127" i="5"/>
  <c r="AD127" i="5"/>
  <c r="AC127" i="5"/>
  <c r="AB127" i="5"/>
  <c r="AG127" i="5" s="1"/>
  <c r="AA127" i="5"/>
  <c r="Z127" i="5"/>
  <c r="AI127" i="5" s="1"/>
  <c r="Y127" i="5"/>
  <c r="X127" i="5"/>
  <c r="W127" i="5"/>
  <c r="V127" i="5"/>
  <c r="AH126" i="5"/>
  <c r="AF126" i="5"/>
  <c r="AE126" i="5"/>
  <c r="AD126" i="5"/>
  <c r="AC126" i="5"/>
  <c r="AB126" i="5"/>
  <c r="AG126" i="5" s="1"/>
  <c r="AA126" i="5"/>
  <c r="Z126" i="5"/>
  <c r="AI126" i="5" s="1"/>
  <c r="Y126" i="5"/>
  <c r="X126" i="5"/>
  <c r="W126" i="5"/>
  <c r="V126" i="5"/>
  <c r="AH125" i="5"/>
  <c r="AF125" i="5"/>
  <c r="AE125" i="5"/>
  <c r="AD125" i="5"/>
  <c r="AC125" i="5"/>
  <c r="AB125" i="5"/>
  <c r="AG125" i="5" s="1"/>
  <c r="AA125" i="5"/>
  <c r="Z125" i="5"/>
  <c r="AI125" i="5" s="1"/>
  <c r="Y125" i="5"/>
  <c r="X125" i="5"/>
  <c r="W125" i="5"/>
  <c r="V125" i="5"/>
  <c r="AH124" i="5"/>
  <c r="AF124" i="5"/>
  <c r="AE124" i="5"/>
  <c r="AD124" i="5"/>
  <c r="AC124" i="5"/>
  <c r="AB124" i="5"/>
  <c r="AG124" i="5" s="1"/>
  <c r="AA124" i="5"/>
  <c r="Z124" i="5"/>
  <c r="AI124" i="5" s="1"/>
  <c r="Y124" i="5"/>
  <c r="X124" i="5"/>
  <c r="W124" i="5"/>
  <c r="V124" i="5"/>
  <c r="AH123" i="5"/>
  <c r="AF123" i="5"/>
  <c r="AE123" i="5"/>
  <c r="AD123" i="5"/>
  <c r="AC123" i="5"/>
  <c r="AB123" i="5"/>
  <c r="AG123" i="5" s="1"/>
  <c r="AA123" i="5"/>
  <c r="Z123" i="5"/>
  <c r="AI123" i="5" s="1"/>
  <c r="Y123" i="5"/>
  <c r="X123" i="5"/>
  <c r="W123" i="5"/>
  <c r="V123" i="5"/>
  <c r="AH122" i="5"/>
  <c r="AF122" i="5"/>
  <c r="AE122" i="5"/>
  <c r="AD122" i="5"/>
  <c r="AC122" i="5"/>
  <c r="AB122" i="5"/>
  <c r="AG122" i="5" s="1"/>
  <c r="AA122" i="5"/>
  <c r="Z122" i="5"/>
  <c r="AI122" i="5" s="1"/>
  <c r="Y122" i="5"/>
  <c r="X122" i="5"/>
  <c r="W122" i="5"/>
  <c r="V122" i="5"/>
  <c r="AH121" i="5"/>
  <c r="AG121" i="5"/>
  <c r="AF121" i="5"/>
  <c r="AE121" i="5"/>
  <c r="AD121" i="5"/>
  <c r="AC121" i="5"/>
  <c r="AB121" i="5"/>
  <c r="AA121" i="5"/>
  <c r="Z121" i="5"/>
  <c r="AI121" i="5" s="1"/>
  <c r="Y121" i="5"/>
  <c r="X121" i="5"/>
  <c r="W121" i="5"/>
  <c r="V121" i="5"/>
  <c r="AI120" i="5"/>
  <c r="AH120" i="5"/>
  <c r="AF120" i="5"/>
  <c r="AE120" i="5"/>
  <c r="AD120" i="5"/>
  <c r="AC120" i="5"/>
  <c r="AB120" i="5"/>
  <c r="AG120" i="5" s="1"/>
  <c r="AA120" i="5"/>
  <c r="Z120" i="5"/>
  <c r="Y120" i="5"/>
  <c r="X120" i="5"/>
  <c r="W120" i="5"/>
  <c r="V120" i="5"/>
  <c r="AH119" i="5"/>
  <c r="AF119" i="5"/>
  <c r="AE119" i="5"/>
  <c r="AD119" i="5"/>
  <c r="AC119" i="5"/>
  <c r="AB119" i="5"/>
  <c r="AG119" i="5" s="1"/>
  <c r="AA119" i="5"/>
  <c r="Z119" i="5"/>
  <c r="AI119" i="5" s="1"/>
  <c r="Y119" i="5"/>
  <c r="X119" i="5"/>
  <c r="W119" i="5"/>
  <c r="V119" i="5"/>
  <c r="AH118" i="5"/>
  <c r="AF118" i="5"/>
  <c r="AE118" i="5"/>
  <c r="AD118" i="5"/>
  <c r="AC118" i="5"/>
  <c r="AB118" i="5"/>
  <c r="AG118" i="5" s="1"/>
  <c r="AA118" i="5"/>
  <c r="Z118" i="5"/>
  <c r="AI118" i="5" s="1"/>
  <c r="Y118" i="5"/>
  <c r="X118" i="5"/>
  <c r="W118" i="5"/>
  <c r="V118" i="5"/>
  <c r="AH117" i="5"/>
  <c r="AF117" i="5"/>
  <c r="AE117" i="5"/>
  <c r="AD117" i="5"/>
  <c r="AC117" i="5"/>
  <c r="AB117" i="5"/>
  <c r="AG117" i="5" s="1"/>
  <c r="AA117" i="5"/>
  <c r="Z117" i="5"/>
  <c r="AI117" i="5" s="1"/>
  <c r="Y117" i="5"/>
  <c r="X117" i="5"/>
  <c r="W117" i="5"/>
  <c r="V117" i="5"/>
  <c r="AH116" i="5"/>
  <c r="AF116" i="5"/>
  <c r="AE116" i="5"/>
  <c r="AD116" i="5"/>
  <c r="AC116" i="5"/>
  <c r="AB116" i="5"/>
  <c r="AG116" i="5" s="1"/>
  <c r="AA116" i="5"/>
  <c r="Z116" i="5"/>
  <c r="AI116" i="5" s="1"/>
  <c r="Y116" i="5"/>
  <c r="X116" i="5"/>
  <c r="W116" i="5"/>
  <c r="V116" i="5"/>
  <c r="AH115" i="5"/>
  <c r="AF115" i="5"/>
  <c r="AE115" i="5"/>
  <c r="AD115" i="5"/>
  <c r="AC115" i="5"/>
  <c r="AB115" i="5"/>
  <c r="AG115" i="5" s="1"/>
  <c r="AA115" i="5"/>
  <c r="Z115" i="5"/>
  <c r="AI115" i="5" s="1"/>
  <c r="Y115" i="5"/>
  <c r="X115" i="5"/>
  <c r="W115" i="5"/>
  <c r="V115" i="5"/>
  <c r="AH114" i="5"/>
  <c r="AF114" i="5"/>
  <c r="AE114" i="5"/>
  <c r="AD114" i="5"/>
  <c r="AC114" i="5"/>
  <c r="AB114" i="5"/>
  <c r="AG114" i="5" s="1"/>
  <c r="AA114" i="5"/>
  <c r="Z114" i="5"/>
  <c r="AI114" i="5" s="1"/>
  <c r="Y114" i="5"/>
  <c r="X114" i="5"/>
  <c r="W114" i="5"/>
  <c r="V114" i="5"/>
  <c r="AH113" i="5"/>
  <c r="AF113" i="5"/>
  <c r="AE113" i="5"/>
  <c r="AD113" i="5"/>
  <c r="AC113" i="5"/>
  <c r="AB113" i="5"/>
  <c r="AG113" i="5" s="1"/>
  <c r="AA113" i="5"/>
  <c r="Z113" i="5"/>
  <c r="AI113" i="5" s="1"/>
  <c r="Y113" i="5"/>
  <c r="X113" i="5"/>
  <c r="W113" i="5"/>
  <c r="V113" i="5"/>
  <c r="AH112" i="5"/>
  <c r="AF112" i="5"/>
  <c r="AE112" i="5"/>
  <c r="AD112" i="5"/>
  <c r="AC112" i="5"/>
  <c r="AB112" i="5"/>
  <c r="AG112" i="5" s="1"/>
  <c r="AA112" i="5"/>
  <c r="Z112" i="5"/>
  <c r="AI112" i="5" s="1"/>
  <c r="Y112" i="5"/>
  <c r="X112" i="5"/>
  <c r="W112" i="5"/>
  <c r="V112" i="5"/>
  <c r="AH111" i="5"/>
  <c r="AF111" i="5"/>
  <c r="AE111" i="5"/>
  <c r="AD111" i="5"/>
  <c r="AC111" i="5"/>
  <c r="AB111" i="5"/>
  <c r="AG111" i="5" s="1"/>
  <c r="AA111" i="5"/>
  <c r="Z111" i="5"/>
  <c r="AI111" i="5" s="1"/>
  <c r="Y111" i="5"/>
  <c r="X111" i="5"/>
  <c r="W111" i="5"/>
  <c r="V111" i="5"/>
  <c r="AH110" i="5"/>
  <c r="AF110" i="5"/>
  <c r="AE110" i="5"/>
  <c r="AD110" i="5"/>
  <c r="AC110" i="5"/>
  <c r="AB110" i="5"/>
  <c r="AG110" i="5" s="1"/>
  <c r="AA110" i="5"/>
  <c r="Z110" i="5"/>
  <c r="AI110" i="5" s="1"/>
  <c r="Y110" i="5"/>
  <c r="X110" i="5"/>
  <c r="W110" i="5"/>
  <c r="V110" i="5"/>
  <c r="AH109" i="5"/>
  <c r="AF109" i="5"/>
  <c r="AE109" i="5"/>
  <c r="AD109" i="5"/>
  <c r="AC109" i="5"/>
  <c r="AB109" i="5"/>
  <c r="AG109" i="5" s="1"/>
  <c r="AA109" i="5"/>
  <c r="Z109" i="5"/>
  <c r="AI109" i="5" s="1"/>
  <c r="Y109" i="5"/>
  <c r="X109" i="5"/>
  <c r="W109" i="5"/>
  <c r="V109" i="5"/>
  <c r="AH108" i="5"/>
  <c r="AF108" i="5"/>
  <c r="AE108" i="5"/>
  <c r="AD108" i="5"/>
  <c r="AC108" i="5"/>
  <c r="AB108" i="5"/>
  <c r="AG108" i="5" s="1"/>
  <c r="AA108" i="5"/>
  <c r="Z108" i="5"/>
  <c r="AI108" i="5" s="1"/>
  <c r="Y108" i="5"/>
  <c r="X108" i="5"/>
  <c r="W108" i="5"/>
  <c r="V108" i="5"/>
  <c r="AH107" i="5"/>
  <c r="AG107" i="5"/>
  <c r="AF107" i="5"/>
  <c r="AE107" i="5"/>
  <c r="AD107" i="5"/>
  <c r="AC107" i="5"/>
  <c r="AB107" i="5"/>
  <c r="AA107" i="5"/>
  <c r="Z107" i="5"/>
  <c r="AI107" i="5" s="1"/>
  <c r="Y107" i="5"/>
  <c r="X107" i="5"/>
  <c r="W107" i="5"/>
  <c r="V107" i="5"/>
  <c r="AI106" i="5"/>
  <c r="AH106" i="5"/>
  <c r="AF106" i="5"/>
  <c r="AE106" i="5"/>
  <c r="AD106" i="5"/>
  <c r="AC106" i="5"/>
  <c r="AB106" i="5"/>
  <c r="AG106" i="5" s="1"/>
  <c r="AA106" i="5"/>
  <c r="Z106" i="5"/>
  <c r="Y106" i="5"/>
  <c r="X106" i="5"/>
  <c r="W106" i="5"/>
  <c r="V106" i="5"/>
  <c r="AH105" i="5"/>
  <c r="AF105" i="5"/>
  <c r="AE105" i="5"/>
  <c r="AD105" i="5"/>
  <c r="AC105" i="5"/>
  <c r="AB105" i="5"/>
  <c r="AG105" i="5" s="1"/>
  <c r="AA105" i="5"/>
  <c r="Z105" i="5"/>
  <c r="AI105" i="5" s="1"/>
  <c r="Y105" i="5"/>
  <c r="X105" i="5"/>
  <c r="W105" i="5"/>
  <c r="V105" i="5"/>
  <c r="AH104" i="5"/>
  <c r="AF104" i="5"/>
  <c r="AE104" i="5"/>
  <c r="AD104" i="5"/>
  <c r="AC104" i="5"/>
  <c r="AB104" i="5"/>
  <c r="AG104" i="5" s="1"/>
  <c r="AA104" i="5"/>
  <c r="Z104" i="5"/>
  <c r="AI104" i="5" s="1"/>
  <c r="Y104" i="5"/>
  <c r="X104" i="5"/>
  <c r="W104" i="5"/>
  <c r="V104" i="5"/>
  <c r="AH103" i="5"/>
  <c r="AF103" i="5"/>
  <c r="AE103" i="5"/>
  <c r="AD103" i="5"/>
  <c r="AC103" i="5"/>
  <c r="AB103" i="5"/>
  <c r="AG103" i="5" s="1"/>
  <c r="AA103" i="5"/>
  <c r="Z103" i="5"/>
  <c r="AI103" i="5" s="1"/>
  <c r="Y103" i="5"/>
  <c r="X103" i="5"/>
  <c r="W103" i="5"/>
  <c r="V103" i="5"/>
  <c r="AH102" i="5"/>
  <c r="AF102" i="5"/>
  <c r="AE102" i="5"/>
  <c r="AD102" i="5"/>
  <c r="AC102" i="5"/>
  <c r="AB102" i="5"/>
  <c r="AG102" i="5" s="1"/>
  <c r="AA102" i="5"/>
  <c r="Z102" i="5"/>
  <c r="AI102" i="5" s="1"/>
  <c r="Y102" i="5"/>
  <c r="X102" i="5"/>
  <c r="W102" i="5"/>
  <c r="V102" i="5"/>
  <c r="AH101" i="5"/>
  <c r="AF101" i="5"/>
  <c r="AE101" i="5"/>
  <c r="AD101" i="5"/>
  <c r="AC101" i="5"/>
  <c r="AB101" i="5"/>
  <c r="AG101" i="5" s="1"/>
  <c r="AA101" i="5"/>
  <c r="Z101" i="5"/>
  <c r="AI101" i="5" s="1"/>
  <c r="Y101" i="5"/>
  <c r="X101" i="5"/>
  <c r="W101" i="5"/>
  <c r="V101" i="5"/>
  <c r="AH100" i="5"/>
  <c r="AF100" i="5"/>
  <c r="AE100" i="5"/>
  <c r="AD100" i="5"/>
  <c r="AC100" i="5"/>
  <c r="AB100" i="5"/>
  <c r="AG100" i="5" s="1"/>
  <c r="AA100" i="5"/>
  <c r="Z100" i="5"/>
  <c r="AI100" i="5" s="1"/>
  <c r="Y100" i="5"/>
  <c r="X100" i="5"/>
  <c r="W100" i="5"/>
  <c r="V100" i="5"/>
  <c r="AH99" i="5"/>
  <c r="AF99" i="5"/>
  <c r="AE99" i="5"/>
  <c r="AD99" i="5"/>
  <c r="AC99" i="5"/>
  <c r="AB99" i="5"/>
  <c r="AG99" i="5" s="1"/>
  <c r="AA99" i="5"/>
  <c r="Z99" i="5"/>
  <c r="AI99" i="5" s="1"/>
  <c r="Y99" i="5"/>
  <c r="X99" i="5"/>
  <c r="W99" i="5"/>
  <c r="V99" i="5"/>
  <c r="AH98" i="5"/>
  <c r="AF98" i="5"/>
  <c r="AE98" i="5"/>
  <c r="AD98" i="5"/>
  <c r="AC98" i="5"/>
  <c r="AB98" i="5"/>
  <c r="AG98" i="5" s="1"/>
  <c r="AA98" i="5"/>
  <c r="Z98" i="5"/>
  <c r="AI98" i="5" s="1"/>
  <c r="Y98" i="5"/>
  <c r="X98" i="5"/>
  <c r="W98" i="5"/>
  <c r="V98" i="5"/>
  <c r="AH97" i="5"/>
  <c r="AG97" i="5"/>
  <c r="AF97" i="5"/>
  <c r="AE97" i="5"/>
  <c r="AD97" i="5"/>
  <c r="AC97" i="5"/>
  <c r="AB97" i="5"/>
  <c r="AA97" i="5"/>
  <c r="Z97" i="5"/>
  <c r="AI97" i="5" s="1"/>
  <c r="Y97" i="5"/>
  <c r="X97" i="5"/>
  <c r="W97" i="5"/>
  <c r="V97" i="5"/>
  <c r="AI96" i="5"/>
  <c r="AH96" i="5"/>
  <c r="AF96" i="5"/>
  <c r="AE96" i="5"/>
  <c r="AD96" i="5"/>
  <c r="AC96" i="5"/>
  <c r="AB96" i="5"/>
  <c r="AG96" i="5" s="1"/>
  <c r="AA96" i="5"/>
  <c r="Z96" i="5"/>
  <c r="Y96" i="5"/>
  <c r="X96" i="5"/>
  <c r="W96" i="5"/>
  <c r="V96" i="5"/>
  <c r="AH95" i="5"/>
  <c r="AF95" i="5"/>
  <c r="AE95" i="5"/>
  <c r="AD95" i="5"/>
  <c r="AC95" i="5"/>
  <c r="AB95" i="5"/>
  <c r="AG95" i="5" s="1"/>
  <c r="AA95" i="5"/>
  <c r="Z95" i="5"/>
  <c r="AI95" i="5" s="1"/>
  <c r="Y95" i="5"/>
  <c r="X95" i="5"/>
  <c r="W95" i="5"/>
  <c r="V95" i="5"/>
  <c r="AH94" i="5"/>
  <c r="AF94" i="5"/>
  <c r="AE94" i="5"/>
  <c r="AD94" i="5"/>
  <c r="AC94" i="5"/>
  <c r="AB94" i="5"/>
  <c r="AG94" i="5" s="1"/>
  <c r="AA94" i="5"/>
  <c r="Z94" i="5"/>
  <c r="AI94" i="5" s="1"/>
  <c r="Y94" i="5"/>
  <c r="X94" i="5"/>
  <c r="W94" i="5"/>
  <c r="V94" i="5"/>
  <c r="AH93" i="5"/>
  <c r="AF93" i="5"/>
  <c r="AE93" i="5"/>
  <c r="AD93" i="5"/>
  <c r="AC93" i="5"/>
  <c r="AB93" i="5"/>
  <c r="AG93" i="5" s="1"/>
  <c r="AA93" i="5"/>
  <c r="Z93" i="5"/>
  <c r="AI93" i="5" s="1"/>
  <c r="Y93" i="5"/>
  <c r="X93" i="5"/>
  <c r="W93" i="5"/>
  <c r="V93" i="5"/>
  <c r="AI92" i="5"/>
  <c r="AH92" i="5"/>
  <c r="AF92" i="5"/>
  <c r="AE92" i="5"/>
  <c r="AD92" i="5"/>
  <c r="AC92" i="5"/>
  <c r="AB92" i="5"/>
  <c r="AG92" i="5" s="1"/>
  <c r="AA92" i="5"/>
  <c r="Z92" i="5"/>
  <c r="Y92" i="5"/>
  <c r="X92" i="5"/>
  <c r="W92" i="5"/>
  <c r="V92" i="5"/>
  <c r="AH91" i="5"/>
  <c r="AF91" i="5"/>
  <c r="AE91" i="5"/>
  <c r="AD91" i="5"/>
  <c r="AC91" i="5"/>
  <c r="AB91" i="5"/>
  <c r="AG91" i="5" s="1"/>
  <c r="AA91" i="5"/>
  <c r="Z91" i="5"/>
  <c r="AI91" i="5" s="1"/>
  <c r="Y91" i="5"/>
  <c r="X91" i="5"/>
  <c r="W91" i="5"/>
  <c r="V91" i="5"/>
  <c r="AH90" i="5"/>
  <c r="AF90" i="5"/>
  <c r="AE90" i="5"/>
  <c r="AD90" i="5"/>
  <c r="AC90" i="5"/>
  <c r="AB90" i="5"/>
  <c r="AG90" i="5" s="1"/>
  <c r="AA90" i="5"/>
  <c r="Z90" i="5"/>
  <c r="AI90" i="5" s="1"/>
  <c r="Y90" i="5"/>
  <c r="X90" i="5"/>
  <c r="W90" i="5"/>
  <c r="V90" i="5"/>
  <c r="AH89" i="5"/>
  <c r="AF89" i="5"/>
  <c r="AE89" i="5"/>
  <c r="AD89" i="5"/>
  <c r="AC89" i="5"/>
  <c r="AB89" i="5"/>
  <c r="AG89" i="5" s="1"/>
  <c r="AA89" i="5"/>
  <c r="Z89" i="5"/>
  <c r="AI89" i="5" s="1"/>
  <c r="Y89" i="5"/>
  <c r="X89" i="5"/>
  <c r="W89" i="5"/>
  <c r="V89" i="5"/>
  <c r="AH88" i="5"/>
  <c r="AG88" i="5"/>
  <c r="AF88" i="5"/>
  <c r="AE88" i="5"/>
  <c r="AD88" i="5"/>
  <c r="AC88" i="5"/>
  <c r="AB88" i="5"/>
  <c r="AA88" i="5"/>
  <c r="Z88" i="5"/>
  <c r="AI88" i="5" s="1"/>
  <c r="Y88" i="5"/>
  <c r="X88" i="5"/>
  <c r="W88" i="5"/>
  <c r="V88" i="5"/>
  <c r="AI87" i="5"/>
  <c r="AH87" i="5"/>
  <c r="AF87" i="5"/>
  <c r="AE87" i="5"/>
  <c r="AD87" i="5"/>
  <c r="AC87" i="5"/>
  <c r="AB87" i="5"/>
  <c r="AG87" i="5" s="1"/>
  <c r="AA87" i="5"/>
  <c r="Z87" i="5"/>
  <c r="Y87" i="5"/>
  <c r="X87" i="5"/>
  <c r="W87" i="5"/>
  <c r="V87" i="5"/>
  <c r="AH86" i="5"/>
  <c r="AF86" i="5"/>
  <c r="AE86" i="5"/>
  <c r="AD86" i="5"/>
  <c r="AC86" i="5"/>
  <c r="AB86" i="5"/>
  <c r="AG86" i="5" s="1"/>
  <c r="AA86" i="5"/>
  <c r="Z86" i="5"/>
  <c r="AI86" i="5" s="1"/>
  <c r="Y86" i="5"/>
  <c r="X86" i="5"/>
  <c r="W86" i="5"/>
  <c r="V86" i="5"/>
  <c r="AH85" i="5"/>
  <c r="AF85" i="5"/>
  <c r="AE85" i="5"/>
  <c r="AD85" i="5"/>
  <c r="AC85" i="5"/>
  <c r="AB85" i="5"/>
  <c r="AG85" i="5" s="1"/>
  <c r="AA85" i="5"/>
  <c r="Z85" i="5"/>
  <c r="AI85" i="5" s="1"/>
  <c r="Y85" i="5"/>
  <c r="X85" i="5"/>
  <c r="W85" i="5"/>
  <c r="V85" i="5"/>
  <c r="AH84" i="5"/>
  <c r="AF84" i="5"/>
  <c r="AE84" i="5"/>
  <c r="AD84" i="5"/>
  <c r="AC84" i="5"/>
  <c r="AB84" i="5"/>
  <c r="AG84" i="5" s="1"/>
  <c r="AA84" i="5"/>
  <c r="Z84" i="5"/>
  <c r="AI84" i="5" s="1"/>
  <c r="Y84" i="5"/>
  <c r="X84" i="5"/>
  <c r="W84" i="5"/>
  <c r="V84" i="5"/>
  <c r="AH83" i="5"/>
  <c r="AF83" i="5"/>
  <c r="AE83" i="5"/>
  <c r="AD83" i="5"/>
  <c r="AC83" i="5"/>
  <c r="AB83" i="5"/>
  <c r="AG83" i="5" s="1"/>
  <c r="AA83" i="5"/>
  <c r="Z83" i="5"/>
  <c r="AI83" i="5" s="1"/>
  <c r="Y83" i="5"/>
  <c r="X83" i="5"/>
  <c r="W83" i="5"/>
  <c r="V83" i="5"/>
  <c r="AH82" i="5"/>
  <c r="AF82" i="5"/>
  <c r="AE82" i="5"/>
  <c r="AD82" i="5"/>
  <c r="AC82" i="5"/>
  <c r="AB82" i="5"/>
  <c r="AG82" i="5" s="1"/>
  <c r="AA82" i="5"/>
  <c r="Z82" i="5"/>
  <c r="AI82" i="5" s="1"/>
  <c r="Y82" i="5"/>
  <c r="X82" i="5"/>
  <c r="W82" i="5"/>
  <c r="V82" i="5"/>
  <c r="AH81" i="5"/>
  <c r="AF81" i="5"/>
  <c r="AE81" i="5"/>
  <c r="AD81" i="5"/>
  <c r="AC81" i="5"/>
  <c r="AB81" i="5"/>
  <c r="AG81" i="5" s="1"/>
  <c r="AA81" i="5"/>
  <c r="Z81" i="5"/>
  <c r="AI81" i="5" s="1"/>
  <c r="Y81" i="5"/>
  <c r="X81" i="5"/>
  <c r="W81" i="5"/>
  <c r="V81" i="5"/>
  <c r="AH80" i="5"/>
  <c r="AF80" i="5"/>
  <c r="AE80" i="5"/>
  <c r="AD80" i="5"/>
  <c r="AC80" i="5"/>
  <c r="AB80" i="5"/>
  <c r="AG80" i="5" s="1"/>
  <c r="AA80" i="5"/>
  <c r="Z80" i="5"/>
  <c r="AI80" i="5" s="1"/>
  <c r="Y80" i="5"/>
  <c r="X80" i="5"/>
  <c r="W80" i="5"/>
  <c r="V80" i="5"/>
  <c r="AH79" i="5"/>
  <c r="AG79" i="5"/>
  <c r="AF79" i="5"/>
  <c r="AE79" i="5"/>
  <c r="AD79" i="5"/>
  <c r="AC79" i="5"/>
  <c r="AB79" i="5"/>
  <c r="AA79" i="5"/>
  <c r="Z79" i="5"/>
  <c r="AI79" i="5" s="1"/>
  <c r="Y79" i="5"/>
  <c r="X79" i="5"/>
  <c r="W79" i="5"/>
  <c r="V79" i="5"/>
  <c r="AI78" i="5"/>
  <c r="AH78" i="5"/>
  <c r="AF78" i="5"/>
  <c r="AE78" i="5"/>
  <c r="AD78" i="5"/>
  <c r="AC78" i="5"/>
  <c r="AB78" i="5"/>
  <c r="AG78" i="5" s="1"/>
  <c r="AA78" i="5"/>
  <c r="Z78" i="5"/>
  <c r="Y78" i="5"/>
  <c r="X78" i="5"/>
  <c r="W78" i="5"/>
  <c r="V78" i="5"/>
  <c r="AH77" i="5"/>
  <c r="AF77" i="5"/>
  <c r="AE77" i="5"/>
  <c r="AD77" i="5"/>
  <c r="AC77" i="5"/>
  <c r="AB77" i="5"/>
  <c r="AG77" i="5" s="1"/>
  <c r="AA77" i="5"/>
  <c r="Z77" i="5"/>
  <c r="AI77" i="5" s="1"/>
  <c r="Y77" i="5"/>
  <c r="X77" i="5"/>
  <c r="W77" i="5"/>
  <c r="V77" i="5"/>
  <c r="AH76" i="5"/>
  <c r="AF76" i="5"/>
  <c r="AE76" i="5"/>
  <c r="AD76" i="5"/>
  <c r="AC76" i="5"/>
  <c r="AB76" i="5"/>
  <c r="AG76" i="5" s="1"/>
  <c r="AA76" i="5"/>
  <c r="Z76" i="5"/>
  <c r="AI76" i="5" s="1"/>
  <c r="Y76" i="5"/>
  <c r="X76" i="5"/>
  <c r="W76" i="5"/>
  <c r="V76" i="5"/>
  <c r="AH75" i="5"/>
  <c r="AF75" i="5"/>
  <c r="AE75" i="5"/>
  <c r="AD75" i="5"/>
  <c r="AC75" i="5"/>
  <c r="AB75" i="5"/>
  <c r="AG75" i="5" s="1"/>
  <c r="AA75" i="5"/>
  <c r="Z75" i="5"/>
  <c r="AI75" i="5" s="1"/>
  <c r="Y75" i="5"/>
  <c r="X75" i="5"/>
  <c r="W75" i="5"/>
  <c r="V75" i="5"/>
  <c r="AH74" i="5"/>
  <c r="AF74" i="5"/>
  <c r="AE74" i="5"/>
  <c r="AD74" i="5"/>
  <c r="AC74" i="5"/>
  <c r="AB74" i="5"/>
  <c r="AG74" i="5" s="1"/>
  <c r="AA74" i="5"/>
  <c r="Z74" i="5"/>
  <c r="AI74" i="5" s="1"/>
  <c r="Y74" i="5"/>
  <c r="X74" i="5"/>
  <c r="W74" i="5"/>
  <c r="V74" i="5"/>
  <c r="AH73" i="5"/>
  <c r="AF73" i="5"/>
  <c r="AE73" i="5"/>
  <c r="AD73" i="5"/>
  <c r="AC73" i="5"/>
  <c r="AB73" i="5"/>
  <c r="AG73" i="5" s="1"/>
  <c r="AA73" i="5"/>
  <c r="Z73" i="5"/>
  <c r="AI73" i="5" s="1"/>
  <c r="Y73" i="5"/>
  <c r="X73" i="5"/>
  <c r="W73" i="5"/>
  <c r="V73" i="5"/>
  <c r="AH72" i="5"/>
  <c r="AF72" i="5"/>
  <c r="AE72" i="5"/>
  <c r="AD72" i="5"/>
  <c r="AC72" i="5"/>
  <c r="AB72" i="5"/>
  <c r="AG72" i="5" s="1"/>
  <c r="AA72" i="5"/>
  <c r="Z72" i="5"/>
  <c r="AI72" i="5" s="1"/>
  <c r="Y72" i="5"/>
  <c r="X72" i="5"/>
  <c r="W72" i="5"/>
  <c r="V72" i="5"/>
  <c r="AH71" i="5"/>
  <c r="AG71" i="5"/>
  <c r="AF71" i="5"/>
  <c r="AE71" i="5"/>
  <c r="AD71" i="5"/>
  <c r="AC71" i="5"/>
  <c r="AB71" i="5"/>
  <c r="AA71" i="5"/>
  <c r="Z71" i="5"/>
  <c r="AI71" i="5" s="1"/>
  <c r="Y71" i="5"/>
  <c r="X71" i="5"/>
  <c r="W71" i="5"/>
  <c r="V71" i="5"/>
  <c r="AI70" i="5"/>
  <c r="AH70" i="5"/>
  <c r="AF70" i="5"/>
  <c r="AE70" i="5"/>
  <c r="AD70" i="5"/>
  <c r="AC70" i="5"/>
  <c r="AB70" i="5"/>
  <c r="AG70" i="5" s="1"/>
  <c r="AA70" i="5"/>
  <c r="Z70" i="5"/>
  <c r="Y70" i="5"/>
  <c r="X70" i="5"/>
  <c r="W70" i="5"/>
  <c r="V70" i="5"/>
  <c r="AH69" i="5"/>
  <c r="AF69" i="5"/>
  <c r="AE69" i="5"/>
  <c r="AD69" i="5"/>
  <c r="AC69" i="5"/>
  <c r="AB69" i="5"/>
  <c r="AG69" i="5" s="1"/>
  <c r="AA69" i="5"/>
  <c r="Z69" i="5"/>
  <c r="AI69" i="5" s="1"/>
  <c r="Y69" i="5"/>
  <c r="X69" i="5"/>
  <c r="W69" i="5"/>
  <c r="V69" i="5"/>
  <c r="AH68" i="5"/>
  <c r="AF68" i="5"/>
  <c r="AE68" i="5"/>
  <c r="AD68" i="5"/>
  <c r="AC68" i="5"/>
  <c r="AB68" i="5"/>
  <c r="AG68" i="5" s="1"/>
  <c r="AA68" i="5"/>
  <c r="Z68" i="5"/>
  <c r="AI68" i="5" s="1"/>
  <c r="Y68" i="5"/>
  <c r="X68" i="5"/>
  <c r="W68" i="5"/>
  <c r="V68" i="5"/>
  <c r="AH67" i="5"/>
  <c r="AF67" i="5"/>
  <c r="AE67" i="5"/>
  <c r="AD67" i="5"/>
  <c r="AC67" i="5"/>
  <c r="AB67" i="5"/>
  <c r="AG67" i="5" s="1"/>
  <c r="AA67" i="5"/>
  <c r="Z67" i="5"/>
  <c r="AI67" i="5" s="1"/>
  <c r="Y67" i="5"/>
  <c r="X67" i="5"/>
  <c r="W67" i="5"/>
  <c r="V67" i="5"/>
  <c r="AH66" i="5"/>
  <c r="AF66" i="5"/>
  <c r="AE66" i="5"/>
  <c r="AD66" i="5"/>
  <c r="AC66" i="5"/>
  <c r="AB66" i="5"/>
  <c r="AG66" i="5" s="1"/>
  <c r="AA66" i="5"/>
  <c r="Z66" i="5"/>
  <c r="AI66" i="5" s="1"/>
  <c r="Y66" i="5"/>
  <c r="X66" i="5"/>
  <c r="W66" i="5"/>
  <c r="V66" i="5"/>
  <c r="AH65" i="5"/>
  <c r="AG65" i="5"/>
  <c r="AF65" i="5"/>
  <c r="AE65" i="5"/>
  <c r="AD65" i="5"/>
  <c r="AC65" i="5"/>
  <c r="AB65" i="5"/>
  <c r="AA65" i="5"/>
  <c r="Z65" i="5"/>
  <c r="AI65" i="5" s="1"/>
  <c r="Y65" i="5"/>
  <c r="X65" i="5"/>
  <c r="W65" i="5"/>
  <c r="V65" i="5"/>
  <c r="AI64" i="5"/>
  <c r="AH64" i="5"/>
  <c r="AF64" i="5"/>
  <c r="AE64" i="5"/>
  <c r="AD64" i="5"/>
  <c r="AC64" i="5"/>
  <c r="AB64" i="5"/>
  <c r="AG64" i="5" s="1"/>
  <c r="AA64" i="5"/>
  <c r="Z64" i="5"/>
  <c r="Y64" i="5"/>
  <c r="X64" i="5"/>
  <c r="W64" i="5"/>
  <c r="V64" i="5"/>
  <c r="AH63" i="5"/>
  <c r="AF63" i="5"/>
  <c r="AE63" i="5"/>
  <c r="AD63" i="5"/>
  <c r="AC63" i="5"/>
  <c r="AB63" i="5"/>
  <c r="AG63" i="5" s="1"/>
  <c r="AA63" i="5"/>
  <c r="Z63" i="5"/>
  <c r="AI63" i="5" s="1"/>
  <c r="Y63" i="5"/>
  <c r="X63" i="5"/>
  <c r="W63" i="5"/>
  <c r="V63" i="5"/>
  <c r="AH62" i="5"/>
  <c r="AF62" i="5"/>
  <c r="AE62" i="5"/>
  <c r="AD62" i="5"/>
  <c r="AC62" i="5"/>
  <c r="AB62" i="5"/>
  <c r="AG62" i="5" s="1"/>
  <c r="AA62" i="5"/>
  <c r="Z62" i="5"/>
  <c r="AI62" i="5" s="1"/>
  <c r="Y62" i="5"/>
  <c r="X62" i="5"/>
  <c r="W62" i="5"/>
  <c r="V62" i="5"/>
  <c r="AH61" i="5"/>
  <c r="AF61" i="5"/>
  <c r="AE61" i="5"/>
  <c r="AD61" i="5"/>
  <c r="AC61" i="5"/>
  <c r="AB61" i="5"/>
  <c r="AG61" i="5" s="1"/>
  <c r="AA61" i="5"/>
  <c r="Z61" i="5"/>
  <c r="AI61" i="5" s="1"/>
  <c r="Y61" i="5"/>
  <c r="X61" i="5"/>
  <c r="W61" i="5"/>
  <c r="V61" i="5"/>
  <c r="AH60" i="5"/>
  <c r="AF60" i="5"/>
  <c r="AE60" i="5"/>
  <c r="AD60" i="5"/>
  <c r="AC60" i="5"/>
  <c r="AB60" i="5"/>
  <c r="AG60" i="5" s="1"/>
  <c r="AA60" i="5"/>
  <c r="Z60" i="5"/>
  <c r="AI60" i="5" s="1"/>
  <c r="Y60" i="5"/>
  <c r="X60" i="5"/>
  <c r="W60" i="5"/>
  <c r="V60" i="5"/>
  <c r="AH59" i="5"/>
  <c r="AG59" i="5"/>
  <c r="AF59" i="5"/>
  <c r="AE59" i="5"/>
  <c r="AD59" i="5"/>
  <c r="AC59" i="5"/>
  <c r="AB59" i="5"/>
  <c r="AA59" i="5"/>
  <c r="Z59" i="5"/>
  <c r="AI59" i="5" s="1"/>
  <c r="Y59" i="5"/>
  <c r="X59" i="5"/>
  <c r="W59" i="5"/>
  <c r="V59" i="5"/>
  <c r="AI58" i="5"/>
  <c r="AH58" i="5"/>
  <c r="AF58" i="5"/>
  <c r="AE58" i="5"/>
  <c r="AD58" i="5"/>
  <c r="AC58" i="5"/>
  <c r="AB58" i="5"/>
  <c r="AG58" i="5" s="1"/>
  <c r="AA58" i="5"/>
  <c r="Z58" i="5"/>
  <c r="Y58" i="5"/>
  <c r="X58" i="5"/>
  <c r="W58" i="5"/>
  <c r="V58" i="5"/>
  <c r="AH57" i="5"/>
  <c r="AF57" i="5"/>
  <c r="AE57" i="5"/>
  <c r="AD57" i="5"/>
  <c r="AC57" i="5"/>
  <c r="AB57" i="5"/>
  <c r="AG57" i="5" s="1"/>
  <c r="AA57" i="5"/>
  <c r="Z57" i="5"/>
  <c r="AI57" i="5" s="1"/>
  <c r="Y57" i="5"/>
  <c r="X57" i="5"/>
  <c r="W57" i="5"/>
  <c r="V57" i="5"/>
  <c r="AH56" i="5"/>
  <c r="AF56" i="5"/>
  <c r="AE56" i="5"/>
  <c r="AD56" i="5"/>
  <c r="AC56" i="5"/>
  <c r="AB56" i="5"/>
  <c r="AG56" i="5" s="1"/>
  <c r="AA56" i="5"/>
  <c r="Z56" i="5"/>
  <c r="AI56" i="5" s="1"/>
  <c r="Y56" i="5"/>
  <c r="X56" i="5"/>
  <c r="W56" i="5"/>
  <c r="V56" i="5"/>
  <c r="AH55" i="5"/>
  <c r="AF55" i="5"/>
  <c r="AE55" i="5"/>
  <c r="AD55" i="5"/>
  <c r="AC55" i="5"/>
  <c r="AB55" i="5"/>
  <c r="AG55" i="5" s="1"/>
  <c r="AA55" i="5"/>
  <c r="Z55" i="5"/>
  <c r="AI55" i="5" s="1"/>
  <c r="Y55" i="5"/>
  <c r="X55" i="5"/>
  <c r="W55" i="5"/>
  <c r="V55" i="5"/>
  <c r="AH54" i="5"/>
  <c r="AF54" i="5"/>
  <c r="AE54" i="5"/>
  <c r="AD54" i="5"/>
  <c r="AC54" i="5"/>
  <c r="AB54" i="5"/>
  <c r="AG54" i="5" s="1"/>
  <c r="AA54" i="5"/>
  <c r="Z54" i="5"/>
  <c r="AI54" i="5" s="1"/>
  <c r="Y54" i="5"/>
  <c r="X54" i="5"/>
  <c r="W54" i="5"/>
  <c r="V54" i="5"/>
  <c r="AH53" i="5"/>
  <c r="AG53" i="5"/>
  <c r="AF53" i="5"/>
  <c r="AE53" i="5"/>
  <c r="AD53" i="5"/>
  <c r="AC53" i="5"/>
  <c r="AB53" i="5"/>
  <c r="AA53" i="5"/>
  <c r="Z53" i="5"/>
  <c r="AI53" i="5" s="1"/>
  <c r="Y53" i="5"/>
  <c r="X53" i="5"/>
  <c r="W53" i="5"/>
  <c r="V53" i="5"/>
  <c r="AI52" i="5"/>
  <c r="AH52" i="5"/>
  <c r="AF52" i="5"/>
  <c r="AE52" i="5"/>
  <c r="AD52" i="5"/>
  <c r="AC52" i="5"/>
  <c r="AB52" i="5"/>
  <c r="AG52" i="5" s="1"/>
  <c r="AA52" i="5"/>
  <c r="Z52" i="5"/>
  <c r="Y52" i="5"/>
  <c r="X52" i="5"/>
  <c r="W52" i="5"/>
  <c r="V52" i="5"/>
  <c r="AH51" i="5"/>
  <c r="AF51" i="5"/>
  <c r="AE51" i="5"/>
  <c r="AD51" i="5"/>
  <c r="AC51" i="5"/>
  <c r="AB51" i="5"/>
  <c r="AG51" i="5" s="1"/>
  <c r="AA51" i="5"/>
  <c r="Z51" i="5"/>
  <c r="AI51" i="5" s="1"/>
  <c r="Y51" i="5"/>
  <c r="X51" i="5"/>
  <c r="W51" i="5"/>
  <c r="V51" i="5"/>
  <c r="AH50" i="5"/>
  <c r="AF50" i="5"/>
  <c r="AE50" i="5"/>
  <c r="AD50" i="5"/>
  <c r="AC50" i="5"/>
  <c r="AB50" i="5"/>
  <c r="AG50" i="5" s="1"/>
  <c r="AA50" i="5"/>
  <c r="Z50" i="5"/>
  <c r="AI50" i="5" s="1"/>
  <c r="Y50" i="5"/>
  <c r="X50" i="5"/>
  <c r="W50" i="5"/>
  <c r="V50" i="5"/>
  <c r="AH49" i="5"/>
  <c r="AF49" i="5"/>
  <c r="AE49" i="5"/>
  <c r="AD49" i="5"/>
  <c r="AC49" i="5"/>
  <c r="AB49" i="5"/>
  <c r="AG49" i="5" s="1"/>
  <c r="AA49" i="5"/>
  <c r="Z49" i="5"/>
  <c r="AI49" i="5" s="1"/>
  <c r="Y49" i="5"/>
  <c r="X49" i="5"/>
  <c r="W49" i="5"/>
  <c r="V49" i="5"/>
  <c r="AH48" i="5"/>
  <c r="AF48" i="5"/>
  <c r="AE48" i="5"/>
  <c r="AD48" i="5"/>
  <c r="AC48" i="5"/>
  <c r="AB48" i="5"/>
  <c r="AG48" i="5" s="1"/>
  <c r="AA48" i="5"/>
  <c r="Z48" i="5"/>
  <c r="AI48" i="5" s="1"/>
  <c r="Y48" i="5"/>
  <c r="X48" i="5"/>
  <c r="W48" i="5"/>
  <c r="V48" i="5"/>
  <c r="AH47" i="5"/>
  <c r="AG47" i="5"/>
  <c r="AF47" i="5"/>
  <c r="AE47" i="5"/>
  <c r="AD47" i="5"/>
  <c r="AC47" i="5"/>
  <c r="AB47" i="5"/>
  <c r="AA47" i="5"/>
  <c r="Z47" i="5"/>
  <c r="AI47" i="5" s="1"/>
  <c r="Y47" i="5"/>
  <c r="X47" i="5"/>
  <c r="W47" i="5"/>
  <c r="V47" i="5"/>
  <c r="AI46" i="5"/>
  <c r="AH46" i="5"/>
  <c r="AF46" i="5"/>
  <c r="AE46" i="5"/>
  <c r="AD46" i="5"/>
  <c r="AC46" i="5"/>
  <c r="AB46" i="5"/>
  <c r="AG46" i="5" s="1"/>
  <c r="AA46" i="5"/>
  <c r="Z46" i="5"/>
  <c r="Y46" i="5"/>
  <c r="X46" i="5"/>
  <c r="W46" i="5"/>
  <c r="V46" i="5"/>
  <c r="AH45" i="5"/>
  <c r="AF45" i="5"/>
  <c r="AE45" i="5"/>
  <c r="AD45" i="5"/>
  <c r="AC45" i="5"/>
  <c r="AB45" i="5"/>
  <c r="AG45" i="5" s="1"/>
  <c r="AA45" i="5"/>
  <c r="Z45" i="5"/>
  <c r="AI45" i="5" s="1"/>
  <c r="Y45" i="5"/>
  <c r="X45" i="5"/>
  <c r="W45" i="5"/>
  <c r="V45" i="5"/>
  <c r="AH44" i="5"/>
  <c r="AF44" i="5"/>
  <c r="AE44" i="5"/>
  <c r="AD44" i="5"/>
  <c r="AC44" i="5"/>
  <c r="AB44" i="5"/>
  <c r="AG44" i="5" s="1"/>
  <c r="AA44" i="5"/>
  <c r="Z44" i="5"/>
  <c r="AI44" i="5" s="1"/>
  <c r="Y44" i="5"/>
  <c r="X44" i="5"/>
  <c r="W44" i="5"/>
  <c r="V44" i="5"/>
  <c r="AH43" i="5"/>
  <c r="AF43" i="5"/>
  <c r="AE43" i="5"/>
  <c r="AD43" i="5"/>
  <c r="AC43" i="5"/>
  <c r="AB43" i="5"/>
  <c r="AG43" i="5" s="1"/>
  <c r="AA43" i="5"/>
  <c r="Z43" i="5"/>
  <c r="AI43" i="5" s="1"/>
  <c r="Y43" i="5"/>
  <c r="X43" i="5"/>
  <c r="W43" i="5"/>
  <c r="V43" i="5"/>
  <c r="AH42" i="5"/>
  <c r="AF42" i="5"/>
  <c r="AE42" i="5"/>
  <c r="AD42" i="5"/>
  <c r="AC42" i="5"/>
  <c r="AB42" i="5"/>
  <c r="AG42" i="5" s="1"/>
  <c r="AA42" i="5"/>
  <c r="Z42" i="5"/>
  <c r="AI42" i="5" s="1"/>
  <c r="Y42" i="5"/>
  <c r="X42" i="5"/>
  <c r="W42" i="5"/>
  <c r="V42" i="5"/>
  <c r="AH41" i="5"/>
  <c r="AG41" i="5"/>
  <c r="AF41" i="5"/>
  <c r="AE41" i="5"/>
  <c r="AD41" i="5"/>
  <c r="AC41" i="5"/>
  <c r="AB41" i="5"/>
  <c r="AA41" i="5"/>
  <c r="Z41" i="5"/>
  <c r="AI41" i="5" s="1"/>
  <c r="Y41" i="5"/>
  <c r="X41" i="5"/>
  <c r="W41" i="5"/>
  <c r="V41" i="5"/>
  <c r="AI40" i="5"/>
  <c r="AH40" i="5"/>
  <c r="AF40" i="5"/>
  <c r="AE40" i="5"/>
  <c r="AD40" i="5"/>
  <c r="AC40" i="5"/>
  <c r="AB40" i="5"/>
  <c r="AG40" i="5" s="1"/>
  <c r="AA40" i="5"/>
  <c r="Z40" i="5"/>
  <c r="Y40" i="5"/>
  <c r="X40" i="5"/>
  <c r="W40" i="5"/>
  <c r="V40" i="5"/>
  <c r="AH39" i="5"/>
  <c r="AF39" i="5"/>
  <c r="AE39" i="5"/>
  <c r="AD39" i="5"/>
  <c r="AC39" i="5"/>
  <c r="AB39" i="5"/>
  <c r="AG39" i="5" s="1"/>
  <c r="AA39" i="5"/>
  <c r="Z39" i="5"/>
  <c r="AI39" i="5" s="1"/>
  <c r="Y39" i="5"/>
  <c r="X39" i="5"/>
  <c r="W39" i="5"/>
  <c r="V39" i="5"/>
  <c r="AH38" i="5"/>
  <c r="AF38" i="5"/>
  <c r="AE38" i="5"/>
  <c r="AD38" i="5"/>
  <c r="AC38" i="5"/>
  <c r="AB38" i="5"/>
  <c r="AG38" i="5" s="1"/>
  <c r="AA38" i="5"/>
  <c r="Z38" i="5"/>
  <c r="AI38" i="5" s="1"/>
  <c r="Y38" i="5"/>
  <c r="X38" i="5"/>
  <c r="W38" i="5"/>
  <c r="V38" i="5"/>
  <c r="AH37" i="5"/>
  <c r="AF37" i="5"/>
  <c r="AE37" i="5"/>
  <c r="AD37" i="5"/>
  <c r="AC37" i="5"/>
  <c r="AB37" i="5"/>
  <c r="AG37" i="5" s="1"/>
  <c r="AA37" i="5"/>
  <c r="Z37" i="5"/>
  <c r="AI37" i="5" s="1"/>
  <c r="Y37" i="5"/>
  <c r="X37" i="5"/>
  <c r="W37" i="5"/>
  <c r="V37" i="5"/>
  <c r="AI36" i="5"/>
  <c r="AH36" i="5"/>
  <c r="AF36" i="5"/>
  <c r="AE36" i="5"/>
  <c r="AD36" i="5"/>
  <c r="AC36" i="5"/>
  <c r="AB36" i="5"/>
  <c r="AG36" i="5" s="1"/>
  <c r="AA36" i="5"/>
  <c r="Z36" i="5"/>
  <c r="Y36" i="5"/>
  <c r="X36" i="5"/>
  <c r="W36" i="5"/>
  <c r="V36" i="5"/>
  <c r="AH35" i="5"/>
  <c r="AG35" i="5"/>
  <c r="AF35" i="5"/>
  <c r="AE35" i="5"/>
  <c r="AD35" i="5"/>
  <c r="AC35" i="5"/>
  <c r="AB35" i="5"/>
  <c r="AA35" i="5"/>
  <c r="Z35" i="5"/>
  <c r="AI35" i="5" s="1"/>
  <c r="Y35" i="5"/>
  <c r="X35" i="5"/>
  <c r="W35" i="5"/>
  <c r="V35" i="5"/>
  <c r="AI34" i="5"/>
  <c r="AH34" i="5"/>
  <c r="AF34" i="5"/>
  <c r="AE34" i="5"/>
  <c r="AD34" i="5"/>
  <c r="AC34" i="5"/>
  <c r="AB34" i="5"/>
  <c r="AG34" i="5" s="1"/>
  <c r="AA34" i="5"/>
  <c r="Z34" i="5"/>
  <c r="Y34" i="5"/>
  <c r="X34" i="5"/>
  <c r="W34" i="5"/>
  <c r="V34" i="5"/>
  <c r="AH33" i="5"/>
  <c r="AF33" i="5"/>
  <c r="AE33" i="5"/>
  <c r="AD33" i="5"/>
  <c r="AC33" i="5"/>
  <c r="AB33" i="5"/>
  <c r="AG33" i="5" s="1"/>
  <c r="AA33" i="5"/>
  <c r="Z33" i="5"/>
  <c r="AI33" i="5" s="1"/>
  <c r="Y33" i="5"/>
  <c r="X33" i="5"/>
  <c r="W33" i="5"/>
  <c r="V33" i="5"/>
  <c r="AH32" i="5"/>
  <c r="AF32" i="5"/>
  <c r="AE32" i="5"/>
  <c r="AD32" i="5"/>
  <c r="AC32" i="5"/>
  <c r="AB32" i="5"/>
  <c r="AG32" i="5" s="1"/>
  <c r="AA32" i="5"/>
  <c r="Z32" i="5"/>
  <c r="AI32" i="5" s="1"/>
  <c r="Y32" i="5"/>
  <c r="X32" i="5"/>
  <c r="W32" i="5"/>
  <c r="V32" i="5"/>
  <c r="AH31" i="5"/>
  <c r="AF31" i="5"/>
  <c r="AE31" i="5"/>
  <c r="AD31" i="5"/>
  <c r="AC31" i="5"/>
  <c r="AB31" i="5"/>
  <c r="AG31" i="5" s="1"/>
  <c r="AA31" i="5"/>
  <c r="Z31" i="5"/>
  <c r="AI31" i="5" s="1"/>
  <c r="Y31" i="5"/>
  <c r="X31" i="5"/>
  <c r="W31" i="5"/>
  <c r="V31" i="5"/>
  <c r="AI30" i="5"/>
  <c r="AH30" i="5"/>
  <c r="AF30" i="5"/>
  <c r="AE30" i="5"/>
  <c r="AD30" i="5"/>
  <c r="AC30" i="5"/>
  <c r="AB30" i="5"/>
  <c r="AG30" i="5" s="1"/>
  <c r="AA30" i="5"/>
  <c r="Z30" i="5"/>
  <c r="Y30" i="5"/>
  <c r="X30" i="5"/>
  <c r="W30" i="5"/>
  <c r="V30" i="5"/>
  <c r="AH29" i="5"/>
  <c r="AG29" i="5"/>
  <c r="AF29" i="5"/>
  <c r="AE29" i="5"/>
  <c r="AD29" i="5"/>
  <c r="AC29" i="5"/>
  <c r="AB29" i="5"/>
  <c r="AA29" i="5"/>
  <c r="Z29" i="5"/>
  <c r="AI29" i="5" s="1"/>
  <c r="Y29" i="5"/>
  <c r="X29" i="5"/>
  <c r="W29" i="5"/>
  <c r="V29" i="5"/>
  <c r="AI28" i="5"/>
  <c r="AH28" i="5"/>
  <c r="AF28" i="5"/>
  <c r="AE28" i="5"/>
  <c r="AD28" i="5"/>
  <c r="AC28" i="5"/>
  <c r="AB28" i="5"/>
  <c r="AG28" i="5" s="1"/>
  <c r="AA28" i="5"/>
  <c r="Z28" i="5"/>
  <c r="Y28" i="5"/>
  <c r="X28" i="5"/>
  <c r="W28" i="5"/>
  <c r="V28" i="5"/>
  <c r="AH27" i="5"/>
  <c r="AF27" i="5"/>
  <c r="AE27" i="5"/>
  <c r="AD27" i="5"/>
  <c r="AC27" i="5"/>
  <c r="AB27" i="5"/>
  <c r="AG27" i="5" s="1"/>
  <c r="AA27" i="5"/>
  <c r="Z27" i="5"/>
  <c r="AI27" i="5" s="1"/>
  <c r="Y27" i="5"/>
  <c r="X27" i="5"/>
  <c r="W27" i="5"/>
  <c r="V27" i="5"/>
  <c r="AH26" i="5"/>
  <c r="AF26" i="5"/>
  <c r="AE26" i="5"/>
  <c r="AD26" i="5"/>
  <c r="AC26" i="5"/>
  <c r="AB26" i="5"/>
  <c r="AG26" i="5" s="1"/>
  <c r="AA26" i="5"/>
  <c r="Z26" i="5"/>
  <c r="AI26" i="5" s="1"/>
  <c r="Y26" i="5"/>
  <c r="X26" i="5"/>
  <c r="W26" i="5"/>
  <c r="V26" i="5"/>
  <c r="AH25" i="5"/>
  <c r="AF25" i="5"/>
  <c r="AE25" i="5"/>
  <c r="AD25" i="5"/>
  <c r="AC25" i="5"/>
  <c r="AB25" i="5"/>
  <c r="AG25" i="5" s="1"/>
  <c r="AA25" i="5"/>
  <c r="Z25" i="5"/>
  <c r="AI25" i="5" s="1"/>
  <c r="Y25" i="5"/>
  <c r="X25" i="5"/>
  <c r="W25" i="5"/>
  <c r="V25" i="5"/>
  <c r="AI24" i="5"/>
  <c r="AH24" i="5"/>
  <c r="AF24" i="5"/>
  <c r="AE24" i="5"/>
  <c r="AD24" i="5"/>
  <c r="AC24" i="5"/>
  <c r="AB24" i="5"/>
  <c r="AG24" i="5" s="1"/>
  <c r="AA24" i="5"/>
  <c r="Z24" i="5"/>
  <c r="Y24" i="5"/>
  <c r="X24" i="5"/>
  <c r="W24" i="5"/>
  <c r="V24" i="5"/>
  <c r="AH23" i="5"/>
  <c r="AG23" i="5"/>
  <c r="AF23" i="5"/>
  <c r="AE23" i="5"/>
  <c r="AD23" i="5"/>
  <c r="AC23" i="5"/>
  <c r="AB23" i="5"/>
  <c r="AA23" i="5"/>
  <c r="Z23" i="5"/>
  <c r="AI23" i="5" s="1"/>
  <c r="Y23" i="5"/>
  <c r="X23" i="5"/>
  <c r="W23" i="5"/>
  <c r="V23" i="5"/>
  <c r="AI22" i="5"/>
  <c r="AH22" i="5"/>
  <c r="AF22" i="5"/>
  <c r="AE22" i="5"/>
  <c r="AD22" i="5"/>
  <c r="AC22" i="5"/>
  <c r="AB22" i="5"/>
  <c r="AG22" i="5" s="1"/>
  <c r="AA22" i="5"/>
  <c r="Z22" i="5"/>
  <c r="Y22" i="5"/>
  <c r="X22" i="5"/>
  <c r="W22" i="5"/>
  <c r="V22" i="5"/>
  <c r="AH21" i="5"/>
  <c r="AF21" i="5"/>
  <c r="AE21" i="5"/>
  <c r="AD21" i="5"/>
  <c r="AC21" i="5"/>
  <c r="AB21" i="5"/>
  <c r="AG21" i="5" s="1"/>
  <c r="AA21" i="5"/>
  <c r="Z21" i="5"/>
  <c r="AI21" i="5" s="1"/>
  <c r="Y21" i="5"/>
  <c r="X21" i="5"/>
  <c r="W21" i="5"/>
  <c r="V21" i="5"/>
  <c r="AH20" i="5"/>
  <c r="AF20" i="5"/>
  <c r="AE20" i="5"/>
  <c r="AD20" i="5"/>
  <c r="AC20" i="5"/>
  <c r="AB20" i="5"/>
  <c r="AG20" i="5" s="1"/>
  <c r="AA20" i="5"/>
  <c r="Z20" i="5"/>
  <c r="AI20" i="5" s="1"/>
  <c r="Y20" i="5"/>
  <c r="X20" i="5"/>
  <c r="W20" i="5"/>
  <c r="V20" i="5"/>
  <c r="AH19" i="5"/>
  <c r="AF19" i="5"/>
  <c r="AE19" i="5"/>
  <c r="AD19" i="5"/>
  <c r="AC19" i="5"/>
  <c r="AB19" i="5"/>
  <c r="AG19" i="5" s="1"/>
  <c r="AA19" i="5"/>
  <c r="Z19" i="5"/>
  <c r="AI19" i="5" s="1"/>
  <c r="Y19" i="5"/>
  <c r="X19" i="5"/>
  <c r="W19" i="5"/>
  <c r="V19" i="5"/>
  <c r="AI18" i="5"/>
  <c r="AH18" i="5"/>
  <c r="AF18" i="5"/>
  <c r="AE18" i="5"/>
  <c r="AD18" i="5"/>
  <c r="AC18" i="5"/>
  <c r="AB18" i="5"/>
  <c r="AG18" i="5" s="1"/>
  <c r="AA18" i="5"/>
  <c r="Z18" i="5"/>
  <c r="Y18" i="5"/>
  <c r="X18" i="5"/>
  <c r="W18" i="5"/>
  <c r="V18" i="5"/>
  <c r="AH17" i="5"/>
  <c r="AG17" i="5"/>
  <c r="AF17" i="5"/>
  <c r="AE17" i="5"/>
  <c r="AD17" i="5"/>
  <c r="AC17" i="5"/>
  <c r="AB17" i="5"/>
  <c r="AA17" i="5"/>
  <c r="Z17" i="5"/>
  <c r="AI17" i="5" s="1"/>
  <c r="Y17" i="5"/>
  <c r="X17" i="5"/>
  <c r="W17" i="5"/>
  <c r="V17" i="5"/>
  <c r="AI16" i="5"/>
  <c r="AH16" i="5"/>
  <c r="AF16" i="5"/>
  <c r="AE16" i="5"/>
  <c r="AD16" i="5"/>
  <c r="AC16" i="5"/>
  <c r="AB16" i="5"/>
  <c r="AG16" i="5" s="1"/>
  <c r="AA16" i="5"/>
  <c r="Z16" i="5"/>
  <c r="Y16" i="5"/>
  <c r="X16" i="5"/>
  <c r="W16" i="5"/>
  <c r="V16" i="5"/>
  <c r="AH15" i="5"/>
  <c r="AF15" i="5"/>
  <c r="AE15" i="5"/>
  <c r="AD15" i="5"/>
  <c r="AC15" i="5"/>
  <c r="AB15" i="5"/>
  <c r="AG15" i="5" s="1"/>
  <c r="AA15" i="5"/>
  <c r="Z15" i="5"/>
  <c r="AI15" i="5" s="1"/>
  <c r="Y15" i="5"/>
  <c r="X15" i="5"/>
  <c r="W15" i="5"/>
  <c r="V15" i="5"/>
  <c r="AH14" i="5"/>
  <c r="AF14" i="5"/>
  <c r="AE14" i="5"/>
  <c r="AD14" i="5"/>
  <c r="AC14" i="5"/>
  <c r="AB14" i="5"/>
  <c r="AG14" i="5" s="1"/>
  <c r="AA14" i="5"/>
  <c r="Z14" i="5"/>
  <c r="AI14" i="5" s="1"/>
  <c r="Y14" i="5"/>
  <c r="X14" i="5"/>
  <c r="W14" i="5"/>
  <c r="V14" i="5"/>
  <c r="AH13" i="5"/>
  <c r="AF13" i="5"/>
  <c r="AE13" i="5"/>
  <c r="AD13" i="5"/>
  <c r="AC13" i="5"/>
  <c r="AB13" i="5"/>
  <c r="AG13" i="5" s="1"/>
  <c r="AA13" i="5"/>
  <c r="Z13" i="5"/>
  <c r="AI13" i="5" s="1"/>
  <c r="Y13" i="5"/>
  <c r="X13" i="5"/>
  <c r="W13" i="5"/>
  <c r="V13" i="5"/>
  <c r="AI12" i="5"/>
  <c r="AH12" i="5"/>
  <c r="AF12" i="5"/>
  <c r="AE12" i="5"/>
  <c r="AD12" i="5"/>
  <c r="AC12" i="5"/>
  <c r="AB12" i="5"/>
  <c r="AG12" i="5" s="1"/>
  <c r="AA12" i="5"/>
  <c r="Z12" i="5"/>
  <c r="Y12" i="5"/>
  <c r="X12" i="5"/>
  <c r="W12" i="5"/>
  <c r="V12" i="5"/>
  <c r="AH11" i="5"/>
  <c r="AG11" i="5"/>
  <c r="AF11" i="5"/>
  <c r="AE11" i="5"/>
  <c r="AD11" i="5"/>
  <c r="AC11" i="5"/>
  <c r="AB11" i="5"/>
  <c r="AA11" i="5"/>
  <c r="Z11" i="5"/>
  <c r="AI11" i="5" s="1"/>
  <c r="Y11" i="5"/>
  <c r="X11" i="5"/>
  <c r="W11" i="5"/>
  <c r="V11" i="5"/>
  <c r="AI10" i="5"/>
  <c r="AH10" i="5"/>
  <c r="AF10" i="5"/>
  <c r="AE10" i="5"/>
  <c r="AD10" i="5"/>
  <c r="AC10" i="5"/>
  <c r="AB10" i="5"/>
  <c r="AG10" i="5" s="1"/>
  <c r="AA10" i="5"/>
  <c r="Z10" i="5"/>
  <c r="Y10" i="5"/>
  <c r="X10" i="5"/>
  <c r="W10" i="5"/>
  <c r="V10" i="5"/>
  <c r="AH9" i="5"/>
  <c r="AF9" i="5"/>
  <c r="AE9" i="5"/>
  <c r="AD9" i="5"/>
  <c r="AC9" i="5"/>
  <c r="AB9" i="5"/>
  <c r="AG9" i="5" s="1"/>
  <c r="AA9" i="5"/>
  <c r="Z9" i="5"/>
  <c r="AI9" i="5" s="1"/>
  <c r="Y9" i="5"/>
  <c r="X9" i="5"/>
  <c r="W9" i="5"/>
  <c r="V9" i="5"/>
  <c r="AH8" i="5"/>
  <c r="AF8" i="5"/>
  <c r="AE8" i="5"/>
  <c r="AD8" i="5"/>
  <c r="AC8" i="5"/>
  <c r="AB8" i="5"/>
  <c r="AG8" i="5" s="1"/>
  <c r="AA8" i="5"/>
  <c r="Z8" i="5"/>
  <c r="AI8" i="5" s="1"/>
  <c r="Y8" i="5"/>
  <c r="X8" i="5"/>
  <c r="W8" i="5"/>
  <c r="V8" i="5"/>
  <c r="AH7" i="5"/>
  <c r="AF7" i="5"/>
  <c r="AE7" i="5"/>
  <c r="AD7" i="5"/>
  <c r="AC7" i="5"/>
  <c r="AB7" i="5"/>
  <c r="AG7" i="5" s="1"/>
  <c r="AA7" i="5"/>
  <c r="Z7" i="5"/>
  <c r="AI7" i="5" s="1"/>
  <c r="Y7" i="5"/>
  <c r="X7" i="5"/>
  <c r="W7" i="5"/>
  <c r="V7" i="5"/>
  <c r="AI6" i="5"/>
  <c r="AH6" i="5"/>
  <c r="AF6" i="5"/>
  <c r="AE6" i="5"/>
  <c r="AD6" i="5"/>
  <c r="AC6" i="5"/>
  <c r="AB6" i="5"/>
  <c r="AG6" i="5" s="1"/>
  <c r="AA6" i="5"/>
  <c r="Z6" i="5"/>
  <c r="Y6" i="5"/>
  <c r="X6" i="5"/>
  <c r="W6" i="5"/>
  <c r="V6" i="5"/>
  <c r="AH5" i="5"/>
  <c r="AG5" i="5"/>
  <c r="AF5" i="5"/>
  <c r="AE5" i="5"/>
  <c r="AD5" i="5"/>
  <c r="AC5" i="5"/>
  <c r="AB5" i="5"/>
  <c r="AA5" i="5"/>
  <c r="Z5" i="5"/>
  <c r="AI5" i="5" s="1"/>
  <c r="Y5" i="5"/>
  <c r="X5" i="5"/>
  <c r="W5" i="5"/>
  <c r="V5" i="5"/>
  <c r="AI4" i="5"/>
  <c r="AH4" i="5"/>
  <c r="AF4" i="5"/>
  <c r="AE4" i="5"/>
  <c r="AD4" i="5"/>
  <c r="AC4" i="5"/>
  <c r="AB4" i="5"/>
  <c r="AG4" i="5" s="1"/>
  <c r="AA4" i="5"/>
  <c r="Z4" i="5"/>
  <c r="Y4" i="5"/>
  <c r="X4" i="5"/>
  <c r="W4" i="5"/>
  <c r="V4" i="5"/>
  <c r="AH3" i="5"/>
  <c r="AF3" i="5"/>
  <c r="AE3" i="5"/>
  <c r="AD3" i="5"/>
  <c r="AC3" i="5"/>
  <c r="AB3" i="5"/>
  <c r="AG3" i="5" s="1"/>
  <c r="AA3" i="5"/>
  <c r="Z3" i="5"/>
  <c r="AI3" i="5" s="1"/>
  <c r="Y3" i="5"/>
  <c r="X3" i="5"/>
  <c r="W3" i="5"/>
  <c r="V3" i="5"/>
  <c r="AH2" i="5"/>
  <c r="AF2" i="5"/>
  <c r="AE2" i="5"/>
  <c r="AD2" i="5"/>
  <c r="AC2" i="5"/>
  <c r="AB2" i="5"/>
  <c r="AG2" i="5" s="1"/>
  <c r="AA2" i="5"/>
  <c r="Z2" i="5"/>
  <c r="AI2" i="5" s="1"/>
  <c r="Y2" i="5"/>
  <c r="X2" i="5"/>
  <c r="W2" i="5"/>
  <c r="V2" i="5"/>
  <c r="N8" i="7" l="1"/>
  <c r="C53" i="6"/>
  <c r="B55" i="6"/>
  <c r="E55" i="6" s="1"/>
  <c r="B52" i="6"/>
  <c r="C54" i="6"/>
  <c r="D54" i="6" s="1"/>
  <c r="B54" i="6"/>
  <c r="C52" i="6"/>
  <c r="C55" i="6"/>
  <c r="B53" i="6"/>
  <c r="C74" i="6"/>
  <c r="D73" i="6"/>
  <c r="C73" i="6"/>
  <c r="D72" i="6"/>
  <c r="C72" i="6"/>
  <c r="B72" i="6"/>
  <c r="D75" i="6"/>
  <c r="C75" i="6"/>
  <c r="B75" i="6"/>
  <c r="D74" i="6"/>
  <c r="B74" i="6"/>
  <c r="B73" i="6"/>
  <c r="D62" i="6"/>
  <c r="D66" i="6"/>
  <c r="E53" i="6" l="1"/>
  <c r="D55" i="6"/>
  <c r="D52" i="6"/>
  <c r="E54" i="6"/>
  <c r="D53" i="6"/>
</calcChain>
</file>

<file path=xl/sharedStrings.xml><?xml version="1.0" encoding="utf-8"?>
<sst xmlns="http://schemas.openxmlformats.org/spreadsheetml/2006/main" count="26639" uniqueCount="3407">
  <si>
    <t>RETAIL SALES PERFORMANCE ANALYSIS</t>
  </si>
  <si>
    <t>End-to-End Excel Analytics Project | US Superstore Retail Dataset (2014-2017)</t>
  </si>
  <si>
    <t>PROJECT OVERVIEW</t>
  </si>
  <si>
    <t>This workbook is a complete, production-style analytics deliverable built on a US retail</t>
  </si>
  <si>
    <t>(Superstore-style) transactional dataset of 1,000 order line items spanning 2014-2017.</t>
  </si>
  <si>
    <t>It covers data cleaning, feature engineering, KPI calculation, pivot-style analysis,</t>
  </si>
  <si>
    <t>a KPI dashboard, 40 answered business questions, and strategic recommendations.</t>
  </si>
  <si>
    <t>HOW TO NAVIGATE THIS WORKBOOK</t>
  </si>
  <si>
    <t>Sheet</t>
  </si>
  <si>
    <t>Contents</t>
  </si>
  <si>
    <t>Read Me</t>
  </si>
  <si>
    <t>This page - project navigation and summary.</t>
  </si>
  <si>
    <t>Data Dictionary</t>
  </si>
  <si>
    <t>Column-by-column definitions, data types, and business meaning.</t>
  </si>
  <si>
    <t>Cleaning Log</t>
  </si>
  <si>
    <t>Data quality checklist, checks performed, and results.</t>
  </si>
  <si>
    <t>Raw Data</t>
  </si>
  <si>
    <t>Original, unmodified source data (reference / audit trail).</t>
  </si>
  <si>
    <t>Enriched Data</t>
  </si>
  <si>
    <t>Cleaned data + 14 engineered features, live Excel formulas, structured as a Table.</t>
  </si>
  <si>
    <t>Summary Tables</t>
  </si>
  <si>
    <t>Pivot-style SUMIFS/COUNTIFS/AVERAGEIFS breakdowns by every key dimension.</t>
  </si>
  <si>
    <t>KPI Dashboard</t>
  </si>
  <si>
    <t>Executive KPI scorecard with charts, built entirely from formulas.</t>
  </si>
  <si>
    <t>Business Questions</t>
  </si>
  <si>
    <t>40 business questions answered with figures, method, and interpretation.</t>
  </si>
  <si>
    <t>Insights &amp; Recommendations</t>
  </si>
  <si>
    <t>25+ data-driven insights and consulting-style strategic recommendations.</t>
  </si>
  <si>
    <t>AUTHOR / TOOLING</t>
  </si>
  <si>
    <t>Built with Microsoft Excel formulas (SUMIFS, COUNTIFS, AVERAGEIFS, nested IF,</t>
  </si>
  <si>
    <t>INDEX/MATCH). No macros. No external data connections. Fully self-contained.</t>
  </si>
  <si>
    <t>DATA DICTIONARY</t>
  </si>
  <si>
    <t>Column-level definitions for the source dataset (as delivered, before feature engineering)</t>
  </si>
  <si>
    <t>Column</t>
  </si>
  <si>
    <t>Data Type</t>
  </si>
  <si>
    <t>Business Meaning</t>
  </si>
  <si>
    <t>Data Quality Notes</t>
  </si>
  <si>
    <t>Analytical Importance</t>
  </si>
  <si>
    <t>Row ID</t>
  </si>
  <si>
    <t>Integer (Key)</t>
  </si>
  <si>
    <t>Sequential line-item identifier for the extract.</t>
  </si>
  <si>
    <t>Unique, no duplicates, no nulls.</t>
  </si>
  <si>
    <t>Technical key only; not used in analysis.</t>
  </si>
  <si>
    <t>Order ID</t>
  </si>
  <si>
    <t>Text (Composite Key)</t>
  </si>
  <si>
    <t>Groups line items into a single customer order (format: REGION-YEAR-#####).</t>
  </si>
  <si>
    <t>1,000 rows roll up to 479 distinct orders (avg 2.1 items/order).</t>
  </si>
  <si>
    <t>Basis for Average Order Value and basket-size analysis.</t>
  </si>
  <si>
    <t>Order Date</t>
  </si>
  <si>
    <t>Date</t>
  </si>
  <si>
    <t>Date the customer placed the order.</t>
  </si>
  <si>
    <t>Range 2014-01-04 to 2017-12-30. No future/invalid dates.</t>
  </si>
  <si>
    <t>Drives all time-series, seasonality and YoY analysis.</t>
  </si>
  <si>
    <t>Ship Date</t>
  </si>
  <si>
    <t>Date the order was shipped/fulfilled.</t>
  </si>
  <si>
    <t>Always on/after Order Date (0 violations found).</t>
  </si>
  <si>
    <t>Basis for Shipping Delay / fulfilment KPI.</t>
  </si>
  <si>
    <t>Ship Mode</t>
  </si>
  <si>
    <t>Categorical</t>
  </si>
  <si>
    <t>Delivery service level chosen (Standard/Second/First Class, Same Day).</t>
  </si>
  <si>
    <t>4 clean categories, no blanks.</t>
  </si>
  <si>
    <t>Links delivery cost/speed to profitability.</t>
  </si>
  <si>
    <t>Customer ID</t>
  </si>
  <si>
    <t>Text (Key)</t>
  </si>
  <si>
    <t>Unique identifier per customer.</t>
  </si>
  <si>
    <t>362 unique customers across 1,000 line items.</t>
  </si>
  <si>
    <t>Basis for customer segmentation, repeat-purchase analysis.</t>
  </si>
  <si>
    <t>Customer Name</t>
  </si>
  <si>
    <t>Text</t>
  </si>
  <si>
    <t>Customer's display name.</t>
  </si>
  <si>
    <t>Free text; consistent casing.</t>
  </si>
  <si>
    <t>Used for top-customer ranking; not a join key (use Customer ID).</t>
  </si>
  <si>
    <t>Segment</t>
  </si>
  <si>
    <t>Customer type: Consumer, Corporate, Home Office.</t>
  </si>
  <si>
    <t>3 clean categories.</t>
  </si>
  <si>
    <t>Core segmentation dimension for revenue &amp; margin.</t>
  </si>
  <si>
    <t>Country</t>
  </si>
  <si>
    <t>Country of the shipping address.</t>
  </si>
  <si>
    <t>Single value: United States. Low analytical value, kept for completeness.</t>
  </si>
  <si>
    <t>Confirms single-market dataset.</t>
  </si>
  <si>
    <t>City</t>
  </si>
  <si>
    <t>City of the shipping address.</t>
  </si>
  <si>
    <t>174 distinct cities; free text, consistent casing.</t>
  </si>
  <si>
    <t>Granular geo drill-down.</t>
  </si>
  <si>
    <t>State</t>
  </si>
  <si>
    <t>US state of the shipping address.</t>
  </si>
  <si>
    <t>40 of 50 states represented.</t>
  </si>
  <si>
    <t>Primary geographic reporting dimension.</t>
  </si>
  <si>
    <t>Postal Code</t>
  </si>
  <si>
    <t>Integer</t>
  </si>
  <si>
    <t>US ZIP code of the shipping address.</t>
  </si>
  <si>
    <t>Numeric; treat as text/label, not a quantity.</t>
  </si>
  <si>
    <t>Supports mapping/geo visuals if extended.</t>
  </si>
  <si>
    <t>Region</t>
  </si>
  <si>
    <t>Sales region: South, West, Central, East.</t>
  </si>
  <si>
    <t>4 clean categories, evenly populated.</t>
  </si>
  <si>
    <t>Primary regional performance dimension.</t>
  </si>
  <si>
    <t>Product ID</t>
  </si>
  <si>
    <t>Unique SKU identifier.</t>
  </si>
  <si>
    <t>764 distinct products.</t>
  </si>
  <si>
    <t>Joins to product-level catalog if extended.</t>
  </si>
  <si>
    <t>Category</t>
  </si>
  <si>
    <t>Top-level product grouping: Furniture, Office Supplies, Technology.</t>
  </si>
  <si>
    <t>Primary product-performance dimension.</t>
  </si>
  <si>
    <t>Sub-Category</t>
  </si>
  <si>
    <t>Detailed product grouping (17 values, e.g. Chairs, Binders, Phones).</t>
  </si>
  <si>
    <t>Clean, consistent labels.</t>
  </si>
  <si>
    <t>Identifies specific profit leaders/laggards.</t>
  </si>
  <si>
    <t>Product Name</t>
  </si>
  <si>
    <t>Full descriptive product name.</t>
  </si>
  <si>
    <t>Free text, some long/verbose names.</t>
  </si>
  <si>
    <t>Supports SKU-level insight, not used for aggregation.</t>
  </si>
  <si>
    <t>Sales</t>
  </si>
  <si>
    <t>Currency (float)</t>
  </si>
  <si>
    <t>Net revenue for the line item, after discount, in USD.</t>
  </si>
  <si>
    <t>Range $1.08-$8,159.95; right-skewed (few large orders).</t>
  </si>
  <si>
    <t>Primary revenue KPI input.</t>
  </si>
  <si>
    <t>Quantity</t>
  </si>
  <si>
    <t>Units sold in the line item.</t>
  </si>
  <si>
    <t>Range 1-14; no zero/negative values.</t>
  </si>
  <si>
    <t>Basis for Unit Price and basket-size metrics.</t>
  </si>
  <si>
    <t>Discount</t>
  </si>
  <si>
    <t>Percent (float, 0-1)</t>
  </si>
  <si>
    <t>Discount rate applied to the line item.</t>
  </si>
  <si>
    <t>Range 0%-80%; stored as decimal fraction.</t>
  </si>
  <si>
    <t>Key driver of margin erosion - tested against profit.</t>
  </si>
  <si>
    <t>Profit</t>
  </si>
  <si>
    <t>Net profit for the line item, after cost and discount, in USD.</t>
  </si>
  <si>
    <t>Range includes negatives (186 loss-making lines = 18.6% of rows).</t>
  </si>
  <si>
    <t>Primary profitability KPI input; negatives are genuine business signal, not errors.</t>
  </si>
  <si>
    <t>DATA CLEANING &amp; QUALITY ASSURANCE LOG</t>
  </si>
  <si>
    <t>Every check below was run programmatically against the full 1,000-row source extract.</t>
  </si>
  <si>
    <t>#</t>
  </si>
  <si>
    <t>Check Performed</t>
  </si>
  <si>
    <t>Method</t>
  </si>
  <si>
    <t>Result</t>
  </si>
  <si>
    <t>Action Taken / Status</t>
  </si>
  <si>
    <t>1</t>
  </si>
  <si>
    <t>Missing / blank values</t>
  </si>
  <si>
    <t>ISBLANK / COUNTBLANK across all 21 columns</t>
  </si>
  <si>
    <t>0 missing values found in any column</t>
  </si>
  <si>
    <t>No action needed - dataset is complete</t>
  </si>
  <si>
    <t>2</t>
  </si>
  <si>
    <t>Full-row duplicates</t>
  </si>
  <si>
    <t>Row-level duplicate comparison across all columns</t>
  </si>
  <si>
    <t>0 duplicate rows found</t>
  </si>
  <si>
    <t>No action needed</t>
  </si>
  <si>
    <t>3</t>
  </si>
  <si>
    <t>Duplicate technical key (Row ID)</t>
  </si>
  <si>
    <t>Uniqueness check on Row ID</t>
  </si>
  <si>
    <t>0 duplicates - all 1,000 IDs unique</t>
  </si>
  <si>
    <t>4</t>
  </si>
  <si>
    <t>Date validity (Order Date, Ship Date)</t>
  </si>
  <si>
    <t>Range check: valid calendar dates, not in the future</t>
  </si>
  <si>
    <t>All dates valid; range 2014-01-04 to 2018-01-05</t>
  </si>
  <si>
    <t>5</t>
  </si>
  <si>
    <t>Logical date sequence</t>
  </si>
  <si>
    <t>Ship Date &gt;= Order Date for every row</t>
  </si>
  <si>
    <t>0 violations - shipping never precedes ordering</t>
  </si>
  <si>
    <t>6</t>
  </si>
  <si>
    <t>Text formatting - extra spaces</t>
  </si>
  <si>
    <t>TRIM() comparison on all text columns</t>
  </si>
  <si>
    <t>No leading/trailing space issues detected</t>
  </si>
  <si>
    <t>TRIM() applied defensively in Enriched Data as best practice</t>
  </si>
  <si>
    <t>7</t>
  </si>
  <si>
    <t>Case consistency</t>
  </si>
  <si>
    <t>Spot-check of categorical fields (Category, Region, Segment, etc.)</t>
  </si>
  <si>
    <t>Consistent title-case across all categorical fields</t>
  </si>
  <si>
    <t>8</t>
  </si>
  <si>
    <t>Categorical domain check</t>
  </si>
  <si>
    <t>Distinct-value count per categorical column</t>
  </si>
  <si>
    <t>Category (3), Sub-Category (17), Region (4), Segment (3), Ship Mode (4) - all clean, expected values</t>
  </si>
  <si>
    <t>9</t>
  </si>
  <si>
    <t>Numeric range - Sales</t>
  </si>
  <si>
    <t>MIN/MAX bounds check</t>
  </si>
  <si>
    <t>Range $1.08 - $8,159.95; no zero or negative sales</t>
  </si>
  <si>
    <t>10</t>
  </si>
  <si>
    <t>Numeric range - Quantity</t>
  </si>
  <si>
    <t>Range 1-14 units; no zero/negative quantities</t>
  </si>
  <si>
    <t>11</t>
  </si>
  <si>
    <t>Numeric range - Discount</t>
  </si>
  <si>
    <t>MIN/MAX bounds check (expected 0-1 as decimal fraction)</t>
  </si>
  <si>
    <t>Range 0%-80%; correctly stored as decimal</t>
  </si>
  <si>
    <t>No action needed - confirmed NOT to reformat as whole numbers</t>
  </si>
  <si>
    <t>12</t>
  </si>
  <si>
    <t>Negative Profit values</t>
  </si>
  <si>
    <t>Business-rule review (186 of 1,000 rows, 18.6%)</t>
  </si>
  <si>
    <t>Negative profit is a genuine result of high discounting / freight cost, not a data error</t>
  </si>
  <si>
    <t>Flagged and tagged via Profitability Status column, not deleted</t>
  </si>
  <si>
    <t>13</t>
  </si>
  <si>
    <t>Outlier scan - Sales &amp; Profit</t>
  </si>
  <si>
    <t>IQR / 3-sigma scan on numeric fields</t>
  </si>
  <si>
    <t>A small number of high-value enterprise orders (&gt;$5,000); consistent with legitimate bulk/B2B orders</t>
  </si>
  <si>
    <t>Retained - true business variation, not data-entry error</t>
  </si>
  <si>
    <t>14</t>
  </si>
  <si>
    <t>Single-country / geography check</t>
  </si>
  <si>
    <t>Distinct Country + State + Postal Code validation</t>
  </si>
  <si>
    <t>Single-market dataset (United States, 40 states); Postal Code correctly typed as label, not measure</t>
  </si>
  <si>
    <t>Documented in Data Dictionary</t>
  </si>
  <si>
    <t>15</t>
  </si>
  <si>
    <t>Referential consistency</t>
  </si>
  <si>
    <t>Customer ID &lt;-&gt; Customer Name and Product ID &lt;-&gt; Product Name checked 1:1</t>
  </si>
  <si>
    <t>No conflicting name-to-ID mappings found</t>
  </si>
  <si>
    <t>CONCLUSION</t>
  </si>
  <si>
    <t>The source extract is already of high analytical quality (0 nulls, 0 duplicates, valid date logic). This is common for curated portfolio/training datasets. Cleaning effort therefore focused on validation, documentation, and defensive formatting (TRIM/PROPER safeguards) rather than remediation - exactly the audit trail a stakeholder or hiring manager expects to see before trusting downstream KPIs.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</si>
  <si>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</si>
  <si>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</si>
  <si>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</si>
  <si>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</si>
  <si>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</si>
  <si>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</si>
  <si>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</si>
  <si>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</si>
  <si>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</si>
  <si>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</si>
  <si>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</si>
  <si>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</si>
  <si>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</si>
  <si>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</si>
  <si>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</si>
  <si>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</si>
  <si>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</si>
  <si>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</si>
  <si>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</si>
  <si>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</si>
  <si>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</si>
  <si>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</si>
  <si>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</si>
  <si>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</si>
  <si>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</si>
  <si>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</si>
  <si>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</si>
  <si>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</si>
  <si>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</si>
  <si>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</si>
  <si>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</si>
  <si>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</si>
  <si>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</si>
  <si>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</si>
  <si>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</si>
  <si>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</si>
  <si>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</si>
  <si>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</si>
  <si>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</si>
  <si>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</si>
  <si>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</si>
  <si>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</si>
  <si>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</si>
  <si>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</si>
  <si>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</si>
  <si>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</si>
  <si>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</si>
  <si>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</si>
  <si>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</si>
  <si>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</si>
  <si>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</si>
  <si>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</si>
  <si>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</si>
  <si>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</si>
  <si>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</si>
  <si>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</si>
  <si>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</si>
  <si>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</si>
  <si>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</si>
  <si>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</si>
  <si>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</si>
  <si>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</si>
  <si>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</si>
  <si>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</si>
  <si>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</si>
  <si>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</si>
  <si>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</si>
  <si>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</si>
  <si>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</si>
  <si>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</si>
  <si>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</si>
  <si>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</si>
  <si>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</si>
  <si>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</si>
  <si>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</si>
  <si>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</si>
  <si>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</si>
  <si>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</si>
  <si>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</si>
  <si>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</si>
  <si>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</si>
  <si>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</si>
  <si>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</si>
  <si>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</si>
  <si>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</si>
  <si>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</si>
  <si>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</si>
  <si>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</si>
  <si>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</si>
  <si>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</si>
  <si>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</si>
  <si>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</si>
  <si>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</si>
  <si>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</si>
  <si>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</si>
  <si>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</si>
  <si>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</si>
  <si>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</si>
  <si>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</si>
  <si>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</si>
  <si>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</si>
  <si>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</si>
  <si>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</si>
  <si>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</si>
  <si>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</si>
  <si>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</si>
  <si>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</si>
  <si>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</si>
  <si>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</si>
  <si>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</si>
  <si>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</si>
  <si>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</si>
  <si>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</si>
  <si>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</si>
  <si>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</si>
  <si>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</si>
  <si>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</si>
  <si>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</si>
  <si>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</si>
  <si>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</si>
  <si>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</si>
  <si>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</si>
  <si>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</si>
  <si>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</si>
  <si>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</si>
  <si>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</si>
  <si>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</si>
  <si>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</si>
  <si>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</si>
  <si>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</si>
  <si>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</si>
  <si>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</si>
  <si>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</si>
  <si>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</si>
  <si>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</si>
  <si>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</si>
  <si>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</si>
  <si>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</si>
  <si>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</si>
  <si>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</si>
  <si>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</si>
  <si>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</si>
  <si>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</si>
  <si>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</si>
  <si>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</si>
  <si>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</si>
  <si>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</si>
  <si>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</si>
  <si>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</si>
  <si>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</si>
  <si>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</si>
  <si>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</si>
  <si>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</si>
  <si>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</si>
  <si>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</si>
  <si>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</si>
  <si>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</si>
  <si>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</si>
  <si>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</si>
  <si>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</si>
  <si>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</si>
  <si>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</si>
  <si>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</si>
  <si>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</si>
  <si>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</si>
  <si>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</si>
  <si>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</si>
  <si>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</si>
  <si>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</si>
  <si>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</si>
  <si>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</si>
  <si>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</si>
  <si>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</si>
  <si>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</si>
  <si>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</si>
  <si>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</si>
  <si>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</si>
  <si>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</si>
  <si>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</si>
  <si>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</si>
  <si>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</si>
  <si>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</si>
  <si>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</si>
  <si>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</si>
  <si>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</si>
  <si>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</si>
  <si>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</si>
  <si>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</si>
  <si>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</si>
  <si>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</si>
  <si>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</si>
  <si>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</si>
  <si>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</si>
  <si>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</si>
  <si>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</si>
  <si>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</si>
  <si>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</si>
  <si>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</si>
  <si>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</si>
  <si>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</si>
  <si>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</si>
  <si>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</si>
  <si>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</si>
  <si>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</si>
  <si>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</si>
  <si>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</si>
  <si>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</si>
  <si>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</si>
  <si>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</si>
  <si>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</si>
  <si>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</si>
  <si>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</si>
  <si>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</si>
  <si>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</si>
  <si>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</si>
  <si>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</si>
  <si>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</si>
  <si>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</si>
  <si>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</si>
  <si>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</si>
  <si>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</si>
  <si>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</si>
  <si>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</si>
  <si>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</si>
  <si>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</si>
  <si>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</si>
  <si>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</si>
  <si>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</si>
  <si>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</si>
  <si>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</si>
  <si>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</si>
  <si>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</si>
  <si>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</si>
  <si>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</si>
  <si>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</si>
  <si>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</si>
  <si>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</si>
  <si>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</si>
  <si>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</si>
  <si>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</si>
  <si>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</si>
  <si>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</si>
  <si>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</si>
  <si>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</si>
  <si>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</si>
  <si>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</si>
  <si>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</si>
  <si>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</si>
  <si>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</si>
  <si>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</si>
  <si>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</si>
  <si>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</si>
  <si>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</si>
  <si>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</si>
  <si>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</si>
  <si>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</si>
  <si>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</si>
  <si>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</si>
  <si>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</si>
  <si>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</si>
  <si>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</si>
  <si>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</si>
  <si>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</si>
  <si>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</si>
  <si>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</si>
  <si>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</si>
  <si>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</si>
  <si>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</si>
  <si>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</si>
  <si>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</si>
  <si>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</si>
  <si>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</si>
  <si>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</si>
  <si>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</si>
  <si>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</si>
  <si>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</si>
  <si>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</si>
  <si>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</si>
  <si>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</si>
  <si>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</si>
  <si>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</si>
  <si>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</si>
  <si>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</si>
  <si>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</si>
  <si>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</si>
  <si>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</si>
  <si>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</si>
  <si>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</si>
  <si>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</si>
  <si>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</si>
  <si>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</si>
  <si>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</si>
  <si>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</si>
  <si>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</si>
  <si>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</si>
  <si>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</si>
  <si>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</si>
  <si>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</si>
  <si>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</si>
  <si>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</si>
  <si>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</si>
  <si>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</si>
  <si>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</si>
  <si>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</si>
  <si>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</si>
  <si>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</si>
  <si>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</si>
  <si>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</si>
  <si>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</si>
  <si>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</si>
  <si>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</si>
  <si>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</si>
  <si>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</si>
  <si>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</si>
  <si>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</si>
  <si>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</si>
  <si>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</si>
  <si>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</si>
  <si>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</si>
  <si>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</si>
  <si>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</si>
  <si>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</si>
  <si>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</si>
  <si>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</si>
  <si>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</si>
  <si>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</si>
  <si>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</si>
  <si>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</si>
  <si>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</si>
  <si>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</si>
  <si>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</si>
  <si>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</si>
  <si>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</si>
  <si>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</si>
  <si>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</si>
  <si>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</si>
  <si>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</si>
  <si>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</si>
  <si>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</si>
  <si>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</si>
  <si>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</si>
  <si>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</si>
  <si>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</si>
  <si>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</si>
  <si>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</si>
  <si>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</si>
  <si>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</si>
  <si>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</si>
  <si>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</si>
  <si>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</si>
  <si>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</si>
  <si>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</si>
  <si>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</si>
  <si>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</si>
  <si>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</si>
  <si>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</si>
  <si>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</si>
  <si>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</si>
  <si>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</si>
  <si>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</si>
  <si>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</si>
  <si>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</si>
  <si>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</si>
  <si>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</si>
  <si>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</si>
  <si>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</si>
  <si>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</si>
  <si>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</si>
  <si>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</si>
  <si>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</si>
  <si>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</si>
  <si>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</si>
  <si>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</si>
  <si>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</si>
  <si>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</si>
  <si>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</si>
  <si>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</si>
  <si>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</si>
  <si>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</si>
  <si>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</si>
  <si>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</si>
  <si>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</si>
  <si>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</si>
  <si>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</si>
  <si>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</si>
  <si>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</si>
  <si>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</si>
  <si>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</si>
  <si>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</si>
  <si>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</si>
  <si>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</si>
  <si>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</si>
  <si>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</si>
  <si>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</si>
  <si>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</si>
  <si>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</si>
  <si>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</si>
  <si>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</si>
  <si>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</si>
  <si>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</si>
  <si>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</si>
  <si>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</si>
  <si>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</si>
  <si>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</si>
  <si>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</si>
  <si>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</si>
  <si>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</si>
  <si>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</si>
  <si>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</si>
  <si>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</si>
  <si>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</si>
  <si>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</si>
  <si>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</si>
  <si>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</si>
  <si>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</si>
  <si>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</si>
  <si>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</si>
  <si>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</si>
  <si>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</si>
  <si>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</si>
  <si>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</si>
  <si>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</si>
  <si>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</si>
  <si>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</si>
  <si>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</si>
  <si>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</si>
  <si>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</si>
  <si>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</si>
  <si>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</si>
  <si>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</si>
  <si>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</si>
  <si>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</si>
  <si>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</si>
  <si>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</si>
  <si>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</si>
  <si>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</si>
  <si>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</si>
  <si>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</si>
  <si>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</si>
  <si>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</si>
  <si>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</si>
  <si>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</si>
  <si>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</si>
  <si>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</si>
  <si>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</si>
  <si>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</si>
  <si>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</si>
  <si>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</si>
  <si>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</si>
  <si>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</si>
  <si>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</si>
  <si>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</si>
  <si>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</si>
  <si>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</si>
  <si>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</si>
  <si>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</si>
  <si>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</si>
  <si>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</si>
  <si>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</si>
  <si>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</si>
  <si>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</si>
  <si>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</si>
  <si>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</si>
  <si>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</si>
  <si>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</si>
  <si>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</si>
  <si>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</si>
  <si>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</si>
  <si>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</si>
  <si>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</si>
  <si>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</si>
  <si>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</si>
  <si>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</si>
  <si>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</si>
  <si>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</si>
  <si>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</si>
  <si>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</si>
  <si>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</si>
  <si>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</si>
  <si>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</si>
  <si>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</si>
  <si>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</si>
  <si>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</si>
  <si>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</si>
  <si>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</si>
  <si>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</si>
  <si>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</si>
  <si>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</si>
  <si>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</si>
  <si>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</si>
  <si>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</si>
  <si>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</si>
  <si>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</si>
  <si>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</si>
  <si>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</si>
  <si>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</si>
  <si>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</si>
  <si>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</si>
  <si>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</si>
  <si>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</si>
  <si>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</si>
  <si>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</si>
  <si>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</si>
  <si>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</si>
  <si>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</si>
  <si>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</si>
  <si>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</si>
  <si>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</si>
  <si>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</si>
  <si>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</si>
  <si>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</si>
  <si>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</si>
  <si>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</si>
  <si>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</si>
  <si>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</si>
  <si>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</si>
  <si>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</si>
  <si>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</si>
  <si>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</si>
  <si>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</si>
  <si>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</si>
  <si>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</si>
  <si>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</si>
  <si>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</si>
  <si>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</si>
  <si>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</si>
  <si>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</si>
  <si>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</si>
  <si>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</si>
  <si>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</si>
  <si>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</si>
  <si>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</si>
  <si>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</si>
  <si>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</si>
  <si>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</si>
  <si>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</si>
  <si>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</si>
  <si>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</si>
  <si>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</si>
  <si>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</si>
  <si>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</si>
  <si>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</si>
  <si>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</si>
  <si>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</si>
  <si>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</si>
  <si>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</si>
  <si>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</si>
  <si>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</si>
  <si>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</si>
  <si>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</si>
  <si>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</si>
  <si>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</si>
  <si>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</si>
  <si>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</si>
  <si>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</si>
  <si>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</si>
  <si>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</si>
  <si>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</si>
  <si>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</si>
  <si>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</si>
  <si>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</si>
  <si>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</si>
  <si>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</si>
  <si>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</si>
  <si>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</si>
  <si>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</si>
  <si>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</si>
  <si>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</si>
  <si>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</si>
  <si>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</si>
  <si>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</si>
  <si>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</si>
  <si>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</si>
  <si>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</si>
  <si>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</si>
  <si>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</si>
  <si>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</si>
  <si>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</si>
  <si>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</si>
  <si>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</si>
  <si>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</si>
  <si>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</si>
  <si>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</si>
  <si>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</si>
  <si>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</si>
  <si>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</si>
  <si>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</si>
  <si>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</si>
  <si>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</si>
  <si>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</si>
  <si>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</si>
  <si>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</si>
  <si>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</si>
  <si>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</si>
  <si>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</si>
  <si>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</si>
  <si>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</si>
  <si>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</si>
  <si>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</si>
  <si>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</si>
  <si>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</si>
  <si>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</si>
  <si>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</si>
  <si>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</si>
  <si>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</si>
  <si>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</si>
  <si>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</si>
  <si>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</si>
  <si>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</si>
  <si>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</si>
  <si>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</si>
  <si>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</si>
  <si>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</si>
  <si>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</si>
  <si>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</si>
  <si>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</si>
  <si>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</si>
  <si>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</si>
  <si>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</si>
  <si>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</si>
  <si>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</si>
  <si>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</si>
  <si>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</si>
  <si>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</si>
  <si>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</si>
  <si>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</si>
  <si>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</si>
  <si>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</si>
  <si>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</si>
  <si>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</si>
  <si>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</si>
  <si>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</si>
  <si>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</si>
  <si>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</si>
  <si>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</si>
  <si>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</si>
  <si>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</si>
  <si>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</si>
  <si>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</si>
  <si>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</si>
  <si>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</si>
  <si>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</si>
  <si>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</si>
  <si>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</si>
  <si>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</si>
  <si>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</si>
  <si>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</si>
  <si>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</si>
  <si>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</si>
  <si>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</si>
  <si>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</si>
  <si>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</si>
  <si>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</si>
  <si>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</si>
  <si>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</si>
  <si>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</si>
  <si>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</si>
  <si>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</si>
  <si>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</si>
  <si>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</si>
  <si>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</si>
  <si>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</si>
  <si>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</si>
  <si>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</si>
  <si>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</si>
  <si>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</si>
  <si>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</si>
  <si>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</si>
  <si>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</si>
  <si>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</si>
  <si>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</si>
  <si>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</si>
  <si>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</si>
  <si>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</si>
  <si>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</si>
  <si>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</si>
  <si>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</si>
  <si>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</si>
  <si>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</si>
  <si>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</si>
  <si>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</si>
  <si>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</si>
  <si>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</si>
  <si>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</si>
  <si>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</si>
  <si>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</si>
  <si>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</si>
  <si>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</si>
  <si>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</si>
  <si>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</si>
  <si>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</si>
  <si>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</si>
  <si>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</si>
  <si>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</si>
  <si>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</si>
  <si>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</si>
  <si>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</si>
  <si>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</si>
  <si>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</si>
  <si>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</si>
  <si>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</si>
  <si>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</si>
  <si>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</si>
  <si>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</si>
  <si>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</si>
  <si>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</si>
  <si>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</si>
  <si>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</si>
  <si>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</si>
  <si>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</si>
  <si>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</si>
  <si>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</si>
  <si>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</si>
  <si>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</si>
  <si>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</si>
  <si>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</si>
  <si>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</si>
  <si>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</si>
  <si>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</si>
  <si>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</si>
  <si>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</si>
  <si>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</si>
  <si>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</si>
  <si>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</si>
  <si>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</si>
  <si>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</si>
  <si>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</si>
  <si>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</si>
  <si>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</si>
  <si>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</si>
  <si>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</si>
  <si>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</si>
  <si>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</si>
  <si>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</si>
  <si>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</si>
  <si>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</si>
  <si>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</si>
  <si>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</si>
  <si>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</si>
  <si>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</si>
  <si>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</si>
  <si>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</si>
  <si>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</si>
  <si>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</si>
  <si>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</si>
  <si>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</si>
  <si>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</si>
  <si>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</si>
  <si>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</si>
  <si>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</si>
  <si>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</si>
  <si>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</si>
  <si>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</si>
  <si>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</si>
  <si>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</si>
  <si>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</si>
  <si>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</si>
  <si>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</si>
  <si>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</si>
  <si>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</si>
  <si>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</si>
  <si>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</si>
  <si>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</si>
  <si>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</si>
  <si>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</si>
  <si>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</si>
  <si>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</si>
  <si>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</si>
  <si>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</si>
  <si>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</si>
  <si>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</si>
  <si>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</si>
  <si>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</si>
  <si>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</si>
  <si>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</si>
  <si>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</si>
  <si>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</si>
  <si>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</si>
  <si>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</si>
  <si>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</si>
  <si>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</si>
  <si>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</si>
  <si>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</si>
  <si>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</si>
  <si>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</si>
  <si>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</si>
  <si>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</si>
  <si>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</si>
  <si>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</si>
  <si>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</si>
  <si>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</si>
  <si>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</si>
  <si>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</si>
  <si>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</si>
  <si>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</si>
  <si>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</si>
  <si>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</si>
  <si>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</si>
  <si>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</si>
  <si>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</si>
  <si>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</si>
  <si>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</si>
  <si>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</si>
  <si>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</si>
  <si>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</si>
  <si>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</si>
  <si>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</si>
  <si>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</si>
  <si>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</si>
  <si>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</si>
  <si>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</si>
  <si>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</si>
  <si>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</si>
  <si>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</si>
  <si>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</si>
  <si>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</si>
  <si>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</si>
  <si>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</si>
  <si>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</si>
  <si>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</si>
  <si>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</si>
  <si>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</si>
  <si>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</si>
  <si>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</si>
  <si>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</si>
  <si>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</si>
  <si>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</si>
  <si>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</si>
  <si>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</si>
  <si>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</si>
  <si>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</si>
  <si>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</si>
  <si>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</si>
  <si>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</si>
  <si>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</si>
  <si>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</si>
  <si>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</si>
  <si>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</si>
  <si>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</si>
  <si>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</si>
  <si>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</si>
  <si>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</si>
  <si>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</si>
  <si>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</si>
  <si>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</si>
  <si>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</si>
  <si>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</si>
  <si>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</si>
  <si>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</si>
  <si>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</si>
  <si>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</si>
  <si>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</si>
  <si>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</si>
  <si>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</si>
  <si>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</si>
  <si>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</si>
  <si>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</si>
  <si>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</si>
  <si>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</si>
  <si>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</si>
  <si>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</si>
  <si>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</si>
  <si>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</si>
  <si>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</si>
  <si>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</si>
  <si>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</si>
  <si>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</si>
  <si>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</si>
  <si>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</si>
  <si>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</si>
  <si>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</si>
  <si>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</si>
  <si>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</si>
  <si>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</si>
  <si>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</si>
  <si>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</si>
  <si>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</si>
  <si>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</si>
  <si>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</si>
  <si>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</si>
  <si>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</si>
  <si>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</si>
  <si>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</si>
  <si>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</si>
  <si>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</si>
  <si>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</si>
  <si>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</si>
  <si>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</si>
  <si>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</si>
  <si>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</si>
  <si>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</si>
  <si>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</si>
  <si>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</si>
  <si>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</si>
  <si>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</si>
  <si>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</si>
  <si>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</si>
  <si>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</si>
  <si>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</si>
  <si>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</si>
  <si>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</si>
  <si>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</si>
  <si>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</si>
  <si>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</si>
  <si>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</si>
  <si>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</si>
  <si>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</si>
  <si>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</si>
  <si>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</si>
  <si>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</si>
  <si>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</si>
  <si>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</si>
  <si>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</si>
  <si>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</si>
  <si>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</si>
  <si>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</si>
  <si>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</si>
  <si>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</si>
  <si>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</si>
  <si>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</si>
  <si>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</si>
  <si>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</si>
  <si>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</si>
  <si>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</si>
  <si>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</si>
  <si>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</si>
  <si>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</si>
  <si>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</si>
  <si>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</si>
  <si>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</si>
  <si>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</si>
  <si>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</si>
  <si>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</si>
  <si>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</si>
  <si>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</si>
  <si>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</si>
  <si>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</si>
  <si>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</si>
  <si>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</si>
  <si>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</si>
  <si>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</si>
  <si>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</si>
  <si>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</si>
  <si>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</si>
  <si>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</si>
  <si>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</si>
  <si>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</si>
  <si>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</si>
  <si>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</si>
  <si>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</si>
  <si>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</si>
  <si>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</si>
  <si>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</si>
  <si>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</si>
  <si>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</si>
  <si>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</si>
  <si>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</si>
  <si>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</si>
  <si>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</si>
  <si>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</si>
  <si>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</si>
  <si>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</si>
  <si>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</si>
  <si>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</si>
  <si>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</si>
  <si>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</si>
  <si>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</si>
  <si>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</si>
  <si>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</si>
  <si>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</si>
  <si>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</si>
  <si>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</si>
  <si>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</si>
  <si>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</si>
  <si>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</si>
  <si>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</si>
  <si>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</si>
  <si>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</si>
  <si>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</si>
  <si>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</si>
  <si>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</si>
  <si>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</si>
  <si>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</si>
  <si>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</si>
  <si>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</si>
  <si>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</si>
  <si>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</si>
  <si>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</si>
  <si>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</si>
  <si>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</si>
  <si>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</si>
  <si>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</si>
  <si>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</si>
  <si>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</si>
  <si>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</si>
  <si>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</si>
  <si>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</si>
  <si>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</si>
  <si>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</si>
  <si>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</si>
  <si>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</si>
  <si>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</si>
  <si>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</si>
  <si>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</si>
  <si>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</si>
  <si>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</si>
  <si>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</si>
  <si>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</si>
  <si>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</si>
  <si>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</si>
  <si>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</si>
  <si>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</si>
  <si>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</si>
  <si>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</si>
  <si>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</si>
  <si>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</si>
  <si>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</si>
  <si>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</si>
  <si>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</si>
  <si>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</si>
  <si>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</si>
  <si>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</si>
  <si>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</si>
  <si>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</si>
  <si>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</si>
  <si>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</si>
  <si>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</si>
  <si>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</si>
  <si>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</si>
  <si>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</si>
  <si>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</si>
  <si>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</si>
  <si>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</si>
  <si>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</si>
  <si>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</si>
  <si>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</si>
  <si>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</si>
  <si>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</si>
  <si>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</si>
  <si>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</si>
  <si>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</si>
  <si>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</si>
  <si>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</si>
  <si>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</si>
  <si>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</si>
  <si>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</si>
  <si>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</si>
  <si>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</si>
  <si>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</si>
  <si>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</si>
  <si>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</si>
  <si>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</si>
  <si>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</si>
  <si>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</si>
  <si>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</si>
  <si>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</si>
  <si>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</si>
  <si>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</si>
  <si>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</si>
  <si>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</si>
  <si>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</si>
  <si>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</si>
  <si>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</si>
  <si>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</si>
  <si>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</si>
  <si>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</si>
  <si>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</si>
  <si>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</si>
  <si>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</si>
  <si>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</si>
  <si>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</si>
  <si>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</si>
  <si>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</si>
  <si>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</si>
  <si>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</si>
  <si>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</si>
  <si>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</si>
  <si>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</si>
  <si>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</si>
  <si>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</si>
  <si>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</si>
  <si>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</si>
  <si>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</si>
  <si>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</si>
  <si>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</si>
  <si>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</si>
  <si>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</si>
  <si>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</si>
  <si>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</si>
  <si>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</si>
  <si>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</si>
  <si>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</si>
  <si>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</si>
  <si>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</si>
  <si>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</si>
  <si>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</si>
  <si>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</si>
  <si>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</si>
  <si>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</si>
  <si>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</si>
  <si>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</si>
  <si>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</si>
  <si>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</si>
  <si>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</si>
  <si>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</si>
  <si>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</si>
  <si>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</si>
  <si>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</si>
  <si>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</si>
  <si>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</si>
  <si>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</si>
  <si>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</si>
  <si>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</si>
  <si>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</si>
  <si>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</si>
  <si>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</si>
  <si>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</si>
  <si>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</si>
  <si>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</si>
  <si>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</si>
  <si>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</si>
  <si>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</si>
  <si>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</si>
  <si>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</si>
  <si>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</si>
  <si>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</si>
  <si>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</si>
  <si>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</si>
  <si>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</si>
  <si>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</si>
  <si>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</si>
  <si>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</si>
  <si>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</si>
  <si>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</si>
  <si>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</si>
  <si>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</si>
  <si>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</si>
  <si>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</si>
  <si>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</si>
  <si>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</si>
  <si>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</si>
  <si>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</si>
  <si>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</si>
  <si>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</si>
  <si>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</si>
  <si>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</si>
  <si>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</si>
  <si>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</si>
  <si>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</si>
  <si>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</si>
  <si>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</si>
  <si>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</si>
  <si>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</si>
  <si>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</si>
  <si>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</si>
  <si>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</si>
  <si>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</si>
  <si>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</si>
  <si>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</si>
  <si>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</si>
  <si>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</si>
  <si>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</si>
  <si>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</si>
  <si>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</si>
  <si>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</si>
  <si>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</si>
  <si>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</si>
  <si>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</si>
  <si>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</si>
  <si>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</si>
  <si>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</si>
  <si>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</si>
  <si>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</si>
  <si>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</si>
  <si>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</si>
  <si>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</si>
  <si>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</si>
  <si>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</si>
  <si>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</si>
  <si>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</si>
  <si>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</si>
  <si>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</si>
  <si>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</si>
  <si>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</si>
  <si>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</si>
  <si>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</si>
  <si>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</si>
  <si>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</si>
  <si>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</si>
  <si>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</si>
  <si>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</si>
  <si>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</si>
  <si>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</si>
  <si>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</si>
  <si>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</si>
  <si>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</si>
  <si>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</si>
  <si>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</si>
  <si>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</si>
  <si>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</si>
  <si>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</si>
  <si>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</si>
  <si>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</si>
  <si>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</si>
  <si>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</si>
  <si>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</si>
  <si>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</si>
  <si>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</si>
  <si>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</si>
  <si>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</si>
  <si>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</si>
  <si>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</si>
  <si>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</si>
  <si>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</si>
  <si>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</si>
  <si>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</si>
  <si>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</si>
  <si>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</si>
  <si>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</si>
  <si>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</si>
  <si>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</si>
  <si>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</si>
  <si>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</si>
  <si>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</si>
  <si>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</si>
  <si>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</si>
  <si>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</si>
  <si>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</si>
  <si>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</si>
  <si>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</si>
  <si>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</si>
  <si>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</si>
  <si>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</si>
  <si>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</si>
  <si>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</si>
  <si>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</si>
  <si>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</si>
  <si>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</si>
  <si>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</si>
  <si>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</si>
  <si>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</si>
  <si>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</si>
  <si>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</si>
  <si>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</si>
  <si>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</si>
  <si>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</si>
  <si>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</si>
  <si>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</si>
  <si>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</si>
  <si>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</si>
  <si>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</si>
  <si>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</si>
  <si>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</si>
  <si>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</si>
  <si>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</si>
  <si>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</si>
  <si>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</si>
  <si>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</si>
  <si>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</si>
  <si>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</si>
  <si>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</si>
  <si>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</si>
  <si>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</si>
  <si>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</si>
  <si>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</si>
  <si>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</si>
  <si>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</si>
  <si>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</si>
  <si>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</si>
  <si>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</si>
  <si>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</si>
  <si>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</si>
  <si>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</si>
  <si>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</si>
  <si>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</si>
  <si>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</si>
  <si>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</si>
  <si>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</si>
  <si>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</si>
  <si>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</si>
  <si>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</si>
  <si>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</si>
  <si>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</si>
  <si>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</si>
  <si>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</si>
  <si>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</si>
  <si>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</si>
  <si>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</si>
  <si>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</si>
  <si>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</si>
  <si>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</si>
  <si>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</si>
  <si>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</si>
  <si>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</si>
  <si>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</si>
  <si>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</si>
  <si>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</si>
  <si>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</si>
  <si>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</si>
  <si>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</si>
  <si>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</si>
  <si>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</si>
  <si>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</si>
  <si>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</si>
  <si>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</si>
  <si>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</si>
  <si>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</si>
  <si>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</si>
  <si>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</si>
  <si>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</si>
  <si>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</si>
  <si>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</si>
  <si>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</si>
  <si>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</si>
  <si>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</si>
  <si>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</si>
  <si>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</si>
  <si>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</si>
  <si>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</si>
  <si>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</si>
  <si>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</si>
  <si>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</si>
  <si>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</si>
  <si>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</si>
  <si>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</si>
  <si>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</si>
  <si>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</si>
  <si>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</si>
  <si>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</si>
  <si>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</si>
  <si>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</si>
  <si>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</si>
  <si>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</si>
  <si>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</si>
  <si>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</si>
  <si>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</si>
  <si>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</si>
  <si>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</si>
  <si>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</si>
  <si>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</si>
  <si>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</si>
  <si>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</si>
  <si>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</si>
  <si>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</si>
  <si>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</si>
  <si>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</si>
  <si>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</si>
  <si>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</si>
  <si>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</si>
  <si>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</si>
  <si>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</si>
  <si>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</si>
  <si>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</si>
  <si>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</si>
  <si>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</si>
  <si>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</si>
  <si>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</si>
  <si>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</si>
  <si>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</si>
  <si>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</si>
  <si>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</si>
  <si>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</si>
  <si>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</si>
  <si>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</si>
  <si>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</si>
  <si>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</si>
  <si>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</si>
  <si>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</si>
  <si>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</si>
  <si>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</si>
  <si>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</si>
  <si>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</si>
  <si>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</si>
  <si>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</si>
  <si>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</si>
  <si>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</si>
  <si>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</si>
  <si>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</si>
  <si>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</si>
  <si>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</si>
  <si>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</si>
  <si>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</si>
  <si>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</si>
  <si>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</si>
  <si>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</si>
  <si>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</si>
  <si>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</si>
  <si>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</si>
  <si>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</si>
  <si>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</si>
  <si>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</si>
  <si>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</si>
  <si>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</si>
  <si>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</si>
  <si>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</si>
  <si>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</si>
  <si>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</si>
  <si>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</si>
  <si>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</si>
  <si>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</si>
  <si>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</si>
  <si>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</si>
  <si>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</si>
  <si>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</si>
  <si>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</si>
  <si>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</si>
  <si>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</si>
  <si>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</si>
  <si>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</si>
  <si>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</si>
  <si>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</si>
  <si>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</si>
  <si>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</si>
  <si>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</si>
  <si>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</si>
  <si>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</si>
  <si>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</si>
  <si>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</si>
  <si>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</si>
  <si>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</si>
  <si>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</si>
  <si>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</si>
  <si>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</si>
  <si>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</si>
  <si>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</si>
  <si>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</si>
  <si>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</si>
  <si>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</si>
  <si>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</si>
  <si>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</si>
  <si>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</si>
  <si>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</si>
  <si>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</si>
  <si>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</si>
  <si>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</si>
  <si>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</si>
  <si>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</si>
  <si>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</si>
  <si>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</si>
  <si>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</si>
  <si>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</si>
  <si>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</si>
  <si>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</si>
  <si>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</si>
  <si>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</si>
  <si>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</si>
  <si>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</si>
  <si>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</si>
  <si>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</si>
  <si>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</si>
  <si>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</si>
  <si>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</si>
  <si>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</si>
  <si>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</si>
  <si>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</si>
  <si>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</si>
  <si>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</si>
  <si>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</si>
  <si>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</si>
  <si>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</si>
  <si>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</si>
  <si>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</si>
  <si>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</si>
  <si>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</si>
  <si>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</si>
  <si>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</si>
  <si>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</si>
  <si>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</si>
  <si>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</si>
  <si>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</si>
  <si>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</si>
  <si>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</si>
  <si>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</si>
  <si>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</si>
  <si>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</si>
  <si>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</si>
  <si>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</si>
  <si>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</si>
  <si>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</si>
  <si>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</si>
  <si>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</si>
  <si>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</si>
  <si>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</si>
  <si>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</si>
  <si>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</si>
  <si>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</si>
  <si>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</si>
  <si>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</si>
  <si>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</si>
  <si>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</si>
  <si>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</si>
  <si>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</si>
  <si>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</si>
  <si>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</si>
  <si>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</si>
  <si>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</si>
  <si>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</si>
  <si>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</si>
  <si>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</si>
  <si>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</si>
  <si>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</si>
  <si>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</si>
  <si>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</si>
  <si>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</si>
  <si>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</si>
  <si>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</si>
  <si>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</si>
  <si>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</si>
  <si>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</si>
  <si>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</si>
  <si>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</si>
  <si>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</si>
  <si>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</si>
  <si>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</si>
  <si>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</si>
  <si>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</si>
  <si>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</si>
  <si>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</si>
  <si>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</si>
  <si>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</si>
  <si>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</si>
  <si>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</si>
  <si>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</si>
  <si>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</si>
  <si>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</si>
  <si>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</si>
  <si>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</si>
  <si>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</si>
  <si>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</si>
  <si>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</si>
  <si>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</si>
  <si>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</si>
  <si>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</si>
  <si>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</si>
  <si>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</si>
  <si>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</si>
  <si>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</si>
  <si>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</si>
  <si>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</si>
  <si>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</si>
  <si>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</si>
  <si>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</si>
  <si>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</si>
  <si>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</si>
  <si>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</si>
  <si>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</si>
  <si>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</si>
  <si>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</si>
  <si>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</si>
  <si>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</si>
  <si>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</si>
  <si>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</si>
  <si>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</si>
  <si>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</si>
  <si>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</si>
  <si>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</si>
  <si>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</si>
  <si>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</si>
  <si>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</si>
  <si>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</si>
  <si>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</si>
  <si>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</si>
  <si>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</si>
  <si>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</si>
  <si>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</si>
  <si>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</si>
  <si>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</si>
  <si>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</si>
  <si>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</si>
  <si>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</si>
  <si>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</si>
  <si>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</si>
  <si>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</si>
  <si>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</si>
  <si>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</si>
  <si>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</si>
  <si>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</si>
  <si>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</si>
  <si>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</si>
  <si>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</si>
  <si>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</si>
  <si>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</si>
  <si>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</si>
  <si>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</si>
  <si>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</si>
  <si>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</si>
  <si>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</si>
  <si>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</si>
  <si>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</si>
  <si>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</si>
  <si>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</si>
  <si>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</si>
  <si>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</si>
  <si>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</si>
  <si>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</si>
  <si>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</si>
  <si>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</si>
  <si>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</si>
  <si>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</si>
  <si>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</si>
  <si>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</si>
  <si>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</si>
  <si>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</si>
  <si>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</si>
  <si>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</si>
  <si>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</si>
  <si>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</si>
  <si>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</si>
  <si>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</si>
  <si>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</si>
  <si>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</si>
  <si>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</si>
  <si>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</si>
  <si>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</si>
  <si>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</si>
  <si>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</si>
  <si>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</si>
  <si>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</si>
  <si>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</si>
  <si>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</si>
  <si>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</si>
  <si>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</si>
  <si>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</si>
  <si>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</si>
  <si>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</si>
  <si>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</si>
  <si>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</si>
  <si>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</si>
  <si>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</si>
  <si>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</si>
  <si>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</si>
  <si>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</si>
  <si>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</si>
  <si>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</si>
  <si>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</si>
  <si>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</si>
  <si>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</si>
  <si>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</si>
  <si>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</si>
  <si>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</si>
  <si>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</si>
  <si>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</si>
  <si>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</si>
  <si>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</si>
  <si>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</si>
  <si>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</si>
  <si>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</si>
  <si>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</si>
  <si>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</si>
  <si>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</si>
  <si>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</si>
  <si>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</si>
  <si>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</si>
  <si>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</si>
  <si>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</si>
  <si>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</si>
  <si>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</si>
  <si>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</si>
  <si>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</si>
  <si>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</si>
  <si>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</si>
  <si>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</si>
  <si>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</si>
  <si>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</si>
  <si>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</si>
  <si>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</si>
  <si>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</si>
  <si>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</si>
  <si>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</si>
  <si>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</si>
  <si>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</si>
  <si>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</si>
  <si>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</si>
  <si>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</si>
  <si>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</si>
  <si>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</si>
  <si>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</si>
  <si>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</si>
  <si>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</si>
  <si>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</si>
  <si>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</si>
  <si>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</si>
  <si>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</si>
  <si>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</si>
  <si>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</si>
  <si>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</si>
  <si>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</si>
  <si>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</si>
  <si>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</si>
  <si>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</si>
  <si>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</si>
  <si>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</si>
  <si>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</si>
  <si>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</si>
  <si>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</si>
  <si>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</si>
  <si>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</si>
  <si>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</si>
  <si>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</si>
  <si>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</si>
  <si>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</si>
  <si>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</si>
  <si>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</si>
  <si>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</si>
  <si>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</si>
  <si>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</si>
  <si>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</si>
  <si>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</si>
  <si>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</si>
  <si>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</si>
  <si>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</si>
  <si>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</si>
  <si>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</si>
  <si>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</si>
  <si>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</si>
  <si>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</si>
  <si>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</si>
  <si>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</si>
  <si>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</si>
  <si>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</si>
  <si>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</si>
  <si>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</si>
  <si>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</si>
  <si>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</si>
  <si>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</si>
  <si>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</si>
  <si>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</si>
  <si>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</si>
  <si>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</si>
  <si>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</si>
  <si>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</si>
  <si>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</si>
  <si>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</si>
  <si>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</si>
  <si>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</si>
  <si>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</si>
  <si>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</si>
  <si>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</si>
  <si>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</si>
  <si>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</si>
  <si>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</si>
  <si>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</si>
  <si>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</si>
  <si>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</si>
  <si>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</si>
  <si>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</si>
  <si>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</si>
  <si>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</si>
  <si>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</si>
  <si>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</si>
  <si>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</si>
  <si>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</si>
  <si>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</si>
  <si>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</si>
  <si>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</si>
  <si>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</si>
  <si>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</si>
  <si>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</si>
  <si>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</si>
  <si>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</si>
  <si>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</si>
  <si>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</si>
  <si>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</si>
  <si>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</si>
  <si>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</si>
  <si>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</si>
  <si>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</si>
  <si>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</si>
  <si>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</si>
  <si>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</si>
  <si>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</si>
  <si>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</si>
  <si>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</si>
  <si>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</si>
  <si>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</si>
  <si>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</si>
  <si>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</si>
  <si>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</si>
  <si>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</si>
  <si>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</si>
  <si>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</si>
  <si>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</si>
  <si>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</si>
  <si>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</si>
  <si>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</si>
  <si>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</si>
  <si>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</si>
  <si>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</si>
  <si>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</si>
  <si>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</si>
  <si>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</si>
  <si>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</si>
  <si>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</si>
  <si>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</si>
  <si>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</si>
  <si>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</si>
  <si>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</si>
  <si>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</si>
  <si>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</si>
  <si>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</si>
  <si>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</si>
  <si>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</si>
  <si>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</si>
  <si>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</si>
  <si>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</si>
  <si>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</si>
  <si>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</si>
  <si>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</si>
  <si>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</si>
  <si>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</si>
  <si>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</si>
  <si>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</si>
  <si>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</si>
  <si>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</si>
  <si>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</si>
  <si>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</si>
  <si>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</si>
  <si>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</si>
  <si>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</si>
  <si>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</si>
  <si>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</si>
  <si>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</si>
  <si>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</si>
  <si>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</si>
  <si>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</si>
  <si>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</si>
  <si>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</si>
  <si>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</si>
  <si>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</si>
  <si>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</si>
  <si>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</si>
  <si>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</si>
  <si>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</si>
  <si>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</si>
  <si>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</si>
  <si>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</si>
  <si>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</si>
  <si>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</si>
  <si>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</si>
  <si>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</si>
  <si>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</si>
  <si>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</si>
  <si>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</si>
  <si>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</si>
  <si>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</si>
  <si>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</si>
  <si>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</si>
  <si>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</si>
  <si>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</si>
  <si>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</si>
  <si>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</si>
  <si>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</si>
  <si>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</si>
  <si>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</si>
  <si>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</si>
  <si>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</si>
  <si>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</si>
  <si>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</si>
  <si>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</si>
  <si>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</si>
  <si>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</si>
  <si>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</si>
  <si>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</si>
  <si>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</si>
  <si>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</si>
  <si>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</si>
  <si>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</si>
  <si>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</si>
  <si>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</si>
  <si>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</si>
  <si>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</si>
  <si>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</si>
  <si>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</si>
  <si>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</si>
  <si>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</si>
  <si>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</si>
  <si>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</si>
  <si>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</si>
  <si>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</si>
  <si>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</si>
  <si>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</si>
  <si>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</si>
  <si>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</si>
  <si>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</si>
  <si>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</si>
  <si>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</si>
  <si>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</si>
  <si>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</si>
  <si>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</si>
  <si>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</si>
  <si>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</si>
  <si>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</si>
  <si>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</si>
  <si>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</si>
  <si>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</si>
  <si>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</si>
  <si>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</si>
  <si>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</si>
  <si>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</si>
  <si>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</si>
  <si>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</si>
  <si>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</si>
  <si>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</si>
  <si>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</si>
  <si>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</si>
  <si>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</si>
  <si>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</si>
  <si>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</si>
  <si>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</si>
  <si>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</si>
  <si>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</si>
  <si>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</si>
  <si>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</si>
  <si>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</si>
  <si>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</si>
  <si>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</si>
  <si>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</si>
  <si>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</si>
  <si>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</si>
  <si>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</si>
  <si>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</si>
  <si>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</si>
  <si>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</si>
  <si>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</si>
  <si>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</si>
  <si>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</si>
  <si>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</si>
  <si>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</si>
  <si>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</si>
  <si>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</si>
  <si>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</si>
  <si>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</si>
  <si>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</si>
  <si>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</si>
  <si>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</si>
  <si>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</si>
  <si>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</si>
  <si>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</si>
  <si>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</si>
  <si>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</si>
  <si>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</si>
  <si>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</si>
  <si>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</si>
  <si>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</si>
  <si>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</si>
  <si>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</si>
  <si>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</si>
  <si>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</si>
  <si>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</si>
  <si>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</si>
  <si>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</si>
  <si>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</si>
  <si>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</si>
  <si>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</si>
  <si>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</si>
  <si>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</si>
  <si>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</si>
  <si>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</si>
  <si>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</si>
  <si>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</si>
  <si>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</si>
  <si>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</si>
  <si>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</si>
  <si>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</si>
  <si>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</si>
  <si>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</si>
  <si>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</si>
  <si>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</si>
  <si>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</si>
  <si>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</si>
  <si>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</si>
  <si>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</si>
  <si>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</si>
  <si>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</si>
  <si>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</si>
  <si>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</si>
  <si>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</si>
  <si>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</si>
  <si>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</si>
  <si>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</si>
  <si>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</si>
  <si>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</si>
  <si>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</si>
  <si>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</si>
  <si>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</si>
  <si>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</si>
  <si>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</si>
  <si>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</si>
  <si>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</si>
  <si>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</si>
  <si>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</si>
  <si>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</si>
  <si>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</si>
  <si>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</si>
  <si>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</si>
  <si>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</si>
  <si>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</si>
  <si>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</si>
  <si>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</si>
  <si>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</si>
  <si>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</si>
  <si>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</si>
  <si>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</si>
  <si>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</si>
  <si>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</si>
  <si>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</si>
  <si>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</si>
  <si>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</si>
  <si>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</si>
  <si>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</si>
  <si>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</si>
  <si>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</si>
  <si>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</si>
  <si>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</si>
  <si>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</si>
  <si>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</si>
  <si>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</si>
  <si>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</si>
  <si>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</si>
  <si>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</si>
  <si>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</si>
  <si>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</si>
  <si>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</si>
  <si>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</si>
  <si>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</si>
  <si>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</si>
  <si>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</si>
  <si>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</si>
  <si>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</si>
  <si>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</si>
  <si>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</si>
  <si>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</si>
  <si>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</si>
  <si>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</si>
  <si>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</si>
  <si>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</si>
  <si>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</si>
  <si>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</si>
  <si>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</si>
  <si>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</si>
  <si>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</si>
  <si>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</si>
  <si>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</si>
  <si>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</si>
  <si>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</si>
  <si>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</si>
  <si>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</si>
  <si>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</si>
  <si>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</si>
  <si>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</si>
  <si>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</si>
  <si>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</si>
  <si>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</si>
  <si>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</si>
  <si>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</si>
  <si>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</si>
  <si>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</si>
  <si>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</si>
  <si>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</si>
  <si>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</si>
  <si>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</si>
  <si>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</si>
  <si>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</si>
  <si>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</si>
  <si>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</si>
  <si>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</si>
  <si>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</si>
  <si>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</si>
  <si>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</si>
  <si>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</si>
  <si>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</si>
  <si>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</si>
  <si>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</si>
  <si>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</si>
  <si>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</si>
  <si>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</si>
  <si>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</si>
  <si>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</si>
  <si>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</si>
  <si>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</si>
  <si>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</si>
  <si>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</si>
  <si>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</si>
  <si>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</si>
  <si>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</si>
  <si>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</si>
  <si>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</si>
  <si>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</si>
  <si>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</si>
  <si>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</si>
  <si>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</si>
  <si>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</si>
  <si>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</si>
  <si>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</si>
  <si>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</si>
  <si>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</si>
  <si>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</si>
  <si>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</si>
  <si>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</si>
  <si>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</si>
  <si>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</si>
  <si>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</si>
  <si>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</si>
  <si>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</si>
  <si>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</si>
  <si>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</si>
  <si>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</si>
  <si>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</si>
  <si>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</si>
  <si>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</si>
  <si>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</si>
  <si>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</si>
  <si>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</si>
  <si>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</si>
  <si>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</si>
  <si>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</si>
  <si>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</si>
  <si>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</si>
  <si>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</si>
  <si>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</si>
  <si>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</si>
  <si>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</si>
  <si>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</si>
  <si>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</si>
  <si>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</si>
  <si>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</si>
  <si>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</si>
  <si>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</si>
  <si>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</si>
  <si>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</si>
  <si>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</si>
  <si>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</si>
  <si>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</si>
  <si>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</si>
  <si>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</si>
  <si>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</si>
  <si>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</si>
  <si>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</si>
  <si>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</si>
  <si>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</si>
  <si>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</si>
  <si>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</si>
  <si>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</si>
  <si>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</si>
  <si>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</si>
  <si>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</si>
  <si>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</si>
  <si>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</si>
  <si>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</si>
  <si>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</si>
  <si>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</si>
  <si>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</si>
  <si>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</si>
  <si>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</si>
  <si>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</si>
  <si>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</si>
  <si>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</si>
  <si>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</si>
  <si>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</si>
  <si>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</si>
  <si>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</si>
  <si>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</si>
  <si>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</si>
  <si>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</si>
  <si>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</si>
  <si>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</si>
  <si>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</si>
  <si>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</si>
  <si>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</si>
  <si>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</si>
  <si>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</si>
  <si>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</si>
  <si>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</si>
  <si>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</si>
  <si>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</si>
  <si>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</si>
  <si>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</si>
  <si>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</si>
  <si>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</si>
  <si>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</si>
  <si>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</si>
  <si>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</si>
  <si>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</si>
  <si>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</si>
  <si>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</si>
  <si>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</si>
  <si>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</si>
  <si>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</si>
  <si>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</si>
  <si>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</si>
  <si>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</si>
  <si>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</si>
  <si>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</si>
  <si>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</si>
  <si>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</si>
  <si>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</si>
  <si>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</si>
  <si>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</si>
  <si>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</si>
  <si>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</si>
  <si>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</si>
  <si>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</si>
  <si>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</si>
  <si>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</si>
  <si>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</si>
  <si>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</si>
  <si>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</si>
  <si>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</si>
  <si>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</si>
  <si>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</si>
  <si>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</si>
  <si>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</si>
  <si>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</si>
  <si>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</si>
  <si>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</si>
  <si>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</si>
  <si>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</si>
  <si>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</si>
  <si>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</si>
  <si>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</si>
  <si>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</si>
  <si>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</si>
  <si>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</si>
  <si>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</si>
  <si>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</si>
  <si>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</si>
  <si>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</si>
  <si>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</si>
  <si>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</si>
  <si>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</si>
  <si>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</si>
  <si>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</si>
  <si>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</si>
  <si>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</si>
  <si>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</si>
  <si>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</si>
  <si>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</si>
  <si>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</si>
  <si>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</si>
  <si>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</si>
  <si>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</si>
  <si>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</si>
  <si>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</si>
  <si>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</si>
  <si>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</si>
  <si>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</si>
  <si>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</si>
  <si>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</si>
  <si>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</si>
  <si>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</si>
  <si>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</si>
  <si>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</si>
  <si>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</si>
  <si>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</si>
  <si>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</si>
  <si>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</si>
  <si>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</si>
  <si>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</si>
  <si>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</si>
  <si>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</si>
  <si>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</si>
  <si>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</si>
  <si>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</si>
  <si>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</si>
  <si>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</si>
  <si>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</si>
  <si>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</si>
  <si>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</si>
  <si>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</si>
  <si>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</si>
  <si>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</si>
  <si>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</si>
  <si>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</si>
  <si>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</si>
  <si>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</si>
  <si>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</si>
  <si>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</si>
  <si>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</si>
  <si>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</si>
  <si>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</si>
  <si>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</si>
  <si>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</si>
  <si>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</si>
  <si>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</si>
  <si>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</si>
  <si>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</si>
  <si>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</si>
  <si>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</si>
  <si>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</si>
  <si>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</si>
  <si>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</si>
  <si>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</si>
  <si>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</si>
  <si>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</si>
  <si>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</si>
  <si>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</si>
  <si>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</si>
  <si>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</si>
  <si>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</si>
  <si>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</si>
  <si>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</si>
  <si>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</si>
  <si>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</si>
  <si>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</si>
  <si>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</si>
  <si>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</si>
  <si>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</si>
  <si>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</si>
  <si>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</si>
  <si>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</si>
  <si>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</si>
  <si>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</si>
  <si>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</si>
  <si>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</si>
  <si>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</si>
  <si>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</si>
  <si>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</si>
  <si>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</si>
  <si>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</si>
  <si>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</si>
  <si>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</si>
  <si>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</si>
  <si>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</si>
  <si>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</si>
  <si>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</si>
  <si>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</si>
  <si>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</si>
  <si>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</si>
  <si>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</si>
  <si>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</si>
  <si>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</si>
  <si>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</si>
  <si>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</si>
  <si>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</si>
  <si>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</si>
  <si>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</si>
  <si>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</si>
  <si>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</si>
  <si>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</si>
  <si>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</si>
  <si>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</si>
  <si>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</si>
  <si>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</si>
  <si>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</si>
  <si>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</si>
  <si>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</si>
  <si>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</si>
  <si>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</si>
  <si>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</si>
  <si>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</si>
  <si>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</si>
  <si>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</si>
  <si>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</si>
  <si>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</si>
  <si>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</si>
  <si>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</si>
  <si>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</si>
  <si>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</si>
  <si>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</si>
  <si>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</si>
  <si>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</si>
  <si>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</si>
  <si>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</si>
  <si>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</si>
  <si>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</si>
  <si>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</si>
  <si>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</si>
  <si>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</si>
  <si>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</si>
  <si>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</si>
  <si>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</si>
  <si>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</si>
  <si>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</si>
  <si>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</si>
  <si>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</si>
  <si>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</si>
  <si>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</si>
  <si>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</si>
  <si>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</si>
  <si>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</si>
  <si>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</si>
  <si>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</si>
  <si>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</si>
  <si>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</si>
  <si>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</si>
  <si>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</si>
  <si>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</si>
  <si>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</si>
  <si>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</si>
  <si>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</si>
  <si>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</si>
  <si>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</si>
  <si>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</si>
  <si>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</si>
  <si>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</si>
  <si>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</si>
  <si>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</si>
  <si>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</si>
  <si>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</si>
  <si>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</si>
  <si>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</si>
  <si>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</si>
  <si>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</si>
  <si>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</si>
  <si>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</si>
  <si>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</si>
  <si>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</si>
  <si>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</si>
  <si>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</si>
  <si>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</si>
  <si>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</si>
  <si>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</si>
  <si>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</si>
  <si>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</si>
  <si>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</si>
  <si>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</si>
  <si>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</si>
  <si>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</si>
  <si>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</si>
  <si>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</si>
  <si>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</si>
  <si>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</si>
  <si>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</si>
  <si>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</si>
  <si>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</si>
  <si>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</si>
  <si>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</si>
  <si>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</si>
  <si>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</si>
  <si>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</si>
  <si>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</si>
  <si>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</si>
  <si>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</si>
  <si>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</si>
  <si>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</si>
  <si>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</si>
  <si>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</si>
  <si>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</si>
  <si>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</si>
  <si>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</si>
  <si>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</si>
  <si>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</si>
  <si>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</si>
  <si>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</si>
  <si>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</si>
  <si>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</si>
  <si>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</si>
  <si>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</si>
  <si>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</si>
  <si>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</si>
  <si>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</si>
  <si>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</si>
  <si>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</si>
  <si>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</si>
  <si>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</si>
  <si>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</si>
  <si>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</si>
  <si>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</si>
  <si>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</si>
  <si>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</si>
  <si>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</si>
  <si>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</si>
  <si>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</si>
  <si>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</si>
  <si>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</si>
  <si>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</si>
  <si>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</si>
  <si>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</si>
  <si>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</si>
  <si>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</si>
  <si>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</si>
  <si>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</si>
  <si>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</si>
  <si>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</si>
  <si>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</si>
  <si>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</si>
  <si>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</si>
  <si>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</si>
  <si>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</si>
  <si>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</si>
  <si>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</si>
  <si>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</si>
  <si>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</si>
  <si>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</si>
  <si>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</si>
  <si>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</si>
  <si>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</si>
  <si>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</si>
  <si>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</si>
  <si>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</si>
  <si>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</si>
  <si>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</si>
  <si>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</si>
  <si>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</si>
  <si>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</si>
  <si>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</si>
  <si>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</si>
  <si>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</si>
  <si>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</si>
  <si>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</si>
  <si>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</si>
  <si>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</si>
  <si>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</si>
  <si>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</si>
  <si>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</si>
  <si>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</si>
  <si>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</si>
  <si>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</si>
  <si>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</si>
  <si>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</si>
  <si>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</si>
  <si>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</si>
  <si>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</si>
  <si>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</si>
  <si>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</si>
  <si>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</si>
  <si>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</si>
  <si>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</si>
  <si>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</si>
  <si>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</si>
  <si>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</si>
  <si>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</si>
  <si>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</si>
  <si>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</si>
  <si>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</si>
  <si>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</si>
  <si>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</si>
  <si>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</si>
  <si>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</si>
  <si>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</si>
  <si>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</si>
  <si>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</si>
  <si>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</si>
  <si>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</si>
  <si>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</si>
  <si>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</si>
  <si>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</si>
  <si>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</si>
  <si>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</si>
  <si>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</si>
  <si>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</si>
  <si>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</si>
  <si>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</si>
  <si>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</si>
  <si>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</si>
  <si>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</si>
  <si>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</si>
  <si>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</si>
  <si>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</si>
  <si>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</si>
  <si>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</si>
  <si>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</si>
  <si>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</si>
  <si>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</si>
  <si>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</si>
  <si>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</si>
  <si>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</si>
  <si>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</si>
  <si>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</si>
  <si>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</si>
  <si>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</si>
  <si>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</si>
  <si>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</si>
  <si>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</si>
  <si>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</si>
  <si>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</si>
  <si>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</si>
  <si>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</si>
  <si>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</si>
  <si>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</si>
  <si>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</si>
  <si>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</si>
  <si>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</si>
  <si>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</si>
  <si>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</si>
  <si>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</si>
  <si>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</si>
  <si>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</si>
  <si>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</si>
  <si>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</si>
  <si>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</si>
  <si>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</si>
  <si>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</si>
  <si>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</si>
  <si>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</si>
  <si>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</si>
  <si>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</si>
  <si>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</si>
  <si>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</si>
  <si>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</si>
  <si>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</si>
  <si>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</si>
  <si>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</si>
  <si>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</si>
  <si>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</si>
  <si>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</si>
  <si>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</si>
  <si>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</si>
  <si>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</si>
  <si>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</si>
  <si>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</si>
  <si>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</si>
  <si>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</si>
  <si>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</si>
  <si>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</si>
  <si>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</si>
  <si>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</si>
  <si>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</si>
  <si>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</si>
  <si>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</si>
  <si>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</si>
  <si>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</si>
  <si>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</si>
  <si>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</si>
  <si>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</si>
  <si>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</si>
  <si>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</si>
  <si>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</si>
  <si>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</si>
  <si>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</si>
  <si>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</si>
  <si>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</si>
  <si>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</si>
  <si>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</si>
  <si>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</si>
  <si>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</si>
  <si>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</si>
  <si>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</si>
  <si>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</si>
  <si>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</si>
  <si>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</si>
  <si>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</si>
  <si>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</si>
  <si>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</si>
  <si>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</si>
  <si>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</si>
  <si>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</si>
  <si>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</si>
  <si>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</si>
  <si>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</si>
  <si>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</si>
  <si>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</si>
  <si>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</si>
  <si>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</si>
  <si>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</si>
  <si>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</si>
  <si>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</si>
  <si>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</si>
  <si>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</si>
  <si>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</si>
  <si>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</si>
  <si>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</si>
  <si>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</si>
  <si>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</si>
  <si>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</si>
  <si>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</si>
  <si>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</si>
  <si>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</si>
  <si>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</si>
  <si>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</si>
  <si>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</si>
  <si>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</si>
  <si>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</si>
  <si>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</si>
  <si>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</si>
  <si>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</si>
  <si>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</si>
  <si>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</si>
  <si>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</si>
  <si>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</si>
  <si>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</si>
  <si>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</si>
  <si>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</si>
  <si>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</si>
  <si>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</si>
  <si>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</si>
  <si>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</si>
  <si>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</si>
  <si>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</si>
  <si>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</si>
  <si>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</si>
  <si>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</si>
  <si>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</si>
  <si>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</si>
  <si>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</si>
  <si>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</si>
  <si>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</si>
  <si>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</si>
  <si>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</si>
  <si>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</si>
  <si>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</si>
  <si>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</si>
  <si>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</si>
  <si>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</si>
  <si>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</si>
  <si>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</si>
  <si>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</si>
  <si>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</si>
  <si>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</si>
  <si>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</si>
  <si>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</si>
  <si>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</si>
  <si>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</si>
  <si>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</si>
  <si>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</si>
  <si>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</si>
  <si>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</si>
  <si>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</si>
  <si>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</si>
  <si>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</si>
  <si>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</si>
  <si>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</si>
  <si>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</si>
  <si>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</si>
  <si>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</si>
  <si>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</si>
  <si>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</si>
  <si>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</si>
  <si>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</si>
  <si>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</si>
  <si>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</si>
  <si>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</si>
  <si>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</si>
  <si>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</si>
  <si>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</si>
  <si>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</si>
  <si>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</si>
  <si>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</si>
  <si>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</si>
  <si>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</si>
  <si>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</si>
  <si>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</si>
  <si>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</si>
  <si>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</si>
  <si>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</si>
  <si>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</si>
  <si>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</si>
  <si>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</si>
  <si>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</si>
  <si>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</si>
  <si>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</si>
  <si>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</si>
  <si>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</si>
  <si>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</si>
  <si>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</si>
  <si>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</si>
  <si>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</si>
  <si>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</si>
  <si>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</si>
  <si>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</si>
  <si>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</si>
  <si>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</si>
  <si>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</si>
  <si>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</si>
  <si>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</si>
  <si>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</si>
  <si>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</si>
  <si>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</si>
  <si>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</si>
  <si>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</si>
  <si>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</si>
  <si>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</si>
  <si>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</si>
  <si>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</si>
  <si>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</si>
  <si>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</si>
  <si>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</si>
  <si>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</si>
  <si>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</si>
  <si>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</si>
  <si>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</si>
  <si>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</si>
  <si>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</si>
  <si>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</si>
  <si>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</si>
  <si>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</si>
  <si>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</si>
  <si>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</si>
  <si>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</si>
  <si>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</si>
  <si>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</si>
  <si>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</si>
  <si>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</si>
  <si>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</si>
  <si>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</si>
  <si>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</si>
  <si>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</si>
  <si>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</si>
  <si>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</si>
  <si>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</si>
  <si>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</si>
  <si>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</si>
  <si>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</si>
  <si>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</si>
  <si>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</si>
  <si>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</si>
  <si>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</si>
  <si>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</si>
  <si>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</si>
  <si>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</si>
  <si>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</si>
  <si>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</si>
  <si>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</si>
  <si>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</si>
  <si>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</si>
  <si>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</si>
  <si>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</si>
  <si>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</si>
  <si>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</si>
  <si>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</si>
  <si>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</si>
  <si>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</si>
  <si>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</si>
  <si>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</si>
  <si>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</si>
  <si>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</si>
  <si>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</si>
  <si>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</si>
  <si>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</si>
  <si>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</si>
  <si>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</si>
  <si>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</si>
  <si>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</si>
  <si>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</si>
  <si>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</si>
  <si>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</si>
  <si>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</si>
  <si>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</si>
  <si>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</si>
  <si>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</si>
  <si>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</si>
  <si>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</si>
  <si>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</si>
  <si>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</si>
  <si>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</si>
  <si>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</si>
  <si>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</si>
  <si>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</si>
  <si>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</si>
  <si>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</si>
  <si>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</si>
  <si>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</si>
  <si>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</si>
  <si>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</si>
  <si>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</si>
  <si>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</si>
  <si>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</si>
  <si>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</si>
  <si>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</si>
  <si>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</si>
  <si>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</si>
  <si>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</si>
  <si>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</si>
  <si>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</si>
  <si>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</si>
  <si>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</si>
  <si>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</si>
  <si>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</si>
  <si>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</si>
  <si>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</si>
  <si>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</si>
  <si>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</si>
  <si>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</si>
  <si>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</si>
  <si>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</si>
  <si>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</si>
  <si>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</si>
  <si>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</si>
  <si>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</si>
  <si>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</si>
  <si>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</si>
  <si>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</si>
  <si>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</si>
  <si>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</si>
  <si>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</si>
  <si>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</si>
  <si>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</si>
  <si>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</si>
  <si>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</si>
  <si>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</si>
  <si>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</si>
  <si>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</si>
  <si>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</si>
  <si>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</si>
  <si>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</si>
  <si>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</si>
  <si>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</si>
  <si>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</si>
  <si>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</si>
  <si>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</si>
  <si>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</si>
  <si>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</si>
  <si>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</si>
  <si>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</si>
  <si>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</si>
  <si>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</si>
  <si>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</si>
  <si>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</si>
  <si>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</si>
  <si>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</si>
  <si>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</si>
  <si>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</si>
  <si>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</si>
  <si>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</si>
  <si>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</si>
  <si>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</si>
  <si>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</si>
  <si>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</si>
  <si>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</si>
  <si>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</si>
  <si>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</si>
  <si>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</si>
  <si>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</si>
  <si>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</si>
  <si>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</si>
  <si>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</si>
  <si>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</si>
  <si>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</si>
  <si>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</si>
  <si>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</si>
  <si>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</si>
  <si>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</si>
  <si>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</si>
  <si>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</si>
  <si>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</si>
  <si>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</si>
  <si>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</si>
  <si>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</si>
  <si>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</si>
  <si>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</si>
  <si>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</si>
  <si>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</si>
  <si>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</si>
  <si>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</si>
  <si>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</si>
  <si>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</si>
  <si>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</si>
  <si>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</si>
  <si>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</si>
  <si>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</si>
  <si>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</si>
  <si>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</si>
  <si>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</si>
  <si>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</si>
  <si>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</si>
  <si>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</si>
  <si>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</si>
  <si>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</si>
  <si>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</si>
  <si>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</si>
  <si>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</si>
  <si>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</si>
  <si>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</si>
  <si>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</si>
  <si>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</si>
  <si>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</si>
  <si>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</si>
  <si>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</si>
  <si>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</si>
  <si>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</si>
  <si>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</si>
  <si>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</si>
  <si>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</si>
  <si>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</si>
  <si>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</si>
  <si>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</si>
  <si>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</si>
  <si>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</si>
  <si>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</si>
  <si>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</si>
  <si>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</si>
  <si>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</si>
  <si>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</si>
  <si>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</si>
  <si>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</si>
  <si>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</si>
  <si>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Order Year</t>
  </si>
  <si>
    <t>Order Month</t>
  </si>
  <si>
    <t>Order Quarter</t>
  </si>
  <si>
    <t>Order Weekday</t>
  </si>
  <si>
    <t>Shipping Delay (Days)</t>
  </si>
  <si>
    <t>Unit Price</t>
  </si>
  <si>
    <t>Profit Margin %</t>
  </si>
  <si>
    <t>Discount Tier</t>
  </si>
  <si>
    <t>Revenue Band</t>
  </si>
  <si>
    <t>Order Size Category</t>
  </si>
  <si>
    <t>Profitability Status</t>
  </si>
  <si>
    <t>Performance Level</t>
  </si>
  <si>
    <t>Customer Type</t>
  </si>
  <si>
    <t>Delivery Speed Category</t>
  </si>
  <si>
    <t>PIVOT-STYLE SUMMARY TABLES</t>
  </si>
  <si>
    <t>Built entirely with SUMIFS / COUNTIFS / AVERAGEIFS against the Enriched Data table (live, recalculates automatically).</t>
  </si>
  <si>
    <t>1. Performance by Category</t>
  </si>
  <si>
    <t>Total Sales</t>
  </si>
  <si>
    <t>Total Profit</t>
  </si>
  <si>
    <t>Order Lines</t>
  </si>
  <si>
    <t>2. Performance by Sub-Category</t>
  </si>
  <si>
    <t>3. Performance by Region</t>
  </si>
  <si>
    <t>Avg Order Value</t>
  </si>
  <si>
    <t>4. Performance by Customer Segment</t>
  </si>
  <si>
    <t>5. Performance by Ship Mode</t>
  </si>
  <si>
    <t>6. Yearly Sales &amp; Profit Trend</t>
  </si>
  <si>
    <t>Year</t>
  </si>
  <si>
    <t>YoY Sales Growth %</t>
  </si>
  <si>
    <t>7. Top 10 States by Sales</t>
  </si>
  <si>
    <t>8. Seasonality - Performance by Quarter (All Years Combined)</t>
  </si>
  <si>
    <t>Quarter</t>
  </si>
  <si>
    <t>Q1</t>
  </si>
  <si>
    <t>Q2</t>
  </si>
  <si>
    <t>Q3</t>
  </si>
  <si>
    <t>Q4</t>
  </si>
  <si>
    <t>RETAIL SALES PERFORMANCE — EXECUTIVE KPI DASHBOARD</t>
  </si>
  <si>
    <t>US Superstore Retail Dataset | Period: 2014 - 2017 | All figures in USD</t>
  </si>
  <si>
    <t>TOTAL SALES</t>
  </si>
  <si>
    <t>TOTAL PROFIT</t>
  </si>
  <si>
    <t>OVERALL PROFIT MARGIN</t>
  </si>
  <si>
    <t>TOTAL ORDERS (DISTINCT)</t>
  </si>
  <si>
    <t>AVERAGE ORDER VALUE</t>
  </si>
  <si>
    <t>AVERAGE DISCOUNT RATE</t>
  </si>
  <si>
    <t>TOTAL UNIQUE CUSTOMERS</t>
  </si>
  <si>
    <t>LOSS-MAKING ORDER LINES %</t>
  </si>
  <si>
    <t>Note: KPI cards are 100% formula-driven from the Enriched Data table — they update automatically if the underlying data changes.</t>
  </si>
  <si>
    <t>BUSINESS QUESTIONS &amp; ANSWERS</t>
  </si>
  <si>
    <t>40 questions, beginner to advanced, answered with real figures. Source = Summary Tables / Enriched Data.</t>
  </si>
  <si>
    <t>Level</t>
  </si>
  <si>
    <t>Business Question</t>
  </si>
  <si>
    <t>Answer</t>
  </si>
  <si>
    <t>Supporting Sheet / Method</t>
  </si>
  <si>
    <t>Beginner</t>
  </si>
  <si>
    <t>What is the total revenue generated across all orders?</t>
  </si>
  <si>
    <t>Total Sales = $241,131 across 1,000 order lines (479 distinct orders), 2014-2017.</t>
  </si>
  <si>
    <t>KPI Dashboard - Total Sales card</t>
  </si>
  <si>
    <t>What is the total profit generated?</t>
  </si>
  <si>
    <t>Total Profit = $18,746, an overall blended profit margin of 7.8% on sales.</t>
  </si>
  <si>
    <t>KPI Dashboard - Total Profit / Margin cards</t>
  </si>
  <si>
    <t>Which product category generates the most sales?</t>
  </si>
  <si>
    <t>Technology leads with $93,500 (38.8% of total sales), ahead of Furniture ($79,378) and Office Supplies ($68,253).</t>
  </si>
  <si>
    <t>Summary Tables - Section 1</t>
  </si>
  <si>
    <t>Which category is the most profitable?</t>
  </si>
  <si>
    <t>Office Supplies is most profitable in absolute terms ($12,471, 18.3% margin); Technology contributes $8,017 at 8.6% margin.</t>
  </si>
  <si>
    <t>Which category is losing money?</t>
  </si>
  <si>
    <t>Furniture is the only category with a negative overall margin (-2.2%), losing $1,742 despite $79,378 in sales.</t>
  </si>
  <si>
    <t>Which region generates the most sales?</t>
  </si>
  <si>
    <t>The West region leads with $71,065 in sales, followed by Central ($67,010), East ($59,492) and South ($43,564).</t>
  </si>
  <si>
    <t>Summary Tables - Section 3</t>
  </si>
  <si>
    <t>Which region is the most profitable?</t>
  </si>
  <si>
    <t>West is both the top-selling and most profitable region (15.4% margin, $10,925 profit) - more than 4x Central's margin.</t>
  </si>
  <si>
    <t>Summary Tables - Section 3 / KPI Dashboard pie chart</t>
  </si>
  <si>
    <t>Which customer segment spends the most?</t>
  </si>
  <si>
    <t>The Consumer segment drives the most revenue ($118,554, 49% of sales), followed by Corporate ($70,821) and Home Office ($51,755).</t>
  </si>
  <si>
    <t>Summary Tables - Section 4</t>
  </si>
  <si>
    <t>Which segment is the most profitable (by margin)?</t>
  </si>
  <si>
    <t>Home Office customers convert best, with a 14.3% profit margin vs. 7.9% (Consumer) and just 2.8% (Corporate).</t>
  </si>
  <si>
    <t>How many unique customers are in the dataset?</t>
  </si>
  <si>
    <t>362 unique customers placed 479 distinct orders (1,000 line items), averaging ~1.3 orders per customer.</t>
  </si>
  <si>
    <t>KPI Dashboard - Unique Customers card</t>
  </si>
  <si>
    <t>What is the Average Order Value (AOV)?</t>
  </si>
  <si>
    <t>AOV = Total Sales / Distinct Orders = $241,131 / 479 = $503.40 per order.</t>
  </si>
  <si>
    <t>KPI Dashboard - AOV card</t>
  </si>
  <si>
    <t>What is the average discount given?</t>
  </si>
  <si>
    <t>The average discount across all line items is 16.3%, though 46.3% of line items carry no discount at all.</t>
  </si>
  <si>
    <t>KPI Dashboard - Avg Discount card</t>
  </si>
  <si>
    <t>What is the most-used shipping method?</t>
  </si>
  <si>
    <t>Standard Class is used on 60%+ of line items and carries $141,145 in sales - by far the dominant fulfilment method.</t>
  </si>
  <si>
    <t>Summary Tables - Section 5</t>
  </si>
  <si>
    <t>Which sub-category sells the most?</t>
  </si>
  <si>
    <t>Phones, Chairs and Machines are the top revenue sub-categories, each exceeding $30,000 in sales.</t>
  </si>
  <si>
    <t>Summary Tables - Section 2</t>
  </si>
  <si>
    <t>Which sub-category is the least profitable?</t>
  </si>
  <si>
    <t>Machines is the single worst-performing sub-category at -$4,951 profit, followed by Tables (-$3,452) and Bookcases (-$1,972).</t>
  </si>
  <si>
    <t>Which sub-category is the most profitable?</t>
  </si>
  <si>
    <t>Accessories generates the most absolute profit ($5,300, 25.9% margin), followed by Binders ($4,914) and Phones ($4,006).</t>
  </si>
  <si>
    <t>What is the average shipping delay?</t>
  </si>
  <si>
    <t>Orders take an average of 4.0 days from order date to ship date across all ship modes.</t>
  </si>
  <si>
    <t>Enriched Data - Shipping Delay column</t>
  </si>
  <si>
    <t>Which state generates the most sales?</t>
  </si>
  <si>
    <t>California leads all states with $40,979 in sales, followed by Texas ($30,243) and New York ($28,867).</t>
  </si>
  <si>
    <t>Summary Tables - Section 7</t>
  </si>
  <si>
    <t>How many distinct products are sold?</t>
  </si>
  <si>
    <t>764 distinct Product IDs appear across 1,000 order lines - most products are ordered only once or twice.</t>
  </si>
  <si>
    <t>What proportion of orders include a discount?</t>
  </si>
  <si>
    <t>53.7% of order lines carry a non-zero discount; the remaining 46.3% are sold at full price.</t>
  </si>
  <si>
    <t>Enriched Data - Discount Tier column</t>
  </si>
  <si>
    <t>Intermediate</t>
  </si>
  <si>
    <t>How does sales performance trend year over year?</t>
  </si>
  <si>
    <t>Sales peaked in 2014 ($68,527) then dipped in 2015 (-32%) before recovering through 2016-2017 (~$60-66K/yr); profit follows a similar but noisier pattern.</t>
  </si>
  <si>
    <t>Summary Tables - Section 6 / KPI Dashboard line chart</t>
  </si>
  <si>
    <t>Is there seasonality in sales?</t>
  </si>
  <si>
    <t>Q4 (Oct-Dec) is the strongest quarter, and November-December alone account for 36% of full-year sales - a clear holiday-driven seasonal pattern.</t>
  </si>
  <si>
    <t>Summary Tables - Section 8</t>
  </si>
  <si>
    <t>Which day of the week drives the most sales?</t>
  </si>
  <si>
    <t>Monday ($47,359) and Sunday ($46,417) are the highest-selling days, notably outperforming mid-week Tuesday/Wednesday.</t>
  </si>
  <si>
    <t>Enriched Data - Order Weekday column (pivot)</t>
  </si>
  <si>
    <t>How does discount level affect profitability?</t>
  </si>
  <si>
    <t>Line items with discounts above 40% show a -63% average profit margin, while undiscounted items average +31% margin - discounting is the single strongest driver of losses.</t>
  </si>
  <si>
    <t>Enriched Data - Discount Tier / Profit Margin columns</t>
  </si>
  <si>
    <t>Does a higher discount correlate with lower profit?</t>
  </si>
  <si>
    <t>Yes - discount and profit show a moderate negative correlation (r approx -0.25); profit does not scale with sales once heavy discounting is involved.</t>
  </si>
  <si>
    <t>Enriched Data - Discount % vs Profit</t>
  </si>
  <si>
    <t>Which ship mode is least profitable?</t>
  </si>
  <si>
    <t>Same Day shipping is the only ship mode with a net loss (-$2,833 total profit) despite carrying $13,989 in sales - premium speed isn't being priced to cover cost/discount.</t>
  </si>
  <si>
    <t>What is the average delivery delay by ship mode?</t>
  </si>
  <si>
    <t>Same Day averages 0 days (as expected), First Class 2.2 days, Second Class 3.2 days, and Standard Class 5.0 days.</t>
  </si>
  <si>
    <t>Enriched Data - Shipping Delay by Ship Mode</t>
  </si>
  <si>
    <t>What share of customers are repeat buyers?</t>
  </si>
  <si>
    <t>Using order-line frequency as a proxy, roughly 67% of customers (242 of 362) appear more than once in the dataset, indicating strong repeat-purchase behavior.</t>
  </si>
  <si>
    <t>Enriched Data - Customer Type column</t>
  </si>
  <si>
    <t>Which region has the weakest margin?</t>
  </si>
  <si>
    <t>Central region has the weakest margin at just 3.2%, despite being the #2 region by sales volume ($67,010) - a volume-without-profitability pattern.</t>
  </si>
  <si>
    <t>How concentrated is revenue among top customers?</t>
  </si>
  <si>
    <t>The top 5 customers alone contributed over $35,000 (~15% of total sales), led by Becky Martin at $10,540 - meaningful customer concentration risk.</t>
  </si>
  <si>
    <t>Enriched Data - pivot by Customer Name</t>
  </si>
  <si>
    <t>Are small orders (&lt;$50) a meaningful share of the business?</t>
  </si>
  <si>
    <t>No - orders under $50 make up only 3.9% of total sales, confirming this business is driven by mid-to-large transactions, not micro-purchases.</t>
  </si>
  <si>
    <t>Enriched Data - Revenue Band column</t>
  </si>
  <si>
    <t>How does order size (quantity) relate to category?</t>
  </si>
  <si>
    <t>Technology and Office Supplies purchases skew toward smaller, higher-value baskets, while Furniture purchases trend toward fewer, larger-ticket items.</t>
  </si>
  <si>
    <t>Enriched Data - Order Size Category (pivot)</t>
  </si>
  <si>
    <t>Which sub-categories should be reviewed for pricing/cost?</t>
  </si>
  <si>
    <t>Machines, Tables and Bookcases are all net-loss sub-categories - all three sit in Furniture/Technology-adjacent big-ticket items prone to heavy discounting.</t>
  </si>
  <si>
    <t>Advanced</t>
  </si>
  <si>
    <t>What is the estimated business impact of capping discounts at 20% on loss-making sub-categories?</t>
  </si>
  <si>
    <t>Machines, Tables and Bookcases together lose $10,375; since &gt;40%-discounted lines average -63% margin, capping discounts near 20% on these sub-categories could plausibly convert much of that loss into breakeven-or-better performance (directional estimate, not a guarantee).</t>
  </si>
  <si>
    <t>Enriched Data - Discount Tier x Sub-Category cross-analysis</t>
  </si>
  <si>
    <t>Which region-category combination is the strongest growth opportunity?</t>
  </si>
  <si>
    <t>West + Technology stands out - West already has the highest regional margin (15.4%) and Technology is the top revenue category (38.8% share), suggesting compounding upside from targeted West-region Technology promotion.</t>
  </si>
  <si>
    <t>Summary Tables - Sections 1 &amp; 3 cross-read</t>
  </si>
  <si>
    <t>Is the Same Day shipping option commercially viable as priced today?</t>
  </si>
  <si>
    <t>No - it is the only shipping tier operating at a net loss (-$2,833). Either the surcharge needs to increase, or Same Day should be restricted to high-margin, low-discount orders.</t>
  </si>
  <si>
    <t>Does customer segment moderate the effect of discounting on margin?</t>
  </si>
  <si>
    <t>Corporate customers combine the lowest segment margin (2.8%) with typically negotiated/higher discounting, suggesting Corporate discount policy - not product mix - is the main margin drag for that segment.</t>
  </si>
  <si>
    <t>Enriched Data - Segment x Discount Tier cross-analysis</t>
  </si>
  <si>
    <t>What would be the projected margin uplift from re-balancing category mix toward Office Supplies?</t>
  </si>
  <si>
    <t>Office Supplies already delivers the highest category margin (18.3%) on 28% of sales; a 5-point revenue-mix shift from Furniture into Office Supplies (holding totals constant) would improve blended margin by roughly 1 percentage point - a useful but not transformative lever.</t>
  </si>
  <si>
    <t>Summary Tables - Section 1 (scenario calc)</t>
  </si>
  <si>
    <t>Which KPI best predicts a loss-making order line?</t>
  </si>
  <si>
    <t>Discount rate is the strongest single predictor available in this dataset - orders above ~40% discount are loss-making far more consistently than any category, region, or ship-mode split alone.</t>
  </si>
  <si>
    <t>Enriched Data - Profitability Status vs Discount Tier</t>
  </si>
  <si>
    <t>How should the sales calendar inform inventory/staffing planning?</t>
  </si>
  <si>
    <t>With 36% of annual sales concentrated in Nov-Dec and Monday/Sunday as peak order days, inventory build-up and fulfilment staffing should be weighted toward Q4 and front-loaded into the start of each week.</t>
  </si>
  <si>
    <t>Summary Tables - Section 8 / Enriched Data weekday pivot</t>
  </si>
  <si>
    <t>What is the single highest-leverage recommendation this dataset supports?</t>
  </si>
  <si>
    <t>Introducing a discount governance rule (e.g., manager approval above 20-30%) targeted at Furniture and Machines would address the largest, most concentrated source of profit erosion identified in the data.</t>
  </si>
  <si>
    <t>Cross-sheet synthesis - see Insights &amp; Recommendations</t>
  </si>
  <si>
    <t>BUSINESS INSIGHTS &amp; STRATEGIC RECOMMENDATIONS</t>
  </si>
  <si>
    <t>25 data-driven insights, each paired with the recommendation it supports.</t>
  </si>
  <si>
    <t>Insight</t>
  </si>
  <si>
    <t>Strategic Recommendation</t>
  </si>
  <si>
    <t>Impact / Priority</t>
  </si>
  <si>
    <t>Technology is the company's largest revenue engine, generating $93,500 (38.8% of total sales) at a solid 8.6% margin.</t>
  </si>
  <si>
    <t>Protect and grow Technology's share of shelf/marketing spend; it is the category most able to absorb further growth investment without margin risk.</t>
  </si>
  <si>
    <t>High</t>
  </si>
  <si>
    <t>Furniture is the only product category operating at a net loss overall (-2.2% margin, -$1,742), dragging down blended profitability.</t>
  </si>
  <si>
    <t>Commission a Furniture-specific pricing and cost review before the next planning cycle; do not scale Furniture marketing until margin is fixed.</t>
  </si>
  <si>
    <t>Within Furniture, Tables and Bookcases are individually loss-making, while Chairs remains profitable - the category's problem is concentrated, not universal.</t>
  </si>
  <si>
    <t>Ring-fence Tables and Bookcases for supplier renegotiation or SKU rationalization rather than treating all of Furniture as underperforming.</t>
  </si>
  <si>
    <t>Machines is the single worst sub-category company-wide (-$4,951 profit) despite meaningful sales ($32,622).</t>
  </si>
  <si>
    <t>Freeze further discount authority on Machines and review vendor cost basis; this SKU group alone offsets over a quarter of total company profit.</t>
  </si>
  <si>
    <t>Discount rate is the strongest observed driver of unprofitability: lines discounted above 40% average -63% margin, versus +31% for full-price lines.</t>
  </si>
  <si>
    <t>Introduce a discount-approval threshold (e.g., manager sign-off above 20-30%) enforced at the point of sale, prioritized for Furniture and Machines.</t>
  </si>
  <si>
    <t>Same Day shipping is the only delivery tier that is unprofitable overall (-$2,833), despite presumably carrying a premium price position.</t>
  </si>
  <si>
    <t>Re-price or restrict Same Day shipping eligibility (e.g., minimum order value or margin floor) so premium speed doesn't erode premium price.</t>
  </si>
  <si>
    <t>The West region combines the highest sales ($71,065) with the highest margin (15.4%) - it is the business's best-performing market on every axis measured.</t>
  </si>
  <si>
    <t>Use West as the template region: replicate its category mix, discount discipline, and channel approach when planning expansion in other regions.</t>
  </si>
  <si>
    <t>Medium</t>
  </si>
  <si>
    <t>Central region ranks #2 in sales ($67,010) but has the weakest margin of any region (3.2%) - high volume is not translating into profit.</t>
  </si>
  <si>
    <t>Audit Central's discounting and cost-to-serve; investigate whether promotional intensity or fulfilment cost is eroding otherwise-healthy sales volume.</t>
  </si>
  <si>
    <t>Home Office customers convert best of any segment (14.3% margin) despite being the smallest segment by revenue ($51,755).</t>
  </si>
  <si>
    <t>Test increased marketing investment toward Home Office acquisition - it is currently under-weighted relative to its profitability.</t>
  </si>
  <si>
    <t>Corporate customers generate strong revenue ($70,821) but the weakest segment margin (2.8%), likely reflecting negotiated B2B discounting.</t>
  </si>
  <si>
    <t>Review Corporate account-level discount terms; consider tiered pricing based on order volume rather than a flat negotiated rate.</t>
  </si>
  <si>
    <t>Consumer is the largest segment by revenue (49% of sales) and sits at a moderate, sustainable 7.9% margin.</t>
  </si>
  <si>
    <t>Maintain current Consumer strategy as the revenue backbone; it needs stability and retention focus more than a margin overhaul.</t>
  </si>
  <si>
    <t>Monitor</t>
  </si>
  <si>
    <t>Sales show clear seasonality: November-December alone account for 36% of annual revenue.</t>
  </si>
  <si>
    <t>Align inventory build, staffing, and cash-flow planning to a Q4-weighted calendar; under-stocking in Q4 carries outsized revenue risk.</t>
  </si>
  <si>
    <t>2015 saw a marked sales dip (-32% vs 2014) before recovering through 2016-2017 - performance is not a smooth upward trend.</t>
  </si>
  <si>
    <t>Investigate what changed structurally in 2015 (pricing, assortment, or market conditions) so the same dip isn't repeated in future planning cycles.</t>
  </si>
  <si>
    <t>Monday and Sunday are the two highest-selling days of the week, ahead of traditional mid-week peaks.</t>
  </si>
  <si>
    <t>Schedule promotional pushes and customer-service staffing to front-load the week rather than assuming a mid-week peak.</t>
  </si>
  <si>
    <t>Average shipping delay is 4.0 days overall, but Standard Class alone averages 5.0 days versus 2.2 for First Class.</t>
  </si>
  <si>
    <t>If Standard Class delay is a customer-satisfaction risk, evaluate a modest fulfilment-speed improvement rather than only pushing customers to costlier tiers.</t>
  </si>
  <si>
    <t>53.7% of all order lines carry some discount, and heavy discounting (&gt;40%) appears on 105 of 1,000 lines (10.5%) - not rare, but not the norm either.</t>
  </si>
  <si>
    <t>Focus discount-governance efforts on that ~10% of heavily-discounted lines first; it is a targeted fix, not a company-wide pricing overhaul.</t>
  </si>
  <si>
    <t>Roughly two-thirds of customers (67%) show more than one purchase in the dataset, indicating a healthy base of repeat buyers.</t>
  </si>
  <si>
    <t>Invest in a formal loyalty/repeat-purchase program - the behavior already exists organically and is worth reinforcing with structure and incentives.</t>
  </si>
  <si>
    <t>Revenue is meaningfully concentrated: the top 5 customers alone contribute roughly 15% of total sales.</t>
  </si>
  <si>
    <t>Assign named account management to the top-tier customers to protect against concentration risk from any single customer churning.</t>
  </si>
  <si>
    <t>Orders under $50 make up only 3.9% of total sales - this is not a business built on micro-transactions.</t>
  </si>
  <si>
    <t>Deprioritize small-basket promotional mechanics (e.g., free-shipping-on-any-order) in favor of incentives that grow average basket size.</t>
  </si>
  <si>
    <t>Accessories is a standout sub-category: strong revenue ($20,481) paired with the best margin among high-volume sub-categories (25.9%).</t>
  </si>
  <si>
    <t>Feature Accessories more prominently in cross-sell and bundle offers alongside Technology and Office Supplies purchases.</t>
  </si>
  <si>
    <t>Copiers has the highest margin of any sub-category (39.1%) despite modest volume (6 order lines, $9,360 sales) - a high-value, low-frequency product.</t>
  </si>
  <si>
    <t>Explore whether Copiers is under-marketed relative to its margin profile; even modest volume growth here is highly profit-accretive.</t>
  </si>
  <si>
    <t>California, Texas and New York together account for roughly 42% of total state-level sales.</t>
  </si>
  <si>
    <t>Prioritize these three states for regional fulfilment/logistics investment, since they already anchor a disproportionate share of revenue.</t>
  </si>
  <si>
    <t>Office Supplies delivers the best category-level margin (18.3%) on the smallest average order size - it is a stable, low-risk profit contributor.</t>
  </si>
  <si>
    <t>Treat Office Supplies as the margin 'ballast' of the portfolio; protect its discount discipline even while growth focus goes to Technology.</t>
  </si>
  <si>
    <t>The data shows no missing values, duplicates, or logical date errors - the underlying operational and order-capture process is clean and trustworthy.</t>
  </si>
  <si>
    <t>Data quality is not currently a risk to decision-making; analytics investment can focus on deeper modeling rather than remediation.</t>
  </si>
  <si>
    <t>Taken together, discounting - not category, region, or segment alone - is the common thread across every major loss driver identified (Furniture, Machines, Same Day, Central region).</t>
  </si>
  <si>
    <t>Elevate discount governance to a company-wide policy initiative; it is the single highest-leverage lever available in this dataset to close the profitability gap.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</si>
</sst>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\$#,##0.00"/>
    <numFmt numFmtId="166" formatCode="0.0%"/>
    <numFmt numFmtId="167" formatCode="\$#,##0"/>
  </numFmts>
  <fonts count="19" x14ac:knownFonts="1">
    <font>
      <sz val="11"/>
      <color theme="1"/>
      <name val="Calibri"/>
      <family val="2"/>
      <charset val="1"/>
    </font>
    <font>
      <b/>
      <sz val="20"/>
      <color rgb="FF1F3864"/>
      <name val="Calibri"/>
      <charset val="1"/>
    </font>
    <font>
      <i/>
      <sz val="10"/>
      <color rgb="FF595959"/>
      <name val="Calibri"/>
      <charset val="1"/>
    </font>
    <font>
      <sz val="10.5"/>
      <name val="Calibri"/>
      <charset val="1"/>
    </font>
    <font>
      <b/>
      <sz val="12"/>
      <color rgb="FF2E5395"/>
      <name val="Calibri"/>
      <charset val="1"/>
    </font>
    <font>
      <b/>
      <sz val="11"/>
      <name val="Calibri"/>
      <charset val="1"/>
    </font>
    <font>
      <b/>
      <sz val="11"/>
      <color rgb="FF2E5395"/>
      <name val="Calibri"/>
      <charset val="1"/>
    </font>
    <font>
      <b/>
      <sz val="16"/>
      <color rgb="FF1F3864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i/>
      <sz val="10.5"/>
      <name val="Calibri"/>
      <charset val="1"/>
    </font>
    <font>
      <b/>
      <sz val="10"/>
      <color rgb="FFFFFFFF"/>
      <name val="Calibri"/>
      <charset val="1"/>
    </font>
    <font>
      <b/>
      <sz val="12"/>
      <color rgb="FFFFFFFF"/>
      <name val="Calibri"/>
      <charset val="1"/>
    </font>
    <font>
      <b/>
      <sz val="18"/>
      <color rgb="FF1F3864"/>
      <name val="Calibri"/>
      <charset val="1"/>
    </font>
    <font>
      <i/>
      <sz val="10.5"/>
      <color rgb="FF595959"/>
      <name val="Calibri"/>
      <charset val="1"/>
    </font>
    <font>
      <b/>
      <sz val="9.5"/>
      <color rgb="FFFFFFFF"/>
      <name val="Calibri"/>
      <charset val="1"/>
    </font>
    <font>
      <i/>
      <sz val="9"/>
      <color rgb="FF808080"/>
      <name val="Calibri"/>
      <charset val="1"/>
    </font>
    <font>
      <b/>
      <sz val="10"/>
      <name val="Calibri"/>
      <charset val="1"/>
    </font>
    <font>
      <i/>
      <sz val="9.5"/>
      <color rgb="FF595959"/>
      <name val="Calibri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F2F2F2"/>
        <bgColor rgb="FFE2EFDA"/>
      </patternFill>
    </fill>
    <fill>
      <patternFill patternType="solid">
        <fgColor rgb="FF375623"/>
        <bgColor rgb="FF595959"/>
      </patternFill>
    </fill>
    <fill>
      <patternFill patternType="solid">
        <fgColor rgb="FF2E5395"/>
        <bgColor rgb="FF1F3864"/>
      </patternFill>
    </fill>
    <fill>
      <patternFill patternType="solid">
        <fgColor rgb="FF2E7D32"/>
        <bgColor rgb="FF008000"/>
      </patternFill>
    </fill>
    <fill>
      <patternFill patternType="solid">
        <fgColor rgb="FFD9E2F3"/>
        <bgColor rgb="FFD1ECF1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FF3CD"/>
      </patternFill>
    </fill>
    <fill>
      <patternFill patternType="solid">
        <fgColor rgb="FFFCE4EC"/>
        <bgColor rgb="FFF8D7DA"/>
      </patternFill>
    </fill>
    <fill>
      <patternFill patternType="solid">
        <fgColor rgb="FFF8D7DA"/>
        <bgColor rgb="FFFCE4EC"/>
      </patternFill>
    </fill>
    <fill>
      <patternFill patternType="solid">
        <fgColor rgb="FFFFF3CD"/>
        <bgColor rgb="FFFFF2CC"/>
      </patternFill>
    </fill>
    <fill>
      <patternFill patternType="solid">
        <fgColor rgb="FFD1ECF1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1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1" fillId="4" borderId="0" xfId="0" applyFont="1" applyFill="1" applyAlignment="1">
      <alignment horizontal="center" vertical="center" wrapText="1"/>
    </xf>
    <xf numFmtId="1" fontId="0" fillId="0" borderId="0" xfId="0" applyNumberFormat="1"/>
    <xf numFmtId="0" fontId="11" fillId="2" borderId="2" xfId="0" applyFont="1" applyFill="1" applyBorder="1" applyAlignment="1">
      <alignment horizontal="center" wrapText="1"/>
    </xf>
    <xf numFmtId="0" fontId="9" fillId="3" borderId="2" xfId="0" applyFont="1" applyFill="1" applyBorder="1"/>
    <xf numFmtId="167" fontId="9" fillId="3" borderId="2" xfId="0" applyNumberFormat="1" applyFont="1" applyFill="1" applyBorder="1"/>
    <xf numFmtId="166" fontId="9" fillId="3" borderId="2" xfId="0" applyNumberFormat="1" applyFont="1" applyFill="1" applyBorder="1"/>
    <xf numFmtId="0" fontId="9" fillId="0" borderId="2" xfId="0" applyFont="1" applyBorder="1"/>
    <xf numFmtId="167" fontId="9" fillId="0" borderId="2" xfId="0" applyNumberFormat="1" applyFont="1" applyBorder="1"/>
    <xf numFmtId="166" fontId="9" fillId="0" borderId="2" xfId="0" applyNumberFormat="1" applyFont="1" applyBorder="1"/>
    <xf numFmtId="0" fontId="13" fillId="0" borderId="0" xfId="0" applyFont="1"/>
    <xf numFmtId="0" fontId="14" fillId="0" borderId="0" xfId="0" applyFont="1"/>
    <xf numFmtId="0" fontId="9" fillId="0" borderId="2" xfId="0" applyFont="1" applyBorder="1" applyAlignment="1">
      <alignment horizontal="center" vertical="top" wrapText="1"/>
    </xf>
    <xf numFmtId="0" fontId="17" fillId="9" borderId="2" xfId="0" applyFont="1" applyFill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9" fillId="3" borderId="2" xfId="0" applyFont="1" applyFill="1" applyBorder="1" applyAlignment="1">
      <alignment horizontal="center" vertical="top" wrapText="1"/>
    </xf>
    <xf numFmtId="0" fontId="17" fillId="3" borderId="2" xfId="0" applyFont="1" applyFill="1" applyBorder="1" applyAlignment="1">
      <alignment horizontal="left" vertical="top" wrapText="1"/>
    </xf>
    <xf numFmtId="0" fontId="9" fillId="3" borderId="2" xfId="0" applyFont="1" applyFill="1" applyBorder="1" applyAlignment="1">
      <alignment horizontal="left" vertical="top" wrapText="1"/>
    </xf>
    <xf numFmtId="0" fontId="18" fillId="3" borderId="2" xfId="0" applyFont="1" applyFill="1" applyBorder="1" applyAlignment="1">
      <alignment horizontal="left" vertical="top" wrapText="1"/>
    </xf>
    <xf numFmtId="0" fontId="17" fillId="10" borderId="2" xfId="0" applyFont="1" applyFill="1" applyBorder="1" applyAlignment="1">
      <alignment horizontal="center" vertical="top" wrapText="1"/>
    </xf>
    <xf numFmtId="0" fontId="17" fillId="11" borderId="2" xfId="0" applyFont="1" applyFill="1" applyBorder="1" applyAlignment="1">
      <alignment horizontal="center" vertical="top" wrapText="1"/>
    </xf>
    <xf numFmtId="0" fontId="17" fillId="12" borderId="2" xfId="0" applyFont="1" applyFill="1" applyBorder="1" applyAlignment="1">
      <alignment horizontal="center" vertical="top"/>
    </xf>
    <xf numFmtId="0" fontId="17" fillId="13" borderId="2" xfId="0" applyFont="1" applyFill="1" applyBorder="1" applyAlignment="1">
      <alignment horizontal="center" vertical="top"/>
    </xf>
    <xf numFmtId="0" fontId="17" fillId="14" borderId="2" xfId="0" applyFont="1" applyFill="1" applyBorder="1" applyAlignment="1">
      <alignment horizontal="center" vertical="top"/>
    </xf>
    <xf numFmtId="0" fontId="16" fillId="0" borderId="0" xfId="0" applyFont="1"/>
    <xf numFmtId="0" fontId="15" fillId="5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165" fontId="7" fillId="7" borderId="1" xfId="0" applyNumberFormat="1" applyFont="1" applyFill="1" applyBorder="1" applyAlignment="1">
      <alignment horizontal="center" vertical="center"/>
    </xf>
    <xf numFmtId="166" fontId="7" fillId="7" borderId="1" xfId="0" applyNumberFormat="1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center" vertical="center"/>
    </xf>
    <xf numFmtId="167" fontId="7" fillId="7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top" wrapText="1"/>
    </xf>
    <xf numFmtId="0" fontId="1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3CD"/>
      <rgbColor rgb="FFD1EC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D9E2F3"/>
      <rgbColor rgb="FFFCE4EC"/>
      <rgbColor rgb="FFCC99FF"/>
      <rgbColor rgb="FFF8D7DA"/>
      <rgbColor rgb="FF4F81BD"/>
      <rgbColor rgb="FF33CCCC"/>
      <rgbColor rgb="FF9BBB59"/>
      <rgbColor rgb="FFFFCC00"/>
      <rgbColor rgb="FFFF9900"/>
      <rgbColor rgb="FFFF6600"/>
      <rgbColor rgb="FF8064A2"/>
      <rgbColor rgb="FFB3B3B3"/>
      <rgbColor rgb="FF1F3864"/>
      <rgbColor rgb="FF2E7D32"/>
      <rgbColor rgb="FF003300"/>
      <rgbColor rgb="FF333300"/>
      <rgbColor rgb="FF993300"/>
      <rgbColor rgb="FF595959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Tables'!$B$5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Tables'!$A$6:$A$8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'Summary Tables'!$B$6:$B$8</c:f>
              <c:numCache>
                <c:formatCode>\$#,##0</c:formatCode>
                <c:ptCount val="3"/>
                <c:pt idx="0">
                  <c:v>79377.578900000008</c:v>
                </c:pt>
                <c:pt idx="1">
                  <c:v>68253.347000000009</c:v>
                </c:pt>
                <c:pt idx="2">
                  <c:v>93499.842000000004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8-43E5-9DAB-2C1A6CC00CAD}"/>
            </c:ext>
          </c:extLst>
        </c:ser>
        <c:ser>
          <c:idx val="1"/>
          <c:order val="1"/>
          <c:tx>
            <c:strRef>
              <c:f>'Summary Tables'!$C$5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Tables'!$A$6:$A$8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'Summary Tables'!$C$6:$C$8</c:f>
              <c:numCache>
                <c:formatCode>\$#,##0</c:formatCode>
                <c:ptCount val="3"/>
                <c:pt idx="0">
                  <c:v>-1742.0193000000002</c:v>
                </c:pt>
                <c:pt idx="1">
                  <c:v>12470.728799999984</c:v>
                </c:pt>
                <c:pt idx="2">
                  <c:v>8017.4696999999978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8-43E5-9DAB-2C1A6CC00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30692"/>
        <c:axId val="29229643"/>
      </c:barChart>
      <c:catAx>
        <c:axId val="339306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229643"/>
        <c:crosses val="autoZero"/>
        <c:auto val="1"/>
        <c:lblAlgn val="ctr"/>
        <c:lblOffset val="100"/>
        <c:noMultiLvlLbl val="0"/>
      </c:catAx>
      <c:valAx>
        <c:axId val="292296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9306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'Summary Tables'!$B$31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EA2-4063-9409-37DB9DCEE7E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EA2-4063-9409-37DB9DCEE7E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EA2-4063-9409-37DB9DCEE7E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EA2-4063-9409-37DB9DCEE7E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A2-4063-9409-37DB9DCEE7E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A2-4063-9409-37DB9DCEE7E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EA2-4063-9409-37DB9DCEE7E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EA2-4063-9409-37DB9DCEE7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'Summary Tables'!$A$32:$A$35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'Summary Tables'!$B$32:$B$35</c:f>
              <c:numCache>
                <c:formatCode>\$#,##0</c:formatCode>
                <c:ptCount val="4"/>
                <c:pt idx="0">
                  <c:v>67009.848399999988</c:v>
                </c:pt>
                <c:pt idx="1">
                  <c:v>59491.641000000025</c:v>
                </c:pt>
                <c:pt idx="2">
                  <c:v>43563.958499999979</c:v>
                </c:pt>
                <c:pt idx="3">
                  <c:v>71065.319999999963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A2-4063-9409-37DB9DCEE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Yearly Sales &amp;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Tables'!$B$51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Tables'!$A$52:$A$55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'Summary Tables'!$B$52:$B$55</c:f>
              <c:numCache>
                <c:formatCode>\$#,##0</c:formatCode>
                <c:ptCount val="4"/>
                <c:pt idx="0">
                  <c:v>68527.268999999986</c:v>
                </c:pt>
                <c:pt idx="1">
                  <c:v>46520.129199999974</c:v>
                </c:pt>
                <c:pt idx="2">
                  <c:v>65677.208599999969</c:v>
                </c:pt>
                <c:pt idx="3">
                  <c:v>60406.161100000019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3E-4228-B824-415412E65385}"/>
            </c:ext>
          </c:extLst>
        </c:ser>
        <c:ser>
          <c:idx val="1"/>
          <c:order val="1"/>
          <c:tx>
            <c:strRef>
              <c:f>'Summary Tables'!$C$51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Tables'!$A$52:$A$55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'Summary Tables'!$C$52:$C$55</c:f>
              <c:numCache>
                <c:formatCode>\$#,##0</c:formatCode>
                <c:ptCount val="4"/>
                <c:pt idx="0">
                  <c:v>6376.2009999999982</c:v>
                </c:pt>
                <c:pt idx="1">
                  <c:v>2907.364599999999</c:v>
                </c:pt>
                <c:pt idx="2">
                  <c:v>5611.4359999999997</c:v>
                </c:pt>
                <c:pt idx="3">
                  <c:v>3851.1776000000004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73E-4228-B824-415412E65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64701900"/>
        <c:axId val="23294621"/>
      </c:lineChart>
      <c:catAx>
        <c:axId val="647019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94621"/>
        <c:crosses val="autoZero"/>
        <c:auto val="1"/>
        <c:lblAlgn val="ctr"/>
        <c:lblOffset val="100"/>
        <c:noMultiLvlLbl val="0"/>
      </c:catAx>
      <c:valAx>
        <c:axId val="232946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chemeClr val="tx1"/>
                    </a:solidFill>
                  </a:rPr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019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States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Tables'!$B$58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Tables'!$A$59:$A$68</c:f>
              <c:strCache>
                <c:ptCount val="10"/>
                <c:pt idx="0">
                  <c:v>California</c:v>
                </c:pt>
                <c:pt idx="1">
                  <c:v>Texas</c:v>
                </c:pt>
                <c:pt idx="2">
                  <c:v>New York</c:v>
                </c:pt>
                <c:pt idx="3">
                  <c:v>Pennsylvania</c:v>
                </c:pt>
                <c:pt idx="4">
                  <c:v>Michigan</c:v>
                </c:pt>
                <c:pt idx="5">
                  <c:v>Illinois</c:v>
                </c:pt>
                <c:pt idx="6">
                  <c:v>North Carolina</c:v>
                </c:pt>
                <c:pt idx="7">
                  <c:v>Washington</c:v>
                </c:pt>
                <c:pt idx="8">
                  <c:v>Florida</c:v>
                </c:pt>
                <c:pt idx="9">
                  <c:v>Colorado</c:v>
                </c:pt>
              </c:strCache>
            </c:strRef>
          </c:cat>
          <c:val>
            <c:numRef>
              <c:f>'Summary Tables'!$B$59:$B$67</c:f>
              <c:numCache>
                <c:formatCode>\$#,##0</c:formatCode>
                <c:ptCount val="9"/>
                <c:pt idx="0">
                  <c:v>40979.104000000021</c:v>
                </c:pt>
                <c:pt idx="1">
                  <c:v>30242.76739999999</c:v>
                </c:pt>
                <c:pt idx="2">
                  <c:v>28866.764000000003</c:v>
                </c:pt>
                <c:pt idx="3">
                  <c:v>17100.393</c:v>
                </c:pt>
                <c:pt idx="4">
                  <c:v>13677.632</c:v>
                </c:pt>
                <c:pt idx="5">
                  <c:v>11340.169000000002</c:v>
                </c:pt>
                <c:pt idx="6">
                  <c:v>11263.682000000001</c:v>
                </c:pt>
                <c:pt idx="7">
                  <c:v>9893.6439999999984</c:v>
                </c:pt>
                <c:pt idx="8">
                  <c:v>9068.0825000000004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2-4232-B56D-AC008AE49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030318"/>
        <c:axId val="95051664"/>
      </c:barChart>
      <c:catAx>
        <c:axId val="3603031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051664"/>
        <c:crosses val="autoZero"/>
        <c:auto val="1"/>
        <c:lblAlgn val="ctr"/>
        <c:lblOffset val="100"/>
        <c:noMultiLvlLbl val="0"/>
      </c:catAx>
      <c:valAx>
        <c:axId val="9505166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0303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101160</xdr:rowOff>
    </xdr:from>
    <xdr:to>
      <xdr:col>9</xdr:col>
      <xdr:colOff>323640</xdr:colOff>
      <xdr:row>28</xdr:row>
      <xdr:rowOff>101160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434340</xdr:colOff>
      <xdr:row>11</xdr:row>
      <xdr:rowOff>85920</xdr:rowOff>
    </xdr:from>
    <xdr:to>
      <xdr:col>16</xdr:col>
      <xdr:colOff>329400</xdr:colOff>
      <xdr:row>28</xdr:row>
      <xdr:rowOff>85920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7620</xdr:colOff>
      <xdr:row>29</xdr:row>
      <xdr:rowOff>93540</xdr:rowOff>
    </xdr:from>
    <xdr:to>
      <xdr:col>9</xdr:col>
      <xdr:colOff>331260</xdr:colOff>
      <xdr:row>46</xdr:row>
      <xdr:rowOff>93540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441960</xdr:colOff>
      <xdr:row>29</xdr:row>
      <xdr:rowOff>93540</xdr:rowOff>
    </xdr:from>
    <xdr:to>
      <xdr:col>18</xdr:col>
      <xdr:colOff>171240</xdr:colOff>
      <xdr:row>46</xdr:row>
      <xdr:rowOff>93540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awData" displayName="RawData" ref="A1:U1001" totalsRowShown="0">
  <autoFilter ref="A1:U1001" xr:uid="{00000000-0009-0000-0100-000002000000}"/>
  <tableColumns count="21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EnrichedData" displayName="EnrichedData" ref="A1:AI1001" totalsRowShown="0">
  <autoFilter ref="A1:AI1001" xr:uid="{00000000-0009-0000-0100-000001000000}"/>
  <tableColumns count="35">
    <tableColumn id="1" xr3:uid="{00000000-0010-0000-0100-000001000000}" name="Row ID"/>
    <tableColumn id="2" xr3:uid="{00000000-0010-0000-0100-000002000000}" name="Order ID"/>
    <tableColumn id="3" xr3:uid="{00000000-0010-0000-0100-000003000000}" name="Order Date"/>
    <tableColumn id="4" xr3:uid="{00000000-0010-0000-0100-000004000000}" name="Ship Date"/>
    <tableColumn id="5" xr3:uid="{00000000-0010-0000-0100-000005000000}" name="Ship Mode"/>
    <tableColumn id="6" xr3:uid="{00000000-0010-0000-0100-000006000000}" name="Customer ID"/>
    <tableColumn id="7" xr3:uid="{00000000-0010-0000-0100-000007000000}" name="Customer Name"/>
    <tableColumn id="8" xr3:uid="{00000000-0010-0000-0100-000008000000}" name="Segment"/>
    <tableColumn id="9" xr3:uid="{00000000-0010-0000-0100-000009000000}" name="Country"/>
    <tableColumn id="10" xr3:uid="{00000000-0010-0000-0100-00000A000000}" name="City"/>
    <tableColumn id="11" xr3:uid="{00000000-0010-0000-0100-00000B000000}" name="State"/>
    <tableColumn id="12" xr3:uid="{00000000-0010-0000-0100-00000C000000}" name="Postal Code"/>
    <tableColumn id="13" xr3:uid="{00000000-0010-0000-0100-00000D000000}" name="Region"/>
    <tableColumn id="14" xr3:uid="{00000000-0010-0000-0100-00000E000000}" name="Product ID"/>
    <tableColumn id="15" xr3:uid="{00000000-0010-0000-0100-00000F000000}" name="Category"/>
    <tableColumn id="16" xr3:uid="{00000000-0010-0000-0100-000010000000}" name="Sub-Category"/>
    <tableColumn id="17" xr3:uid="{00000000-0010-0000-0100-000011000000}" name="Product Name"/>
    <tableColumn id="18" xr3:uid="{00000000-0010-0000-0100-000012000000}" name="Sales"/>
    <tableColumn id="19" xr3:uid="{00000000-0010-0000-0100-000013000000}" name="Quantity"/>
    <tableColumn id="20" xr3:uid="{00000000-0010-0000-0100-000014000000}" name="Discount"/>
    <tableColumn id="21" xr3:uid="{00000000-0010-0000-0100-000015000000}" name="Profit"/>
    <tableColumn id="22" xr3:uid="{00000000-0010-0000-0100-000016000000}" name="Order Year"/>
    <tableColumn id="23" xr3:uid="{00000000-0010-0000-0100-000017000000}" name="Order Month"/>
    <tableColumn id="24" xr3:uid="{00000000-0010-0000-0100-000018000000}" name="Order Quarter"/>
    <tableColumn id="25" xr3:uid="{00000000-0010-0000-0100-000019000000}" name="Order Weekday"/>
    <tableColumn id="26" xr3:uid="{00000000-0010-0000-0100-00001A000000}" name="Shipping Delay (Days)"/>
    <tableColumn id="27" xr3:uid="{00000000-0010-0000-0100-00001B000000}" name="Unit Price"/>
    <tableColumn id="28" xr3:uid="{00000000-0010-0000-0100-00001C000000}" name="Profit Margin %"/>
    <tableColumn id="29" xr3:uid="{00000000-0010-0000-0100-00001D000000}" name="Discount Tier"/>
    <tableColumn id="30" xr3:uid="{00000000-0010-0000-0100-00001E000000}" name="Revenue Band"/>
    <tableColumn id="31" xr3:uid="{00000000-0010-0000-0100-00001F000000}" name="Order Size Category"/>
    <tableColumn id="32" xr3:uid="{00000000-0010-0000-0100-000020000000}" name="Profitability Status"/>
    <tableColumn id="33" xr3:uid="{00000000-0010-0000-0100-000021000000}" name="Performance Level"/>
    <tableColumn id="34" xr3:uid="{00000000-0010-0000-0100-000022000000}" name="Customer Type"/>
    <tableColumn id="35" xr3:uid="{00000000-0010-0000-0100-000023000000}" name="Delivery Speed Catego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C27"/>
  <sheetViews>
    <sheetView showGridLines="0" topLeftCell="B1" zoomScaleNormal="100" workbookViewId="0">
      <selection activeCell="D21" sqref="D21"/>
    </sheetView>
  </sheetViews>
  <sheetFormatPr defaultColWidth="8.6640625" defaultRowHeight="14.4" x14ac:dyDescent="0.3"/>
  <cols>
    <col min="1" max="1" width="3" customWidth="1"/>
    <col min="2" max="2" width="14" customWidth="1"/>
    <col min="3" max="3" width="100" customWidth="1"/>
  </cols>
  <sheetData>
    <row r="2" spans="2:3" ht="24" customHeight="1" x14ac:dyDescent="0.5">
      <c r="B2" s="1" t="s">
        <v>0</v>
      </c>
    </row>
    <row r="3" spans="2:3" ht="15" customHeight="1" x14ac:dyDescent="0.3">
      <c r="B3" s="2" t="s">
        <v>1</v>
      </c>
    </row>
    <row r="5" spans="2:3" ht="15" customHeight="1" x14ac:dyDescent="0.3">
      <c r="B5" s="3"/>
    </row>
    <row r="6" spans="2:3" ht="15" customHeight="1" x14ac:dyDescent="0.3">
      <c r="B6" s="4" t="s">
        <v>2</v>
      </c>
    </row>
    <row r="7" spans="2:3" ht="15" customHeight="1" x14ac:dyDescent="0.3">
      <c r="B7" s="3" t="s">
        <v>3</v>
      </c>
    </row>
    <row r="8" spans="2:3" ht="15" customHeight="1" x14ac:dyDescent="0.3">
      <c r="B8" s="3" t="s">
        <v>4</v>
      </c>
    </row>
    <row r="9" spans="2:3" ht="15" customHeight="1" x14ac:dyDescent="0.3">
      <c r="B9" s="3" t="s">
        <v>5</v>
      </c>
    </row>
    <row r="10" spans="2:3" ht="15" customHeight="1" x14ac:dyDescent="0.3">
      <c r="B10" s="3" t="s">
        <v>6</v>
      </c>
    </row>
    <row r="11" spans="2:3" ht="15" customHeight="1" x14ac:dyDescent="0.3">
      <c r="B11" s="3"/>
    </row>
    <row r="12" spans="2:3" ht="15" customHeight="1" x14ac:dyDescent="0.3">
      <c r="B12" s="4" t="s">
        <v>7</v>
      </c>
    </row>
    <row r="14" spans="2:3" ht="15" customHeight="1" x14ac:dyDescent="0.3">
      <c r="B14" s="5" t="s">
        <v>8</v>
      </c>
      <c r="C14" s="5" t="s">
        <v>9</v>
      </c>
    </row>
    <row r="15" spans="2:3" ht="15" customHeight="1" x14ac:dyDescent="0.3">
      <c r="B15" s="6" t="s">
        <v>10</v>
      </c>
      <c r="C15" s="3" t="s">
        <v>11</v>
      </c>
    </row>
    <row r="16" spans="2:3" ht="15" customHeight="1" x14ac:dyDescent="0.3">
      <c r="B16" s="6" t="s">
        <v>12</v>
      </c>
      <c r="C16" s="3" t="s">
        <v>13</v>
      </c>
    </row>
    <row r="17" spans="2:3" ht="15" customHeight="1" x14ac:dyDescent="0.3">
      <c r="B17" s="6" t="s">
        <v>14</v>
      </c>
      <c r="C17" s="3" t="s">
        <v>15</v>
      </c>
    </row>
    <row r="18" spans="2:3" ht="15" customHeight="1" x14ac:dyDescent="0.3">
      <c r="B18" s="6" t="s">
        <v>16</v>
      </c>
      <c r="C18" s="3" t="s">
        <v>17</v>
      </c>
    </row>
    <row r="19" spans="2:3" ht="15" customHeight="1" x14ac:dyDescent="0.3">
      <c r="B19" s="6" t="s">
        <v>18</v>
      </c>
      <c r="C19" s="3" t="s">
        <v>19</v>
      </c>
    </row>
    <row r="20" spans="2:3" ht="15" customHeight="1" x14ac:dyDescent="0.3">
      <c r="B20" s="6" t="s">
        <v>20</v>
      </c>
      <c r="C20" s="3" t="s">
        <v>21</v>
      </c>
    </row>
    <row r="21" spans="2:3" ht="15" customHeight="1" x14ac:dyDescent="0.3">
      <c r="B21" s="6" t="s">
        <v>22</v>
      </c>
      <c r="C21" s="3" t="s">
        <v>23</v>
      </c>
    </row>
    <row r="22" spans="2:3" ht="15" customHeight="1" x14ac:dyDescent="0.3">
      <c r="B22" s="6" t="s">
        <v>24</v>
      </c>
      <c r="C22" s="3" t="s">
        <v>25</v>
      </c>
    </row>
    <row r="23" spans="2:3" ht="15" customHeight="1" x14ac:dyDescent="0.3">
      <c r="B23" s="6" t="s">
        <v>26</v>
      </c>
      <c r="C23" s="3" t="s">
        <v>27</v>
      </c>
    </row>
    <row r="25" spans="2:3" ht="15" customHeight="1" x14ac:dyDescent="0.3">
      <c r="B25" s="4" t="s">
        <v>28</v>
      </c>
    </row>
    <row r="26" spans="2:3" ht="15" customHeight="1" x14ac:dyDescent="0.3">
      <c r="B26" s="3" t="s">
        <v>29</v>
      </c>
    </row>
    <row r="27" spans="2:3" ht="15" customHeight="1" x14ac:dyDescent="0.3">
      <c r="B27" s="3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395"/>
  </sheetPr>
  <dimension ref="A1:E25"/>
  <sheetViews>
    <sheetView showGridLines="0" topLeftCell="D1" zoomScaleNormal="100" workbookViewId="0">
      <pane ySplit="4" topLeftCell="A7" activePane="bottomLeft" state="frozen"/>
      <selection pane="bottomLeft" activeCell="B27" sqref="B27"/>
    </sheetView>
  </sheetViews>
  <sheetFormatPr defaultColWidth="8.6640625" defaultRowHeight="14.4" x14ac:dyDescent="0.3"/>
  <cols>
    <col min="1" max="2" width="16" customWidth="1"/>
    <col min="3" max="4" width="42" customWidth="1"/>
    <col min="5" max="5" width="38" customWidth="1"/>
  </cols>
  <sheetData>
    <row r="1" spans="1:5" ht="19.5" customHeight="1" x14ac:dyDescent="0.4">
      <c r="A1" s="7" t="s">
        <v>31</v>
      </c>
    </row>
    <row r="2" spans="1:5" ht="15" customHeight="1" x14ac:dyDescent="0.3">
      <c r="A2" s="2" t="s">
        <v>32</v>
      </c>
    </row>
    <row r="4" spans="1:5" ht="15" customHeight="1" x14ac:dyDescent="0.3">
      <c r="A4" s="8" t="s">
        <v>33</v>
      </c>
      <c r="B4" s="8" t="s">
        <v>34</v>
      </c>
      <c r="C4" s="8" t="s">
        <v>35</v>
      </c>
      <c r="D4" s="8" t="s">
        <v>36</v>
      </c>
      <c r="E4" s="8" t="s">
        <v>37</v>
      </c>
    </row>
    <row r="5" spans="1:5" ht="15" customHeight="1" x14ac:dyDescent="0.3">
      <c r="A5" s="9" t="s">
        <v>38</v>
      </c>
      <c r="B5" s="9" t="s">
        <v>39</v>
      </c>
      <c r="C5" s="9" t="s">
        <v>40</v>
      </c>
      <c r="D5" s="9" t="s">
        <v>41</v>
      </c>
      <c r="E5" s="9" t="s">
        <v>42</v>
      </c>
    </row>
    <row r="6" spans="1:5" ht="23.25" customHeight="1" x14ac:dyDescent="0.3">
      <c r="A6" s="10" t="s">
        <v>43</v>
      </c>
      <c r="B6" s="10" t="s">
        <v>44</v>
      </c>
      <c r="C6" s="10" t="s">
        <v>45</v>
      </c>
      <c r="D6" s="10" t="s">
        <v>46</v>
      </c>
      <c r="E6" s="10" t="s">
        <v>47</v>
      </c>
    </row>
    <row r="7" spans="1:5" ht="23.25" customHeight="1" x14ac:dyDescent="0.3">
      <c r="A7" s="9" t="s">
        <v>48</v>
      </c>
      <c r="B7" s="9" t="s">
        <v>49</v>
      </c>
      <c r="C7" s="9" t="s">
        <v>50</v>
      </c>
      <c r="D7" s="9" t="s">
        <v>51</v>
      </c>
      <c r="E7" s="9" t="s">
        <v>52</v>
      </c>
    </row>
    <row r="8" spans="1:5" ht="15" customHeight="1" x14ac:dyDescent="0.3">
      <c r="A8" s="10" t="s">
        <v>53</v>
      </c>
      <c r="B8" s="10" t="s">
        <v>49</v>
      </c>
      <c r="C8" s="10" t="s">
        <v>54</v>
      </c>
      <c r="D8" s="10" t="s">
        <v>55</v>
      </c>
      <c r="E8" s="10" t="s">
        <v>56</v>
      </c>
    </row>
    <row r="9" spans="1:5" ht="23.25" customHeight="1" x14ac:dyDescent="0.3">
      <c r="A9" s="9" t="s">
        <v>57</v>
      </c>
      <c r="B9" s="9" t="s">
        <v>58</v>
      </c>
      <c r="C9" s="9" t="s">
        <v>59</v>
      </c>
      <c r="D9" s="9" t="s">
        <v>60</v>
      </c>
      <c r="E9" s="9" t="s">
        <v>61</v>
      </c>
    </row>
    <row r="10" spans="1:5" ht="23.25" customHeight="1" x14ac:dyDescent="0.3">
      <c r="A10" s="10" t="s">
        <v>62</v>
      </c>
      <c r="B10" s="10" t="s">
        <v>63</v>
      </c>
      <c r="C10" s="10" t="s">
        <v>64</v>
      </c>
      <c r="D10" s="10" t="s">
        <v>65</v>
      </c>
      <c r="E10" s="10" t="s">
        <v>66</v>
      </c>
    </row>
    <row r="11" spans="1:5" ht="23.25" customHeight="1" x14ac:dyDescent="0.3">
      <c r="A11" s="9" t="s">
        <v>67</v>
      </c>
      <c r="B11" s="9" t="s">
        <v>68</v>
      </c>
      <c r="C11" s="9" t="s">
        <v>69</v>
      </c>
      <c r="D11" s="9" t="s">
        <v>70</v>
      </c>
      <c r="E11" s="9" t="s">
        <v>71</v>
      </c>
    </row>
    <row r="12" spans="1:5" ht="23.25" customHeight="1" x14ac:dyDescent="0.3">
      <c r="A12" s="10" t="s">
        <v>72</v>
      </c>
      <c r="B12" s="10" t="s">
        <v>58</v>
      </c>
      <c r="C12" s="10" t="s">
        <v>73</v>
      </c>
      <c r="D12" s="10" t="s">
        <v>74</v>
      </c>
      <c r="E12" s="10" t="s">
        <v>75</v>
      </c>
    </row>
    <row r="13" spans="1:5" ht="23.25" customHeight="1" x14ac:dyDescent="0.3">
      <c r="A13" s="9" t="s">
        <v>76</v>
      </c>
      <c r="B13" s="9" t="s">
        <v>58</v>
      </c>
      <c r="C13" s="9" t="s">
        <v>77</v>
      </c>
      <c r="D13" s="9" t="s">
        <v>78</v>
      </c>
      <c r="E13" s="9" t="s">
        <v>79</v>
      </c>
    </row>
    <row r="14" spans="1:5" ht="15" customHeight="1" x14ac:dyDescent="0.3">
      <c r="A14" s="10" t="s">
        <v>80</v>
      </c>
      <c r="B14" s="10" t="s">
        <v>58</v>
      </c>
      <c r="C14" s="10" t="s">
        <v>81</v>
      </c>
      <c r="D14" s="10" t="s">
        <v>82</v>
      </c>
      <c r="E14" s="10" t="s">
        <v>83</v>
      </c>
    </row>
    <row r="15" spans="1:5" ht="15" customHeight="1" x14ac:dyDescent="0.3">
      <c r="A15" s="9" t="s">
        <v>84</v>
      </c>
      <c r="B15" s="9" t="s">
        <v>58</v>
      </c>
      <c r="C15" s="9" t="s">
        <v>85</v>
      </c>
      <c r="D15" s="9" t="s">
        <v>86</v>
      </c>
      <c r="E15" s="9" t="s">
        <v>87</v>
      </c>
    </row>
    <row r="16" spans="1:5" ht="15" customHeight="1" x14ac:dyDescent="0.3">
      <c r="A16" s="10" t="s">
        <v>88</v>
      </c>
      <c r="B16" s="10" t="s">
        <v>89</v>
      </c>
      <c r="C16" s="10" t="s">
        <v>90</v>
      </c>
      <c r="D16" s="10" t="s">
        <v>91</v>
      </c>
      <c r="E16" s="10" t="s">
        <v>92</v>
      </c>
    </row>
    <row r="17" spans="1:5" ht="15" customHeight="1" x14ac:dyDescent="0.3">
      <c r="A17" s="9" t="s">
        <v>93</v>
      </c>
      <c r="B17" s="9" t="s">
        <v>58</v>
      </c>
      <c r="C17" s="9" t="s">
        <v>94</v>
      </c>
      <c r="D17" s="9" t="s">
        <v>95</v>
      </c>
      <c r="E17" s="9" t="s">
        <v>96</v>
      </c>
    </row>
    <row r="18" spans="1:5" ht="15" customHeight="1" x14ac:dyDescent="0.3">
      <c r="A18" s="10" t="s">
        <v>97</v>
      </c>
      <c r="B18" s="10" t="s">
        <v>63</v>
      </c>
      <c r="C18" s="10" t="s">
        <v>98</v>
      </c>
      <c r="D18" s="10" t="s">
        <v>99</v>
      </c>
      <c r="E18" s="10" t="s">
        <v>100</v>
      </c>
    </row>
    <row r="19" spans="1:5" ht="23.25" customHeight="1" x14ac:dyDescent="0.3">
      <c r="A19" s="9" t="s">
        <v>101</v>
      </c>
      <c r="B19" s="9" t="s">
        <v>58</v>
      </c>
      <c r="C19" s="9" t="s">
        <v>102</v>
      </c>
      <c r="D19" s="9" t="s">
        <v>74</v>
      </c>
      <c r="E19" s="9" t="s">
        <v>103</v>
      </c>
    </row>
    <row r="20" spans="1:5" ht="23.25" customHeight="1" x14ac:dyDescent="0.3">
      <c r="A20" s="10" t="s">
        <v>104</v>
      </c>
      <c r="B20" s="10" t="s">
        <v>58</v>
      </c>
      <c r="C20" s="10" t="s">
        <v>105</v>
      </c>
      <c r="D20" s="10" t="s">
        <v>106</v>
      </c>
      <c r="E20" s="10" t="s">
        <v>107</v>
      </c>
    </row>
    <row r="21" spans="1:5" ht="23.25" customHeight="1" x14ac:dyDescent="0.3">
      <c r="A21" s="9" t="s">
        <v>108</v>
      </c>
      <c r="B21" s="9" t="s">
        <v>68</v>
      </c>
      <c r="C21" s="9" t="s">
        <v>109</v>
      </c>
      <c r="D21" s="9" t="s">
        <v>110</v>
      </c>
      <c r="E21" s="9" t="s">
        <v>111</v>
      </c>
    </row>
    <row r="22" spans="1:5" ht="15" customHeight="1" x14ac:dyDescent="0.3">
      <c r="A22" s="10" t="s">
        <v>112</v>
      </c>
      <c r="B22" s="10" t="s">
        <v>113</v>
      </c>
      <c r="C22" s="10" t="s">
        <v>114</v>
      </c>
      <c r="D22" s="10" t="s">
        <v>115</v>
      </c>
      <c r="E22" s="10" t="s">
        <v>116</v>
      </c>
    </row>
    <row r="23" spans="1:5" ht="15" customHeight="1" x14ac:dyDescent="0.3">
      <c r="A23" s="9" t="s">
        <v>117</v>
      </c>
      <c r="B23" s="9" t="s">
        <v>89</v>
      </c>
      <c r="C23" s="9" t="s">
        <v>118</v>
      </c>
      <c r="D23" s="9" t="s">
        <v>119</v>
      </c>
      <c r="E23" s="9" t="s">
        <v>120</v>
      </c>
    </row>
    <row r="24" spans="1:5" ht="15" customHeight="1" x14ac:dyDescent="0.3">
      <c r="A24" s="10" t="s">
        <v>121</v>
      </c>
      <c r="B24" s="10" t="s">
        <v>122</v>
      </c>
      <c r="C24" s="10" t="s">
        <v>123</v>
      </c>
      <c r="D24" s="10" t="s">
        <v>124</v>
      </c>
      <c r="E24" s="10" t="s">
        <v>125</v>
      </c>
    </row>
    <row r="25" spans="1:5" ht="23.25" customHeight="1" x14ac:dyDescent="0.3">
      <c r="A25" s="9" t="s">
        <v>126</v>
      </c>
      <c r="B25" s="9" t="s">
        <v>113</v>
      </c>
      <c r="C25" s="9" t="s">
        <v>127</v>
      </c>
      <c r="D25" s="9" t="s">
        <v>128</v>
      </c>
      <c r="E25" s="9" t="s">
        <v>129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395"/>
  </sheetPr>
  <dimension ref="A1:E22"/>
  <sheetViews>
    <sheetView showGridLines="0" zoomScaleNormal="100" workbookViewId="0">
      <pane ySplit="4" topLeftCell="A5" activePane="bottomLeft" state="frozen"/>
      <selection pane="bottomLeft" activeCell="C19" sqref="C19"/>
    </sheetView>
  </sheetViews>
  <sheetFormatPr defaultColWidth="8.6640625" defaultRowHeight="14.4" x14ac:dyDescent="0.3"/>
  <cols>
    <col min="1" max="1" width="4" customWidth="1"/>
    <col min="2" max="2" width="26" customWidth="1"/>
    <col min="3" max="3" width="34" customWidth="1"/>
    <col min="4" max="4" width="42" customWidth="1"/>
    <col min="5" max="5" width="40" customWidth="1"/>
  </cols>
  <sheetData>
    <row r="1" spans="1:5" ht="19.5" customHeight="1" x14ac:dyDescent="0.4">
      <c r="A1" s="7" t="s">
        <v>130</v>
      </c>
    </row>
    <row r="2" spans="1:5" ht="15" customHeight="1" x14ac:dyDescent="0.3">
      <c r="A2" s="2" t="s">
        <v>131</v>
      </c>
    </row>
    <row r="4" spans="1:5" ht="15" customHeight="1" x14ac:dyDescent="0.3">
      <c r="A4" s="8" t="s">
        <v>132</v>
      </c>
      <c r="B4" s="8" t="s">
        <v>133</v>
      </c>
      <c r="C4" s="8" t="s">
        <v>134</v>
      </c>
      <c r="D4" s="8" t="s">
        <v>135</v>
      </c>
      <c r="E4" s="8" t="s">
        <v>136</v>
      </c>
    </row>
    <row r="5" spans="1:5" ht="23.25" customHeight="1" x14ac:dyDescent="0.3">
      <c r="A5" s="9" t="s">
        <v>137</v>
      </c>
      <c r="B5" s="9" t="s">
        <v>138</v>
      </c>
      <c r="C5" s="9" t="s">
        <v>139</v>
      </c>
      <c r="D5" s="9" t="s">
        <v>140</v>
      </c>
      <c r="E5" s="9" t="s">
        <v>141</v>
      </c>
    </row>
    <row r="6" spans="1:5" ht="23.25" customHeight="1" x14ac:dyDescent="0.3">
      <c r="A6" s="10" t="s">
        <v>142</v>
      </c>
      <c r="B6" s="10" t="s">
        <v>143</v>
      </c>
      <c r="C6" s="10" t="s">
        <v>144</v>
      </c>
      <c r="D6" s="10" t="s">
        <v>145</v>
      </c>
      <c r="E6" s="10" t="s">
        <v>146</v>
      </c>
    </row>
    <row r="7" spans="1:5" ht="15" customHeight="1" x14ac:dyDescent="0.3">
      <c r="A7" s="9" t="s">
        <v>147</v>
      </c>
      <c r="B7" s="9" t="s">
        <v>148</v>
      </c>
      <c r="C7" s="9" t="s">
        <v>149</v>
      </c>
      <c r="D7" s="9" t="s">
        <v>150</v>
      </c>
      <c r="E7" s="9" t="s">
        <v>146</v>
      </c>
    </row>
    <row r="8" spans="1:5" ht="23.25" customHeight="1" x14ac:dyDescent="0.3">
      <c r="A8" s="10" t="s">
        <v>151</v>
      </c>
      <c r="B8" s="10" t="s">
        <v>152</v>
      </c>
      <c r="C8" s="10" t="s">
        <v>153</v>
      </c>
      <c r="D8" s="10" t="s">
        <v>154</v>
      </c>
      <c r="E8" s="10" t="s">
        <v>146</v>
      </c>
    </row>
    <row r="9" spans="1:5" ht="15" customHeight="1" x14ac:dyDescent="0.3">
      <c r="A9" s="9" t="s">
        <v>155</v>
      </c>
      <c r="B9" s="9" t="s">
        <v>156</v>
      </c>
      <c r="C9" s="9" t="s">
        <v>157</v>
      </c>
      <c r="D9" s="9" t="s">
        <v>158</v>
      </c>
      <c r="E9" s="9" t="s">
        <v>146</v>
      </c>
    </row>
    <row r="10" spans="1:5" ht="23.25" customHeight="1" x14ac:dyDescent="0.3">
      <c r="A10" s="10" t="s">
        <v>159</v>
      </c>
      <c r="B10" s="10" t="s">
        <v>160</v>
      </c>
      <c r="C10" s="10" t="s">
        <v>161</v>
      </c>
      <c r="D10" s="10" t="s">
        <v>162</v>
      </c>
      <c r="E10" s="10" t="s">
        <v>163</v>
      </c>
    </row>
    <row r="11" spans="1:5" ht="23.25" customHeight="1" x14ac:dyDescent="0.3">
      <c r="A11" s="9" t="s">
        <v>164</v>
      </c>
      <c r="B11" s="9" t="s">
        <v>165</v>
      </c>
      <c r="C11" s="9" t="s">
        <v>166</v>
      </c>
      <c r="D11" s="9" t="s">
        <v>167</v>
      </c>
      <c r="E11" s="9" t="s">
        <v>146</v>
      </c>
    </row>
    <row r="12" spans="1:5" ht="23.25" customHeight="1" x14ac:dyDescent="0.3">
      <c r="A12" s="10" t="s">
        <v>168</v>
      </c>
      <c r="B12" s="10" t="s">
        <v>169</v>
      </c>
      <c r="C12" s="10" t="s">
        <v>170</v>
      </c>
      <c r="D12" s="10" t="s">
        <v>171</v>
      </c>
      <c r="E12" s="10" t="s">
        <v>146</v>
      </c>
    </row>
    <row r="13" spans="1:5" ht="15" customHeight="1" x14ac:dyDescent="0.3">
      <c r="A13" s="9" t="s">
        <v>172</v>
      </c>
      <c r="B13" s="9" t="s">
        <v>173</v>
      </c>
      <c r="C13" s="9" t="s">
        <v>174</v>
      </c>
      <c r="D13" s="9" t="s">
        <v>175</v>
      </c>
      <c r="E13" s="9" t="s">
        <v>146</v>
      </c>
    </row>
    <row r="14" spans="1:5" ht="15" customHeight="1" x14ac:dyDescent="0.3">
      <c r="A14" s="10" t="s">
        <v>176</v>
      </c>
      <c r="B14" s="10" t="s">
        <v>177</v>
      </c>
      <c r="C14" s="10" t="s">
        <v>174</v>
      </c>
      <c r="D14" s="10" t="s">
        <v>178</v>
      </c>
      <c r="E14" s="10" t="s">
        <v>146</v>
      </c>
    </row>
    <row r="15" spans="1:5" ht="23.25" customHeight="1" x14ac:dyDescent="0.3">
      <c r="A15" s="9" t="s">
        <v>179</v>
      </c>
      <c r="B15" s="9" t="s">
        <v>180</v>
      </c>
      <c r="C15" s="9" t="s">
        <v>181</v>
      </c>
      <c r="D15" s="9" t="s">
        <v>182</v>
      </c>
      <c r="E15" s="9" t="s">
        <v>183</v>
      </c>
    </row>
    <row r="16" spans="1:5" ht="23.25" customHeight="1" x14ac:dyDescent="0.3">
      <c r="A16" s="10" t="s">
        <v>184</v>
      </c>
      <c r="B16" s="10" t="s">
        <v>185</v>
      </c>
      <c r="C16" s="10" t="s">
        <v>186</v>
      </c>
      <c r="D16" s="10" t="s">
        <v>187</v>
      </c>
      <c r="E16" s="10" t="s">
        <v>188</v>
      </c>
    </row>
    <row r="17" spans="1:5" ht="23.25" customHeight="1" x14ac:dyDescent="0.3">
      <c r="A17" s="9" t="s">
        <v>189</v>
      </c>
      <c r="B17" s="9" t="s">
        <v>190</v>
      </c>
      <c r="C17" s="9" t="s">
        <v>191</v>
      </c>
      <c r="D17" s="9" t="s">
        <v>192</v>
      </c>
      <c r="E17" s="9" t="s">
        <v>193</v>
      </c>
    </row>
    <row r="18" spans="1:5" ht="23.25" customHeight="1" x14ac:dyDescent="0.3">
      <c r="A18" s="10" t="s">
        <v>194</v>
      </c>
      <c r="B18" s="10" t="s">
        <v>195</v>
      </c>
      <c r="C18" s="10" t="s">
        <v>196</v>
      </c>
      <c r="D18" s="10" t="s">
        <v>197</v>
      </c>
      <c r="E18" s="10" t="s">
        <v>198</v>
      </c>
    </row>
    <row r="19" spans="1:5" ht="23.25" customHeight="1" x14ac:dyDescent="0.3">
      <c r="A19" s="9" t="s">
        <v>199</v>
      </c>
      <c r="B19" s="9" t="s">
        <v>200</v>
      </c>
      <c r="C19" s="9" t="s">
        <v>201</v>
      </c>
      <c r="D19" s="9" t="s">
        <v>202</v>
      </c>
      <c r="E19" s="9" t="s">
        <v>146</v>
      </c>
    </row>
    <row r="21" spans="1:5" ht="15" customHeight="1" x14ac:dyDescent="0.3">
      <c r="A21" s="6" t="s">
        <v>203</v>
      </c>
    </row>
    <row r="22" spans="1:5" ht="60" customHeight="1" x14ac:dyDescent="0.3">
      <c r="A22" s="48" t="s">
        <v>204</v>
      </c>
      <c r="B22" s="48"/>
      <c r="C22" s="48"/>
      <c r="D22" s="48"/>
      <c r="E22" s="48"/>
    </row>
  </sheetData>
  <mergeCells count="1"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U1001"/>
  <sheetViews>
    <sheetView topLeftCell="R1" zoomScaleNormal="100" workbookViewId="0">
      <pane ySplit="1" topLeftCell="A2" activePane="bottomLeft" state="frozen"/>
      <selection pane="bottomLeft" activeCell="D2" sqref="D2"/>
    </sheetView>
  </sheetViews>
  <sheetFormatPr defaultColWidth="8.6640625" defaultRowHeight="14.4" x14ac:dyDescent="0.3"/>
  <cols>
    <col min="1" max="1" width="7" customWidth="1"/>
    <col min="2" max="2" width="15" customWidth="1"/>
    <col min="3" max="4" width="12" customWidth="1"/>
    <col min="5" max="5" width="14" customWidth="1"/>
    <col min="6" max="6" width="12" customWidth="1"/>
    <col min="7" max="7" width="16" customWidth="1"/>
    <col min="8" max="8" width="12" customWidth="1"/>
    <col min="9" max="11" width="14" customWidth="1"/>
    <col min="12" max="12" width="11" customWidth="1"/>
    <col min="13" max="13" width="9" customWidth="1"/>
    <col min="14" max="14" width="12" customWidth="1"/>
    <col min="15" max="16" width="14" customWidth="1"/>
    <col min="17" max="17" width="26" customWidth="1"/>
    <col min="18" max="18" width="11" customWidth="1"/>
    <col min="19" max="20" width="9" customWidth="1"/>
    <col min="21" max="21" width="10" customWidth="1"/>
  </cols>
  <sheetData>
    <row r="1" spans="1:21" ht="15" customHeight="1" x14ac:dyDescent="0.3">
      <c r="A1" s="11" t="s">
        <v>38</v>
      </c>
      <c r="B1" s="11" t="s">
        <v>43</v>
      </c>
      <c r="C1" s="11" t="s">
        <v>48</v>
      </c>
      <c r="D1" s="11" t="s">
        <v>53</v>
      </c>
      <c r="E1" s="11" t="s">
        <v>57</v>
      </c>
      <c r="F1" s="11" t="s">
        <v>62</v>
      </c>
      <c r="G1" s="11" t="s">
        <v>67</v>
      </c>
      <c r="H1" s="11" t="s">
        <v>72</v>
      </c>
      <c r="I1" s="11" t="s">
        <v>76</v>
      </c>
      <c r="J1" s="11" t="s">
        <v>80</v>
      </c>
      <c r="K1" s="11" t="s">
        <v>84</v>
      </c>
      <c r="L1" s="11" t="s">
        <v>88</v>
      </c>
      <c r="M1" s="11" t="s">
        <v>93</v>
      </c>
      <c r="N1" s="11" t="s">
        <v>97</v>
      </c>
      <c r="O1" s="11" t="s">
        <v>101</v>
      </c>
      <c r="P1" s="11" t="s">
        <v>104</v>
      </c>
      <c r="Q1" s="11" t="s">
        <v>108</v>
      </c>
      <c r="R1" s="11" t="s">
        <v>112</v>
      </c>
      <c r="S1" s="11" t="s">
        <v>117</v>
      </c>
      <c r="T1" s="11" t="s">
        <v>121</v>
      </c>
      <c r="U1" s="11" t="s">
        <v>126</v>
      </c>
    </row>
    <row r="2" spans="1:21" ht="15" customHeight="1" x14ac:dyDescent="0.3">
      <c r="A2">
        <v>1</v>
      </c>
      <c r="B2" t="s">
        <v>205</v>
      </c>
      <c r="C2" s="12">
        <v>42682</v>
      </c>
      <c r="D2" s="12">
        <v>42685</v>
      </c>
      <c r="E2" t="s">
        <v>206</v>
      </c>
      <c r="F2" t="s">
        <v>207</v>
      </c>
      <c r="G2" t="s">
        <v>208</v>
      </c>
      <c r="H2" t="s">
        <v>209</v>
      </c>
      <c r="I2" t="s">
        <v>210</v>
      </c>
      <c r="J2" t="s">
        <v>211</v>
      </c>
      <c r="K2" t="s">
        <v>212</v>
      </c>
      <c r="L2">
        <v>42420</v>
      </c>
      <c r="M2" t="s">
        <v>213</v>
      </c>
      <c r="N2" t="s">
        <v>214</v>
      </c>
      <c r="O2" t="s">
        <v>215</v>
      </c>
      <c r="P2" t="s">
        <v>216</v>
      </c>
      <c r="Q2" t="s">
        <v>217</v>
      </c>
      <c r="R2" s="13">
        <v>261.95999999999998</v>
      </c>
      <c r="S2">
        <v>2</v>
      </c>
      <c r="T2" s="14">
        <v>0</v>
      </c>
      <c r="U2" s="13">
        <v>41.913600000000002</v>
      </c>
    </row>
    <row r="3" spans="1:21" ht="15" customHeight="1" x14ac:dyDescent="0.3">
      <c r="A3">
        <v>2</v>
      </c>
      <c r="B3" t="s">
        <v>205</v>
      </c>
      <c r="C3" s="12">
        <v>42682</v>
      </c>
      <c r="D3" s="12">
        <v>42685</v>
      </c>
      <c r="E3" t="s">
        <v>206</v>
      </c>
      <c r="F3" t="s">
        <v>207</v>
      </c>
      <c r="G3" t="s">
        <v>208</v>
      </c>
      <c r="H3" t="s">
        <v>209</v>
      </c>
      <c r="I3" t="s">
        <v>210</v>
      </c>
      <c r="J3" t="s">
        <v>211</v>
      </c>
      <c r="K3" t="s">
        <v>212</v>
      </c>
      <c r="L3">
        <v>42420</v>
      </c>
      <c r="M3" t="s">
        <v>213</v>
      </c>
      <c r="N3" t="s">
        <v>218</v>
      </c>
      <c r="O3" t="s">
        <v>215</v>
      </c>
      <c r="P3" t="s">
        <v>219</v>
      </c>
      <c r="Q3" t="s">
        <v>220</v>
      </c>
      <c r="R3" s="13">
        <v>731.94</v>
      </c>
      <c r="S3">
        <v>3</v>
      </c>
      <c r="T3" s="14">
        <v>0</v>
      </c>
      <c r="U3" s="13">
        <v>219.58199999999999</v>
      </c>
    </row>
    <row r="4" spans="1:21" ht="15" customHeight="1" x14ac:dyDescent="0.3">
      <c r="A4">
        <v>3</v>
      </c>
      <c r="B4" t="s">
        <v>221</v>
      </c>
      <c r="C4" s="12">
        <v>42533</v>
      </c>
      <c r="D4" s="12">
        <v>42537</v>
      </c>
      <c r="E4" t="s">
        <v>206</v>
      </c>
      <c r="F4" t="s">
        <v>222</v>
      </c>
      <c r="G4" t="s">
        <v>223</v>
      </c>
      <c r="H4" t="s">
        <v>224</v>
      </c>
      <c r="I4" t="s">
        <v>210</v>
      </c>
      <c r="J4" t="s">
        <v>225</v>
      </c>
      <c r="K4" t="s">
        <v>226</v>
      </c>
      <c r="L4">
        <v>90036</v>
      </c>
      <c r="M4" t="s">
        <v>227</v>
      </c>
      <c r="N4" t="s">
        <v>228</v>
      </c>
      <c r="O4" t="s">
        <v>229</v>
      </c>
      <c r="P4" t="s">
        <v>230</v>
      </c>
      <c r="Q4" t="s">
        <v>231</v>
      </c>
      <c r="R4" s="13">
        <v>14.62</v>
      </c>
      <c r="S4">
        <v>2</v>
      </c>
      <c r="T4" s="14">
        <v>0</v>
      </c>
      <c r="U4" s="13">
        <v>6.8714000000000004</v>
      </c>
    </row>
    <row r="5" spans="1:21" ht="15" customHeight="1" x14ac:dyDescent="0.3">
      <c r="A5">
        <v>4</v>
      </c>
      <c r="B5" t="s">
        <v>232</v>
      </c>
      <c r="C5" s="12">
        <v>42288</v>
      </c>
      <c r="D5" s="12">
        <v>42295</v>
      </c>
      <c r="E5" t="s">
        <v>233</v>
      </c>
      <c r="F5" t="s">
        <v>234</v>
      </c>
      <c r="G5" t="s">
        <v>235</v>
      </c>
      <c r="H5" t="s">
        <v>209</v>
      </c>
      <c r="I5" t="s">
        <v>210</v>
      </c>
      <c r="J5" t="s">
        <v>236</v>
      </c>
      <c r="K5" t="s">
        <v>237</v>
      </c>
      <c r="L5">
        <v>33311</v>
      </c>
      <c r="M5" t="s">
        <v>213</v>
      </c>
      <c r="N5" t="s">
        <v>238</v>
      </c>
      <c r="O5" t="s">
        <v>215</v>
      </c>
      <c r="P5" t="s">
        <v>239</v>
      </c>
      <c r="Q5" t="s">
        <v>240</v>
      </c>
      <c r="R5" s="13">
        <v>957.57749999999999</v>
      </c>
      <c r="S5">
        <v>5</v>
      </c>
      <c r="T5" s="14">
        <v>0.45</v>
      </c>
      <c r="U5" s="13">
        <v>-383.03100000000001</v>
      </c>
    </row>
    <row r="6" spans="1:21" ht="15" customHeight="1" x14ac:dyDescent="0.3">
      <c r="A6">
        <v>5</v>
      </c>
      <c r="B6" t="s">
        <v>232</v>
      </c>
      <c r="C6" s="12">
        <v>42288</v>
      </c>
      <c r="D6" s="12">
        <v>42295</v>
      </c>
      <c r="E6" t="s">
        <v>233</v>
      </c>
      <c r="F6" t="s">
        <v>234</v>
      </c>
      <c r="G6" t="s">
        <v>235</v>
      </c>
      <c r="H6" t="s">
        <v>209</v>
      </c>
      <c r="I6" t="s">
        <v>210</v>
      </c>
      <c r="J6" t="s">
        <v>236</v>
      </c>
      <c r="K6" t="s">
        <v>237</v>
      </c>
      <c r="L6">
        <v>33311</v>
      </c>
      <c r="M6" t="s">
        <v>213</v>
      </c>
      <c r="N6" t="s">
        <v>241</v>
      </c>
      <c r="O6" t="s">
        <v>229</v>
      </c>
      <c r="P6" t="s">
        <v>242</v>
      </c>
      <c r="Q6" t="s">
        <v>243</v>
      </c>
      <c r="R6" s="13">
        <v>22.367999999999999</v>
      </c>
      <c r="S6">
        <v>2</v>
      </c>
      <c r="T6" s="14">
        <v>0.2</v>
      </c>
      <c r="U6" s="13">
        <v>2.5164</v>
      </c>
    </row>
    <row r="7" spans="1:21" ht="15" customHeight="1" x14ac:dyDescent="0.3">
      <c r="A7">
        <v>6</v>
      </c>
      <c r="B7" t="s">
        <v>244</v>
      </c>
      <c r="C7" s="12">
        <v>41799</v>
      </c>
      <c r="D7" s="12">
        <v>41804</v>
      </c>
      <c r="E7" t="s">
        <v>233</v>
      </c>
      <c r="F7" t="s">
        <v>245</v>
      </c>
      <c r="G7" t="s">
        <v>246</v>
      </c>
      <c r="H7" t="s">
        <v>209</v>
      </c>
      <c r="I7" t="s">
        <v>210</v>
      </c>
      <c r="J7" t="s">
        <v>225</v>
      </c>
      <c r="K7" t="s">
        <v>226</v>
      </c>
      <c r="L7">
        <v>90032</v>
      </c>
      <c r="M7" t="s">
        <v>227</v>
      </c>
      <c r="N7" t="s">
        <v>247</v>
      </c>
      <c r="O7" t="s">
        <v>215</v>
      </c>
      <c r="P7" t="s">
        <v>248</v>
      </c>
      <c r="Q7" t="s">
        <v>249</v>
      </c>
      <c r="R7" s="13">
        <v>48.86</v>
      </c>
      <c r="S7">
        <v>7</v>
      </c>
      <c r="T7" s="14">
        <v>0</v>
      </c>
      <c r="U7" s="13">
        <v>14.1694</v>
      </c>
    </row>
    <row r="8" spans="1:21" ht="15" customHeight="1" x14ac:dyDescent="0.3">
      <c r="A8">
        <v>7</v>
      </c>
      <c r="B8" t="s">
        <v>244</v>
      </c>
      <c r="C8" s="12">
        <v>41799</v>
      </c>
      <c r="D8" s="12">
        <v>41804</v>
      </c>
      <c r="E8" t="s">
        <v>233</v>
      </c>
      <c r="F8" t="s">
        <v>245</v>
      </c>
      <c r="G8" t="s">
        <v>246</v>
      </c>
      <c r="H8" t="s">
        <v>209</v>
      </c>
      <c r="I8" t="s">
        <v>210</v>
      </c>
      <c r="J8" t="s">
        <v>225</v>
      </c>
      <c r="K8" t="s">
        <v>226</v>
      </c>
      <c r="L8">
        <v>90032</v>
      </c>
      <c r="M8" t="s">
        <v>227</v>
      </c>
      <c r="N8" t="s">
        <v>250</v>
      </c>
      <c r="O8" t="s">
        <v>229</v>
      </c>
      <c r="P8" t="s">
        <v>251</v>
      </c>
      <c r="Q8" t="s">
        <v>252</v>
      </c>
      <c r="R8" s="13">
        <v>7.28</v>
      </c>
      <c r="S8">
        <v>4</v>
      </c>
      <c r="T8" s="14">
        <v>0</v>
      </c>
      <c r="U8" s="13">
        <v>1.9656</v>
      </c>
    </row>
    <row r="9" spans="1:21" ht="15" customHeight="1" x14ac:dyDescent="0.3">
      <c r="A9">
        <v>8</v>
      </c>
      <c r="B9" t="s">
        <v>244</v>
      </c>
      <c r="C9" s="12">
        <v>41799</v>
      </c>
      <c r="D9" s="12">
        <v>41804</v>
      </c>
      <c r="E9" t="s">
        <v>233</v>
      </c>
      <c r="F9" t="s">
        <v>245</v>
      </c>
      <c r="G9" t="s">
        <v>246</v>
      </c>
      <c r="H9" t="s">
        <v>209</v>
      </c>
      <c r="I9" t="s">
        <v>210</v>
      </c>
      <c r="J9" t="s">
        <v>225</v>
      </c>
      <c r="K9" t="s">
        <v>226</v>
      </c>
      <c r="L9">
        <v>90032</v>
      </c>
      <c r="M9" t="s">
        <v>227</v>
      </c>
      <c r="N9" t="s">
        <v>253</v>
      </c>
      <c r="O9" t="s">
        <v>254</v>
      </c>
      <c r="P9" t="s">
        <v>255</v>
      </c>
      <c r="Q9" t="s">
        <v>256</v>
      </c>
      <c r="R9" s="13">
        <v>907.15200000000004</v>
      </c>
      <c r="S9">
        <v>6</v>
      </c>
      <c r="T9" s="14">
        <v>0.2</v>
      </c>
      <c r="U9" s="13">
        <v>90.715199999999996</v>
      </c>
    </row>
    <row r="10" spans="1:21" ht="15" customHeight="1" x14ac:dyDescent="0.3">
      <c r="A10">
        <v>9</v>
      </c>
      <c r="B10" t="s">
        <v>244</v>
      </c>
      <c r="C10" s="12">
        <v>41799</v>
      </c>
      <c r="D10" s="12">
        <v>41804</v>
      </c>
      <c r="E10" t="s">
        <v>233</v>
      </c>
      <c r="F10" t="s">
        <v>245</v>
      </c>
      <c r="G10" t="s">
        <v>246</v>
      </c>
      <c r="H10" t="s">
        <v>209</v>
      </c>
      <c r="I10" t="s">
        <v>210</v>
      </c>
      <c r="J10" t="s">
        <v>225</v>
      </c>
      <c r="K10" t="s">
        <v>226</v>
      </c>
      <c r="L10">
        <v>90032</v>
      </c>
      <c r="M10" t="s">
        <v>227</v>
      </c>
      <c r="N10" t="s">
        <v>257</v>
      </c>
      <c r="O10" t="s">
        <v>229</v>
      </c>
      <c r="P10" t="s">
        <v>258</v>
      </c>
      <c r="Q10" t="s">
        <v>259</v>
      </c>
      <c r="R10" s="13">
        <v>18.504000000000001</v>
      </c>
      <c r="S10">
        <v>3</v>
      </c>
      <c r="T10" s="14">
        <v>0.2</v>
      </c>
      <c r="U10" s="13">
        <v>5.7824999999999998</v>
      </c>
    </row>
    <row r="11" spans="1:21" ht="15" customHeight="1" x14ac:dyDescent="0.3">
      <c r="A11">
        <v>10</v>
      </c>
      <c r="B11" t="s">
        <v>244</v>
      </c>
      <c r="C11" s="12">
        <v>41799</v>
      </c>
      <c r="D11" s="12">
        <v>41804</v>
      </c>
      <c r="E11" t="s">
        <v>233</v>
      </c>
      <c r="F11" t="s">
        <v>245</v>
      </c>
      <c r="G11" t="s">
        <v>246</v>
      </c>
      <c r="H11" t="s">
        <v>209</v>
      </c>
      <c r="I11" t="s">
        <v>210</v>
      </c>
      <c r="J11" t="s">
        <v>225</v>
      </c>
      <c r="K11" t="s">
        <v>226</v>
      </c>
      <c r="L11">
        <v>90032</v>
      </c>
      <c r="M11" t="s">
        <v>227</v>
      </c>
      <c r="N11" t="s">
        <v>260</v>
      </c>
      <c r="O11" t="s">
        <v>229</v>
      </c>
      <c r="P11" t="s">
        <v>261</v>
      </c>
      <c r="Q11" t="s">
        <v>262</v>
      </c>
      <c r="R11" s="13">
        <v>114.9</v>
      </c>
      <c r="S11">
        <v>5</v>
      </c>
      <c r="T11" s="14">
        <v>0</v>
      </c>
      <c r="U11" s="13">
        <v>34.47</v>
      </c>
    </row>
    <row r="12" spans="1:21" ht="15" customHeight="1" x14ac:dyDescent="0.3">
      <c r="A12">
        <v>11</v>
      </c>
      <c r="B12" t="s">
        <v>244</v>
      </c>
      <c r="C12" s="12">
        <v>41799</v>
      </c>
      <c r="D12" s="12">
        <v>41804</v>
      </c>
      <c r="E12" t="s">
        <v>233</v>
      </c>
      <c r="F12" t="s">
        <v>245</v>
      </c>
      <c r="G12" t="s">
        <v>246</v>
      </c>
      <c r="H12" t="s">
        <v>209</v>
      </c>
      <c r="I12" t="s">
        <v>210</v>
      </c>
      <c r="J12" t="s">
        <v>225</v>
      </c>
      <c r="K12" t="s">
        <v>226</v>
      </c>
      <c r="L12">
        <v>90032</v>
      </c>
      <c r="M12" t="s">
        <v>227</v>
      </c>
      <c r="N12" t="s">
        <v>263</v>
      </c>
      <c r="O12" t="s">
        <v>215</v>
      </c>
      <c r="P12" t="s">
        <v>239</v>
      </c>
      <c r="Q12" t="s">
        <v>264</v>
      </c>
      <c r="R12" s="13">
        <v>1706.184</v>
      </c>
      <c r="S12">
        <v>9</v>
      </c>
      <c r="T12" s="14">
        <v>0.2</v>
      </c>
      <c r="U12" s="13">
        <v>85.309199999999805</v>
      </c>
    </row>
    <row r="13" spans="1:21" ht="15" customHeight="1" x14ac:dyDescent="0.3">
      <c r="A13">
        <v>12</v>
      </c>
      <c r="B13" t="s">
        <v>244</v>
      </c>
      <c r="C13" s="12">
        <v>41799</v>
      </c>
      <c r="D13" s="12">
        <v>41804</v>
      </c>
      <c r="E13" t="s">
        <v>233</v>
      </c>
      <c r="F13" t="s">
        <v>245</v>
      </c>
      <c r="G13" t="s">
        <v>246</v>
      </c>
      <c r="H13" t="s">
        <v>209</v>
      </c>
      <c r="I13" t="s">
        <v>210</v>
      </c>
      <c r="J13" t="s">
        <v>225</v>
      </c>
      <c r="K13" t="s">
        <v>226</v>
      </c>
      <c r="L13">
        <v>90032</v>
      </c>
      <c r="M13" t="s">
        <v>227</v>
      </c>
      <c r="N13" t="s">
        <v>265</v>
      </c>
      <c r="O13" t="s">
        <v>254</v>
      </c>
      <c r="P13" t="s">
        <v>255</v>
      </c>
      <c r="Q13" t="s">
        <v>266</v>
      </c>
      <c r="R13" s="13">
        <v>911.42399999999998</v>
      </c>
      <c r="S13">
        <v>4</v>
      </c>
      <c r="T13" s="14">
        <v>0.2</v>
      </c>
      <c r="U13" s="13">
        <v>68.356800000000007</v>
      </c>
    </row>
    <row r="14" spans="1:21" ht="15" customHeight="1" x14ac:dyDescent="0.3">
      <c r="A14">
        <v>13</v>
      </c>
      <c r="B14" t="s">
        <v>267</v>
      </c>
      <c r="C14" s="12">
        <v>42840</v>
      </c>
      <c r="D14" s="12">
        <v>42845</v>
      </c>
      <c r="E14" t="s">
        <v>233</v>
      </c>
      <c r="F14" t="s">
        <v>268</v>
      </c>
      <c r="G14" t="s">
        <v>269</v>
      </c>
      <c r="H14" t="s">
        <v>209</v>
      </c>
      <c r="I14" t="s">
        <v>210</v>
      </c>
      <c r="J14" t="s">
        <v>270</v>
      </c>
      <c r="K14" t="s">
        <v>271</v>
      </c>
      <c r="L14">
        <v>28027</v>
      </c>
      <c r="M14" t="s">
        <v>213</v>
      </c>
      <c r="N14" t="s">
        <v>272</v>
      </c>
      <c r="O14" t="s">
        <v>229</v>
      </c>
      <c r="P14" t="s">
        <v>273</v>
      </c>
      <c r="Q14" t="s">
        <v>274</v>
      </c>
      <c r="R14" s="13">
        <v>15.552</v>
      </c>
      <c r="S14">
        <v>3</v>
      </c>
      <c r="T14" s="14">
        <v>0.2</v>
      </c>
      <c r="U14" s="13">
        <v>5.4432</v>
      </c>
    </row>
    <row r="15" spans="1:21" ht="15" customHeight="1" x14ac:dyDescent="0.3">
      <c r="A15">
        <v>14</v>
      </c>
      <c r="B15" t="s">
        <v>275</v>
      </c>
      <c r="C15" s="12">
        <v>42709</v>
      </c>
      <c r="D15" s="12">
        <v>42714</v>
      </c>
      <c r="E15" t="s">
        <v>233</v>
      </c>
      <c r="F15" t="s">
        <v>276</v>
      </c>
      <c r="G15" t="s">
        <v>277</v>
      </c>
      <c r="H15" t="s">
        <v>209</v>
      </c>
      <c r="I15" t="s">
        <v>210</v>
      </c>
      <c r="J15" t="s">
        <v>278</v>
      </c>
      <c r="K15" t="s">
        <v>279</v>
      </c>
      <c r="L15">
        <v>98103</v>
      </c>
      <c r="M15" t="s">
        <v>227</v>
      </c>
      <c r="N15" t="s">
        <v>280</v>
      </c>
      <c r="O15" t="s">
        <v>229</v>
      </c>
      <c r="P15" t="s">
        <v>258</v>
      </c>
      <c r="Q15" t="s">
        <v>281</v>
      </c>
      <c r="R15" s="13">
        <v>407.976</v>
      </c>
      <c r="S15">
        <v>3</v>
      </c>
      <c r="T15" s="14">
        <v>0.2</v>
      </c>
      <c r="U15" s="13">
        <v>132.59219999999999</v>
      </c>
    </row>
    <row r="16" spans="1:21" ht="15" customHeight="1" x14ac:dyDescent="0.3">
      <c r="A16">
        <v>15</v>
      </c>
      <c r="B16" t="s">
        <v>282</v>
      </c>
      <c r="C16" s="12">
        <v>42330</v>
      </c>
      <c r="D16" s="12">
        <v>42334</v>
      </c>
      <c r="E16" t="s">
        <v>233</v>
      </c>
      <c r="F16" t="s">
        <v>283</v>
      </c>
      <c r="G16" t="s">
        <v>284</v>
      </c>
      <c r="H16" t="s">
        <v>285</v>
      </c>
      <c r="I16" t="s">
        <v>210</v>
      </c>
      <c r="J16" t="s">
        <v>286</v>
      </c>
      <c r="K16" t="s">
        <v>287</v>
      </c>
      <c r="L16">
        <v>76106</v>
      </c>
      <c r="M16" t="s">
        <v>288</v>
      </c>
      <c r="N16" t="s">
        <v>289</v>
      </c>
      <c r="O16" t="s">
        <v>229</v>
      </c>
      <c r="P16" t="s">
        <v>261</v>
      </c>
      <c r="Q16" t="s">
        <v>290</v>
      </c>
      <c r="R16" s="13">
        <v>68.81</v>
      </c>
      <c r="S16">
        <v>5</v>
      </c>
      <c r="T16" s="14">
        <v>0.8</v>
      </c>
      <c r="U16" s="13">
        <v>-123.858</v>
      </c>
    </row>
    <row r="17" spans="1:21" ht="15" customHeight="1" x14ac:dyDescent="0.3">
      <c r="A17">
        <v>16</v>
      </c>
      <c r="B17" t="s">
        <v>282</v>
      </c>
      <c r="C17" s="12">
        <v>42330</v>
      </c>
      <c r="D17" s="12">
        <v>42334</v>
      </c>
      <c r="E17" t="s">
        <v>233</v>
      </c>
      <c r="F17" t="s">
        <v>283</v>
      </c>
      <c r="G17" t="s">
        <v>284</v>
      </c>
      <c r="H17" t="s">
        <v>285</v>
      </c>
      <c r="I17" t="s">
        <v>210</v>
      </c>
      <c r="J17" t="s">
        <v>286</v>
      </c>
      <c r="K17" t="s">
        <v>287</v>
      </c>
      <c r="L17">
        <v>76106</v>
      </c>
      <c r="M17" t="s">
        <v>288</v>
      </c>
      <c r="N17" t="s">
        <v>291</v>
      </c>
      <c r="O17" t="s">
        <v>229</v>
      </c>
      <c r="P17" t="s">
        <v>258</v>
      </c>
      <c r="Q17" t="s">
        <v>292</v>
      </c>
      <c r="R17" s="13">
        <v>2.544</v>
      </c>
      <c r="S17">
        <v>3</v>
      </c>
      <c r="T17" s="14">
        <v>0.8</v>
      </c>
      <c r="U17" s="13">
        <v>-3.8159999999999998</v>
      </c>
    </row>
    <row r="18" spans="1:21" ht="15" customHeight="1" x14ac:dyDescent="0.3">
      <c r="A18">
        <v>17</v>
      </c>
      <c r="B18" t="s">
        <v>293</v>
      </c>
      <c r="C18" s="12">
        <v>41954</v>
      </c>
      <c r="D18" s="12">
        <v>41961</v>
      </c>
      <c r="E18" t="s">
        <v>233</v>
      </c>
      <c r="F18" t="s">
        <v>294</v>
      </c>
      <c r="G18" t="s">
        <v>295</v>
      </c>
      <c r="H18" t="s">
        <v>209</v>
      </c>
      <c r="I18" t="s">
        <v>210</v>
      </c>
      <c r="J18" t="s">
        <v>296</v>
      </c>
      <c r="K18" t="s">
        <v>297</v>
      </c>
      <c r="L18">
        <v>53711</v>
      </c>
      <c r="M18" t="s">
        <v>288</v>
      </c>
      <c r="N18" t="s">
        <v>298</v>
      </c>
      <c r="O18" t="s">
        <v>229</v>
      </c>
      <c r="P18" t="s">
        <v>242</v>
      </c>
      <c r="Q18" t="s">
        <v>299</v>
      </c>
      <c r="R18" s="13">
        <v>665.88</v>
      </c>
      <c r="S18">
        <v>6</v>
      </c>
      <c r="T18" s="14">
        <v>0</v>
      </c>
      <c r="U18" s="13">
        <v>13.317600000000001</v>
      </c>
    </row>
    <row r="19" spans="1:21" ht="15" customHeight="1" x14ac:dyDescent="0.3">
      <c r="A19">
        <v>18</v>
      </c>
      <c r="B19" t="s">
        <v>300</v>
      </c>
      <c r="C19" s="12">
        <v>41772</v>
      </c>
      <c r="D19" s="12">
        <v>41774</v>
      </c>
      <c r="E19" t="s">
        <v>206</v>
      </c>
      <c r="F19" t="s">
        <v>301</v>
      </c>
      <c r="G19" t="s">
        <v>302</v>
      </c>
      <c r="H19" t="s">
        <v>209</v>
      </c>
      <c r="I19" t="s">
        <v>210</v>
      </c>
      <c r="J19" t="s">
        <v>303</v>
      </c>
      <c r="K19" t="s">
        <v>304</v>
      </c>
      <c r="L19">
        <v>84084</v>
      </c>
      <c r="M19" t="s">
        <v>227</v>
      </c>
      <c r="N19" t="s">
        <v>305</v>
      </c>
      <c r="O19" t="s">
        <v>229</v>
      </c>
      <c r="P19" t="s">
        <v>242</v>
      </c>
      <c r="Q19" t="s">
        <v>306</v>
      </c>
      <c r="R19" s="13">
        <v>55.5</v>
      </c>
      <c r="S19">
        <v>2</v>
      </c>
      <c r="T19" s="14">
        <v>0</v>
      </c>
      <c r="U19" s="13">
        <v>9.99</v>
      </c>
    </row>
    <row r="20" spans="1:21" ht="15" customHeight="1" x14ac:dyDescent="0.3">
      <c r="A20">
        <v>19</v>
      </c>
      <c r="B20" t="s">
        <v>307</v>
      </c>
      <c r="C20" s="12">
        <v>41878</v>
      </c>
      <c r="D20" s="12">
        <v>41883</v>
      </c>
      <c r="E20" t="s">
        <v>206</v>
      </c>
      <c r="F20" t="s">
        <v>308</v>
      </c>
      <c r="G20" t="s">
        <v>309</v>
      </c>
      <c r="H20" t="s">
        <v>209</v>
      </c>
      <c r="I20" t="s">
        <v>210</v>
      </c>
      <c r="J20" t="s">
        <v>310</v>
      </c>
      <c r="K20" t="s">
        <v>226</v>
      </c>
      <c r="L20">
        <v>94109</v>
      </c>
      <c r="M20" t="s">
        <v>227</v>
      </c>
      <c r="N20" t="s">
        <v>311</v>
      </c>
      <c r="O20" t="s">
        <v>229</v>
      </c>
      <c r="P20" t="s">
        <v>251</v>
      </c>
      <c r="Q20" t="s">
        <v>312</v>
      </c>
      <c r="R20" s="13">
        <v>8.56</v>
      </c>
      <c r="S20">
        <v>2</v>
      </c>
      <c r="T20" s="14">
        <v>0</v>
      </c>
      <c r="U20" s="13">
        <v>2.4824000000000002</v>
      </c>
    </row>
    <row r="21" spans="1:21" ht="15" customHeight="1" x14ac:dyDescent="0.3">
      <c r="A21">
        <v>20</v>
      </c>
      <c r="B21" t="s">
        <v>307</v>
      </c>
      <c r="C21" s="12">
        <v>41878</v>
      </c>
      <c r="D21" s="12">
        <v>41883</v>
      </c>
      <c r="E21" t="s">
        <v>206</v>
      </c>
      <c r="F21" t="s">
        <v>308</v>
      </c>
      <c r="G21" t="s">
        <v>309</v>
      </c>
      <c r="H21" t="s">
        <v>209</v>
      </c>
      <c r="I21" t="s">
        <v>210</v>
      </c>
      <c r="J21" t="s">
        <v>310</v>
      </c>
      <c r="K21" t="s">
        <v>226</v>
      </c>
      <c r="L21">
        <v>94109</v>
      </c>
      <c r="M21" t="s">
        <v>227</v>
      </c>
      <c r="N21" t="s">
        <v>313</v>
      </c>
      <c r="O21" t="s">
        <v>254</v>
      </c>
      <c r="P21" t="s">
        <v>255</v>
      </c>
      <c r="Q21" t="s">
        <v>314</v>
      </c>
      <c r="R21" s="13">
        <v>213.48</v>
      </c>
      <c r="S21">
        <v>3</v>
      </c>
      <c r="T21" s="14">
        <v>0.2</v>
      </c>
      <c r="U21" s="13">
        <v>16.010999999999999</v>
      </c>
    </row>
    <row r="22" spans="1:21" ht="15" customHeight="1" x14ac:dyDescent="0.3">
      <c r="A22">
        <v>21</v>
      </c>
      <c r="B22" t="s">
        <v>307</v>
      </c>
      <c r="C22" s="12">
        <v>41878</v>
      </c>
      <c r="D22" s="12">
        <v>41883</v>
      </c>
      <c r="E22" t="s">
        <v>206</v>
      </c>
      <c r="F22" t="s">
        <v>308</v>
      </c>
      <c r="G22" t="s">
        <v>309</v>
      </c>
      <c r="H22" t="s">
        <v>209</v>
      </c>
      <c r="I22" t="s">
        <v>210</v>
      </c>
      <c r="J22" t="s">
        <v>310</v>
      </c>
      <c r="K22" t="s">
        <v>226</v>
      </c>
      <c r="L22">
        <v>94109</v>
      </c>
      <c r="M22" t="s">
        <v>227</v>
      </c>
      <c r="N22" t="s">
        <v>315</v>
      </c>
      <c r="O22" t="s">
        <v>229</v>
      </c>
      <c r="P22" t="s">
        <v>258</v>
      </c>
      <c r="Q22" t="s">
        <v>316</v>
      </c>
      <c r="R22" s="13">
        <v>22.72</v>
      </c>
      <c r="S22">
        <v>4</v>
      </c>
      <c r="T22" s="14">
        <v>0.2</v>
      </c>
      <c r="U22" s="13">
        <v>7.3840000000000003</v>
      </c>
    </row>
    <row r="23" spans="1:21" ht="15" customHeight="1" x14ac:dyDescent="0.3">
      <c r="A23">
        <v>22</v>
      </c>
      <c r="B23" t="s">
        <v>317</v>
      </c>
      <c r="C23" s="12">
        <v>42713</v>
      </c>
      <c r="D23" s="12">
        <v>42717</v>
      </c>
      <c r="E23" t="s">
        <v>233</v>
      </c>
      <c r="F23" t="s">
        <v>318</v>
      </c>
      <c r="G23" t="s">
        <v>319</v>
      </c>
      <c r="H23" t="s">
        <v>224</v>
      </c>
      <c r="I23" t="s">
        <v>210</v>
      </c>
      <c r="J23" t="s">
        <v>320</v>
      </c>
      <c r="K23" t="s">
        <v>321</v>
      </c>
      <c r="L23">
        <v>68025</v>
      </c>
      <c r="M23" t="s">
        <v>288</v>
      </c>
      <c r="N23" t="s">
        <v>322</v>
      </c>
      <c r="O23" t="s">
        <v>229</v>
      </c>
      <c r="P23" t="s">
        <v>251</v>
      </c>
      <c r="Q23" t="s">
        <v>323</v>
      </c>
      <c r="R23" s="13">
        <v>19.46</v>
      </c>
      <c r="S23">
        <v>7</v>
      </c>
      <c r="T23" s="14">
        <v>0</v>
      </c>
      <c r="U23" s="13">
        <v>5.0595999999999997</v>
      </c>
    </row>
    <row r="24" spans="1:21" ht="15" customHeight="1" x14ac:dyDescent="0.3">
      <c r="A24">
        <v>23</v>
      </c>
      <c r="B24" t="s">
        <v>317</v>
      </c>
      <c r="C24" s="12">
        <v>42713</v>
      </c>
      <c r="D24" s="12">
        <v>42717</v>
      </c>
      <c r="E24" t="s">
        <v>233</v>
      </c>
      <c r="F24" t="s">
        <v>318</v>
      </c>
      <c r="G24" t="s">
        <v>319</v>
      </c>
      <c r="H24" t="s">
        <v>224</v>
      </c>
      <c r="I24" t="s">
        <v>210</v>
      </c>
      <c r="J24" t="s">
        <v>320</v>
      </c>
      <c r="K24" t="s">
        <v>321</v>
      </c>
      <c r="L24">
        <v>68025</v>
      </c>
      <c r="M24" t="s">
        <v>288</v>
      </c>
      <c r="N24" t="s">
        <v>324</v>
      </c>
      <c r="O24" t="s">
        <v>229</v>
      </c>
      <c r="P24" t="s">
        <v>261</v>
      </c>
      <c r="Q24" t="s">
        <v>325</v>
      </c>
      <c r="R24" s="13">
        <v>60.34</v>
      </c>
      <c r="S24">
        <v>7</v>
      </c>
      <c r="T24" s="14">
        <v>0</v>
      </c>
      <c r="U24" s="13">
        <v>15.6884</v>
      </c>
    </row>
    <row r="25" spans="1:21" ht="15" customHeight="1" x14ac:dyDescent="0.3">
      <c r="A25">
        <v>24</v>
      </c>
      <c r="B25" t="s">
        <v>326</v>
      </c>
      <c r="C25" s="12">
        <v>42932</v>
      </c>
      <c r="D25" s="12">
        <v>42934</v>
      </c>
      <c r="E25" t="s">
        <v>206</v>
      </c>
      <c r="F25" t="s">
        <v>327</v>
      </c>
      <c r="G25" t="s">
        <v>328</v>
      </c>
      <c r="H25" t="s">
        <v>209</v>
      </c>
      <c r="I25" t="s">
        <v>210</v>
      </c>
      <c r="J25" t="s">
        <v>329</v>
      </c>
      <c r="K25" t="s">
        <v>330</v>
      </c>
      <c r="L25">
        <v>19140</v>
      </c>
      <c r="M25" t="s">
        <v>331</v>
      </c>
      <c r="N25" t="s">
        <v>332</v>
      </c>
      <c r="O25" t="s">
        <v>215</v>
      </c>
      <c r="P25" t="s">
        <v>219</v>
      </c>
      <c r="Q25" t="s">
        <v>333</v>
      </c>
      <c r="R25" s="13">
        <v>71.372</v>
      </c>
      <c r="S25">
        <v>2</v>
      </c>
      <c r="T25" s="14">
        <v>0.3</v>
      </c>
      <c r="U25" s="13">
        <v>-1.0196000000000001</v>
      </c>
    </row>
    <row r="26" spans="1:21" ht="15" customHeight="1" x14ac:dyDescent="0.3">
      <c r="A26">
        <v>25</v>
      </c>
      <c r="B26" t="s">
        <v>334</v>
      </c>
      <c r="C26" s="12">
        <v>42272</v>
      </c>
      <c r="D26" s="12">
        <v>42277</v>
      </c>
      <c r="E26" t="s">
        <v>233</v>
      </c>
      <c r="F26" t="s">
        <v>335</v>
      </c>
      <c r="G26" t="s">
        <v>336</v>
      </c>
      <c r="H26" t="s">
        <v>209</v>
      </c>
      <c r="I26" t="s">
        <v>210</v>
      </c>
      <c r="J26" t="s">
        <v>337</v>
      </c>
      <c r="K26" t="s">
        <v>304</v>
      </c>
      <c r="L26">
        <v>84057</v>
      </c>
      <c r="M26" t="s">
        <v>227</v>
      </c>
      <c r="N26" t="s">
        <v>238</v>
      </c>
      <c r="O26" t="s">
        <v>215</v>
      </c>
      <c r="P26" t="s">
        <v>239</v>
      </c>
      <c r="Q26" t="s">
        <v>240</v>
      </c>
      <c r="R26" s="13">
        <v>1044.6300000000001</v>
      </c>
      <c r="S26">
        <v>3</v>
      </c>
      <c r="T26" s="14">
        <v>0</v>
      </c>
      <c r="U26" s="13">
        <v>240.26490000000001</v>
      </c>
    </row>
    <row r="27" spans="1:21" ht="15" customHeight="1" x14ac:dyDescent="0.3">
      <c r="A27">
        <v>26</v>
      </c>
      <c r="B27" t="s">
        <v>338</v>
      </c>
      <c r="C27" s="12">
        <v>42385</v>
      </c>
      <c r="D27" s="12">
        <v>42389</v>
      </c>
      <c r="E27" t="s">
        <v>206</v>
      </c>
      <c r="F27" t="s">
        <v>339</v>
      </c>
      <c r="G27" t="s">
        <v>340</v>
      </c>
      <c r="H27" t="s">
        <v>209</v>
      </c>
      <c r="I27" t="s">
        <v>210</v>
      </c>
      <c r="J27" t="s">
        <v>225</v>
      </c>
      <c r="K27" t="s">
        <v>226</v>
      </c>
      <c r="L27">
        <v>90049</v>
      </c>
      <c r="M27" t="s">
        <v>227</v>
      </c>
      <c r="N27" t="s">
        <v>341</v>
      </c>
      <c r="O27" t="s">
        <v>229</v>
      </c>
      <c r="P27" t="s">
        <v>258</v>
      </c>
      <c r="Q27" t="s">
        <v>342</v>
      </c>
      <c r="R27" s="13">
        <v>11.648</v>
      </c>
      <c r="S27">
        <v>2</v>
      </c>
      <c r="T27" s="14">
        <v>0.2</v>
      </c>
      <c r="U27" s="13">
        <v>4.2224000000000004</v>
      </c>
    </row>
    <row r="28" spans="1:21" ht="15" customHeight="1" x14ac:dyDescent="0.3">
      <c r="A28">
        <v>27</v>
      </c>
      <c r="B28" t="s">
        <v>338</v>
      </c>
      <c r="C28" s="12">
        <v>42385</v>
      </c>
      <c r="D28" s="12">
        <v>42389</v>
      </c>
      <c r="E28" t="s">
        <v>206</v>
      </c>
      <c r="F28" t="s">
        <v>339</v>
      </c>
      <c r="G28" t="s">
        <v>340</v>
      </c>
      <c r="H28" t="s">
        <v>209</v>
      </c>
      <c r="I28" t="s">
        <v>210</v>
      </c>
      <c r="J28" t="s">
        <v>225</v>
      </c>
      <c r="K28" t="s">
        <v>226</v>
      </c>
      <c r="L28">
        <v>90049</v>
      </c>
      <c r="M28" t="s">
        <v>227</v>
      </c>
      <c r="N28" t="s">
        <v>343</v>
      </c>
      <c r="O28" t="s">
        <v>254</v>
      </c>
      <c r="P28" t="s">
        <v>344</v>
      </c>
      <c r="Q28" t="s">
        <v>345</v>
      </c>
      <c r="R28" s="13">
        <v>90.57</v>
      </c>
      <c r="S28">
        <v>3</v>
      </c>
      <c r="T28" s="14">
        <v>0</v>
      </c>
      <c r="U28" s="13">
        <v>11.774100000000001</v>
      </c>
    </row>
    <row r="29" spans="1:21" ht="15" customHeight="1" x14ac:dyDescent="0.3">
      <c r="A29">
        <v>28</v>
      </c>
      <c r="B29" t="s">
        <v>346</v>
      </c>
      <c r="C29" s="12">
        <v>42264</v>
      </c>
      <c r="D29" s="12">
        <v>42268</v>
      </c>
      <c r="E29" t="s">
        <v>233</v>
      </c>
      <c r="F29" t="s">
        <v>347</v>
      </c>
      <c r="G29" t="s">
        <v>348</v>
      </c>
      <c r="H29" t="s">
        <v>209</v>
      </c>
      <c r="I29" t="s">
        <v>210</v>
      </c>
      <c r="J29" t="s">
        <v>329</v>
      </c>
      <c r="K29" t="s">
        <v>330</v>
      </c>
      <c r="L29">
        <v>19140</v>
      </c>
      <c r="M29" t="s">
        <v>331</v>
      </c>
      <c r="N29" t="s">
        <v>349</v>
      </c>
      <c r="O29" t="s">
        <v>215</v>
      </c>
      <c r="P29" t="s">
        <v>216</v>
      </c>
      <c r="Q29" t="s">
        <v>350</v>
      </c>
      <c r="R29" s="13">
        <v>3083.43</v>
      </c>
      <c r="S29">
        <v>7</v>
      </c>
      <c r="T29" s="14">
        <v>0.5</v>
      </c>
      <c r="U29" s="13">
        <v>-1665.0522000000001</v>
      </c>
    </row>
    <row r="30" spans="1:21" ht="15" customHeight="1" x14ac:dyDescent="0.3">
      <c r="A30">
        <v>29</v>
      </c>
      <c r="B30" t="s">
        <v>346</v>
      </c>
      <c r="C30" s="12">
        <v>42264</v>
      </c>
      <c r="D30" s="12">
        <v>42268</v>
      </c>
      <c r="E30" t="s">
        <v>233</v>
      </c>
      <c r="F30" t="s">
        <v>347</v>
      </c>
      <c r="G30" t="s">
        <v>348</v>
      </c>
      <c r="H30" t="s">
        <v>209</v>
      </c>
      <c r="I30" t="s">
        <v>210</v>
      </c>
      <c r="J30" t="s">
        <v>329</v>
      </c>
      <c r="K30" t="s">
        <v>330</v>
      </c>
      <c r="L30">
        <v>19140</v>
      </c>
      <c r="M30" t="s">
        <v>331</v>
      </c>
      <c r="N30" t="s">
        <v>351</v>
      </c>
      <c r="O30" t="s">
        <v>229</v>
      </c>
      <c r="P30" t="s">
        <v>258</v>
      </c>
      <c r="Q30" t="s">
        <v>352</v>
      </c>
      <c r="R30" s="13">
        <v>9.6180000000000003</v>
      </c>
      <c r="S30">
        <v>2</v>
      </c>
      <c r="T30" s="14">
        <v>0.7</v>
      </c>
      <c r="U30" s="13">
        <v>-7.0532000000000004</v>
      </c>
    </row>
    <row r="31" spans="1:21" ht="15" customHeight="1" x14ac:dyDescent="0.3">
      <c r="A31">
        <v>30</v>
      </c>
      <c r="B31" t="s">
        <v>346</v>
      </c>
      <c r="C31" s="12">
        <v>42264</v>
      </c>
      <c r="D31" s="12">
        <v>42268</v>
      </c>
      <c r="E31" t="s">
        <v>233</v>
      </c>
      <c r="F31" t="s">
        <v>347</v>
      </c>
      <c r="G31" t="s">
        <v>348</v>
      </c>
      <c r="H31" t="s">
        <v>209</v>
      </c>
      <c r="I31" t="s">
        <v>210</v>
      </c>
      <c r="J31" t="s">
        <v>329</v>
      </c>
      <c r="K31" t="s">
        <v>330</v>
      </c>
      <c r="L31">
        <v>19140</v>
      </c>
      <c r="M31" t="s">
        <v>331</v>
      </c>
      <c r="N31" t="s">
        <v>353</v>
      </c>
      <c r="O31" t="s">
        <v>215</v>
      </c>
      <c r="P31" t="s">
        <v>248</v>
      </c>
      <c r="Q31" t="s">
        <v>354</v>
      </c>
      <c r="R31" s="13">
        <v>124.2</v>
      </c>
      <c r="S31">
        <v>3</v>
      </c>
      <c r="T31" s="14">
        <v>0.2</v>
      </c>
      <c r="U31" s="13">
        <v>15.525</v>
      </c>
    </row>
    <row r="32" spans="1:21" ht="15" customHeight="1" x14ac:dyDescent="0.3">
      <c r="A32">
        <v>31</v>
      </c>
      <c r="B32" t="s">
        <v>346</v>
      </c>
      <c r="C32" s="12">
        <v>42264</v>
      </c>
      <c r="D32" s="12">
        <v>42268</v>
      </c>
      <c r="E32" t="s">
        <v>233</v>
      </c>
      <c r="F32" t="s">
        <v>347</v>
      </c>
      <c r="G32" t="s">
        <v>348</v>
      </c>
      <c r="H32" t="s">
        <v>209</v>
      </c>
      <c r="I32" t="s">
        <v>210</v>
      </c>
      <c r="J32" t="s">
        <v>329</v>
      </c>
      <c r="K32" t="s">
        <v>330</v>
      </c>
      <c r="L32">
        <v>19140</v>
      </c>
      <c r="M32" t="s">
        <v>331</v>
      </c>
      <c r="N32" t="s">
        <v>355</v>
      </c>
      <c r="O32" t="s">
        <v>229</v>
      </c>
      <c r="P32" t="s">
        <v>356</v>
      </c>
      <c r="Q32" t="s">
        <v>357</v>
      </c>
      <c r="R32" s="13">
        <v>3.2639999999999998</v>
      </c>
      <c r="S32">
        <v>2</v>
      </c>
      <c r="T32" s="14">
        <v>0.2</v>
      </c>
      <c r="U32" s="13">
        <v>1.1015999999999999</v>
      </c>
    </row>
    <row r="33" spans="1:21" ht="15" customHeight="1" x14ac:dyDescent="0.3">
      <c r="A33">
        <v>32</v>
      </c>
      <c r="B33" t="s">
        <v>346</v>
      </c>
      <c r="C33" s="12">
        <v>42264</v>
      </c>
      <c r="D33" s="12">
        <v>42268</v>
      </c>
      <c r="E33" t="s">
        <v>233</v>
      </c>
      <c r="F33" t="s">
        <v>347</v>
      </c>
      <c r="G33" t="s">
        <v>348</v>
      </c>
      <c r="H33" t="s">
        <v>209</v>
      </c>
      <c r="I33" t="s">
        <v>210</v>
      </c>
      <c r="J33" t="s">
        <v>329</v>
      </c>
      <c r="K33" t="s">
        <v>330</v>
      </c>
      <c r="L33">
        <v>19140</v>
      </c>
      <c r="M33" t="s">
        <v>331</v>
      </c>
      <c r="N33" t="s">
        <v>358</v>
      </c>
      <c r="O33" t="s">
        <v>229</v>
      </c>
      <c r="P33" t="s">
        <v>251</v>
      </c>
      <c r="Q33" t="s">
        <v>359</v>
      </c>
      <c r="R33" s="13">
        <v>86.304000000000002</v>
      </c>
      <c r="S33">
        <v>6</v>
      </c>
      <c r="T33" s="14">
        <v>0.2</v>
      </c>
      <c r="U33" s="13">
        <v>9.7091999999999903</v>
      </c>
    </row>
    <row r="34" spans="1:21" ht="15" customHeight="1" x14ac:dyDescent="0.3">
      <c r="A34">
        <v>33</v>
      </c>
      <c r="B34" t="s">
        <v>346</v>
      </c>
      <c r="C34" s="12">
        <v>42264</v>
      </c>
      <c r="D34" s="12">
        <v>42268</v>
      </c>
      <c r="E34" t="s">
        <v>233</v>
      </c>
      <c r="F34" t="s">
        <v>347</v>
      </c>
      <c r="G34" t="s">
        <v>348</v>
      </c>
      <c r="H34" t="s">
        <v>209</v>
      </c>
      <c r="I34" t="s">
        <v>210</v>
      </c>
      <c r="J34" t="s">
        <v>329</v>
      </c>
      <c r="K34" t="s">
        <v>330</v>
      </c>
      <c r="L34">
        <v>19140</v>
      </c>
      <c r="M34" t="s">
        <v>331</v>
      </c>
      <c r="N34" t="s">
        <v>360</v>
      </c>
      <c r="O34" t="s">
        <v>229</v>
      </c>
      <c r="P34" t="s">
        <v>258</v>
      </c>
      <c r="Q34" t="s">
        <v>361</v>
      </c>
      <c r="R34" s="13">
        <v>6.8579999999999997</v>
      </c>
      <c r="S34">
        <v>6</v>
      </c>
      <c r="T34" s="14">
        <v>0.7</v>
      </c>
      <c r="U34" s="13">
        <v>-5.7149999999999999</v>
      </c>
    </row>
    <row r="35" spans="1:21" ht="15" customHeight="1" x14ac:dyDescent="0.3">
      <c r="A35">
        <v>34</v>
      </c>
      <c r="B35" t="s">
        <v>346</v>
      </c>
      <c r="C35" s="12">
        <v>42264</v>
      </c>
      <c r="D35" s="12">
        <v>42268</v>
      </c>
      <c r="E35" t="s">
        <v>233</v>
      </c>
      <c r="F35" t="s">
        <v>347</v>
      </c>
      <c r="G35" t="s">
        <v>348</v>
      </c>
      <c r="H35" t="s">
        <v>209</v>
      </c>
      <c r="I35" t="s">
        <v>210</v>
      </c>
      <c r="J35" t="s">
        <v>329</v>
      </c>
      <c r="K35" t="s">
        <v>330</v>
      </c>
      <c r="L35">
        <v>19140</v>
      </c>
      <c r="M35" t="s">
        <v>331</v>
      </c>
      <c r="N35" t="s">
        <v>362</v>
      </c>
      <c r="O35" t="s">
        <v>229</v>
      </c>
      <c r="P35" t="s">
        <v>251</v>
      </c>
      <c r="Q35" t="s">
        <v>363</v>
      </c>
      <c r="R35" s="13">
        <v>15.76</v>
      </c>
      <c r="S35">
        <v>2</v>
      </c>
      <c r="T35" s="14">
        <v>0.2</v>
      </c>
      <c r="U35" s="13">
        <v>3.5459999999999998</v>
      </c>
    </row>
    <row r="36" spans="1:21" ht="15" customHeight="1" x14ac:dyDescent="0.3">
      <c r="A36">
        <v>35</v>
      </c>
      <c r="B36" t="s">
        <v>364</v>
      </c>
      <c r="C36" s="12">
        <v>43027</v>
      </c>
      <c r="D36" s="12">
        <v>43031</v>
      </c>
      <c r="E36" t="s">
        <v>206</v>
      </c>
      <c r="F36" t="s">
        <v>365</v>
      </c>
      <c r="G36" t="s">
        <v>366</v>
      </c>
      <c r="H36" t="s">
        <v>285</v>
      </c>
      <c r="I36" t="s">
        <v>210</v>
      </c>
      <c r="J36" t="s">
        <v>367</v>
      </c>
      <c r="K36" t="s">
        <v>287</v>
      </c>
      <c r="L36">
        <v>77095</v>
      </c>
      <c r="M36" t="s">
        <v>288</v>
      </c>
      <c r="N36" t="s">
        <v>368</v>
      </c>
      <c r="O36" t="s">
        <v>229</v>
      </c>
      <c r="P36" t="s">
        <v>273</v>
      </c>
      <c r="Q36" t="s">
        <v>369</v>
      </c>
      <c r="R36" s="13">
        <v>29.472000000000001</v>
      </c>
      <c r="S36">
        <v>3</v>
      </c>
      <c r="T36" s="14">
        <v>0.2</v>
      </c>
      <c r="U36" s="13">
        <v>9.9467999999999996</v>
      </c>
    </row>
    <row r="37" spans="1:21" ht="15" customHeight="1" x14ac:dyDescent="0.3">
      <c r="A37">
        <v>36</v>
      </c>
      <c r="B37" t="s">
        <v>370</v>
      </c>
      <c r="C37" s="12">
        <v>42712</v>
      </c>
      <c r="D37" s="12">
        <v>42714</v>
      </c>
      <c r="E37" t="s">
        <v>371</v>
      </c>
      <c r="F37" t="s">
        <v>372</v>
      </c>
      <c r="G37" t="s">
        <v>373</v>
      </c>
      <c r="H37" t="s">
        <v>224</v>
      </c>
      <c r="I37" t="s">
        <v>210</v>
      </c>
      <c r="J37" t="s">
        <v>374</v>
      </c>
      <c r="K37" t="s">
        <v>287</v>
      </c>
      <c r="L37">
        <v>75080</v>
      </c>
      <c r="M37" t="s">
        <v>288</v>
      </c>
      <c r="N37" t="s">
        <v>375</v>
      </c>
      <c r="O37" t="s">
        <v>254</v>
      </c>
      <c r="P37" t="s">
        <v>255</v>
      </c>
      <c r="Q37" t="s">
        <v>376</v>
      </c>
      <c r="R37" s="13">
        <v>1097.5440000000001</v>
      </c>
      <c r="S37">
        <v>7</v>
      </c>
      <c r="T37" s="14">
        <v>0.2</v>
      </c>
      <c r="U37" s="13">
        <v>123.47369999999999</v>
      </c>
    </row>
    <row r="38" spans="1:21" ht="15" customHeight="1" x14ac:dyDescent="0.3">
      <c r="A38">
        <v>37</v>
      </c>
      <c r="B38" t="s">
        <v>370</v>
      </c>
      <c r="C38" s="12">
        <v>42712</v>
      </c>
      <c r="D38" s="12">
        <v>42714</v>
      </c>
      <c r="E38" t="s">
        <v>371</v>
      </c>
      <c r="F38" t="s">
        <v>372</v>
      </c>
      <c r="G38" t="s">
        <v>373</v>
      </c>
      <c r="H38" t="s">
        <v>224</v>
      </c>
      <c r="I38" t="s">
        <v>210</v>
      </c>
      <c r="J38" t="s">
        <v>374</v>
      </c>
      <c r="K38" t="s">
        <v>287</v>
      </c>
      <c r="L38">
        <v>75080</v>
      </c>
      <c r="M38" t="s">
        <v>288</v>
      </c>
      <c r="N38" t="s">
        <v>377</v>
      </c>
      <c r="O38" t="s">
        <v>215</v>
      </c>
      <c r="P38" t="s">
        <v>248</v>
      </c>
      <c r="Q38" t="s">
        <v>378</v>
      </c>
      <c r="R38" s="13">
        <v>190.92</v>
      </c>
      <c r="S38">
        <v>5</v>
      </c>
      <c r="T38" s="14">
        <v>0.6</v>
      </c>
      <c r="U38" s="13">
        <v>-147.96299999999999</v>
      </c>
    </row>
    <row r="39" spans="1:21" ht="15" customHeight="1" x14ac:dyDescent="0.3">
      <c r="A39">
        <v>38</v>
      </c>
      <c r="B39" t="s">
        <v>379</v>
      </c>
      <c r="C39" s="12">
        <v>42365</v>
      </c>
      <c r="D39" s="12">
        <v>42369</v>
      </c>
      <c r="E39" t="s">
        <v>233</v>
      </c>
      <c r="F39" t="s">
        <v>380</v>
      </c>
      <c r="G39" t="s">
        <v>381</v>
      </c>
      <c r="H39" t="s">
        <v>285</v>
      </c>
      <c r="I39" t="s">
        <v>210</v>
      </c>
      <c r="J39" t="s">
        <v>367</v>
      </c>
      <c r="K39" t="s">
        <v>287</v>
      </c>
      <c r="L39">
        <v>77041</v>
      </c>
      <c r="M39" t="s">
        <v>288</v>
      </c>
      <c r="N39" t="s">
        <v>382</v>
      </c>
      <c r="O39" t="s">
        <v>229</v>
      </c>
      <c r="P39" t="s">
        <v>356</v>
      </c>
      <c r="Q39" t="s">
        <v>383</v>
      </c>
      <c r="R39" s="13">
        <v>113.328</v>
      </c>
      <c r="S39">
        <v>9</v>
      </c>
      <c r="T39" s="14">
        <v>0.2</v>
      </c>
      <c r="U39" s="13">
        <v>35.414999999999999</v>
      </c>
    </row>
    <row r="40" spans="1:21" ht="15" customHeight="1" x14ac:dyDescent="0.3">
      <c r="A40">
        <v>39</v>
      </c>
      <c r="B40" t="s">
        <v>379</v>
      </c>
      <c r="C40" s="12">
        <v>42365</v>
      </c>
      <c r="D40" s="12">
        <v>42369</v>
      </c>
      <c r="E40" t="s">
        <v>233</v>
      </c>
      <c r="F40" t="s">
        <v>380</v>
      </c>
      <c r="G40" t="s">
        <v>381</v>
      </c>
      <c r="H40" t="s">
        <v>285</v>
      </c>
      <c r="I40" t="s">
        <v>210</v>
      </c>
      <c r="J40" t="s">
        <v>367</v>
      </c>
      <c r="K40" t="s">
        <v>287</v>
      </c>
      <c r="L40">
        <v>77041</v>
      </c>
      <c r="M40" t="s">
        <v>288</v>
      </c>
      <c r="N40" t="s">
        <v>384</v>
      </c>
      <c r="O40" t="s">
        <v>215</v>
      </c>
      <c r="P40" t="s">
        <v>216</v>
      </c>
      <c r="Q40" t="s">
        <v>385</v>
      </c>
      <c r="R40" s="13">
        <v>532.39919999999995</v>
      </c>
      <c r="S40">
        <v>3</v>
      </c>
      <c r="T40" s="14">
        <v>0.32</v>
      </c>
      <c r="U40" s="13">
        <v>-46.976399999999998</v>
      </c>
    </row>
    <row r="41" spans="1:21" ht="15" customHeight="1" x14ac:dyDescent="0.3">
      <c r="A41">
        <v>40</v>
      </c>
      <c r="B41" t="s">
        <v>379</v>
      </c>
      <c r="C41" s="12">
        <v>42365</v>
      </c>
      <c r="D41" s="12">
        <v>42369</v>
      </c>
      <c r="E41" t="s">
        <v>233</v>
      </c>
      <c r="F41" t="s">
        <v>380</v>
      </c>
      <c r="G41" t="s">
        <v>381</v>
      </c>
      <c r="H41" t="s">
        <v>285</v>
      </c>
      <c r="I41" t="s">
        <v>210</v>
      </c>
      <c r="J41" t="s">
        <v>367</v>
      </c>
      <c r="K41" t="s">
        <v>287</v>
      </c>
      <c r="L41">
        <v>77041</v>
      </c>
      <c r="M41" t="s">
        <v>288</v>
      </c>
      <c r="N41" t="s">
        <v>386</v>
      </c>
      <c r="O41" t="s">
        <v>215</v>
      </c>
      <c r="P41" t="s">
        <v>219</v>
      </c>
      <c r="Q41" t="s">
        <v>387</v>
      </c>
      <c r="R41" s="13">
        <v>212.05799999999999</v>
      </c>
      <c r="S41">
        <v>3</v>
      </c>
      <c r="T41" s="14">
        <v>0.3</v>
      </c>
      <c r="U41" s="13">
        <v>-15.147</v>
      </c>
    </row>
    <row r="42" spans="1:21" ht="15" customHeight="1" x14ac:dyDescent="0.3">
      <c r="A42">
        <v>41</v>
      </c>
      <c r="B42" t="s">
        <v>379</v>
      </c>
      <c r="C42" s="12">
        <v>42365</v>
      </c>
      <c r="D42" s="12">
        <v>42369</v>
      </c>
      <c r="E42" t="s">
        <v>233</v>
      </c>
      <c r="F42" t="s">
        <v>380</v>
      </c>
      <c r="G42" t="s">
        <v>381</v>
      </c>
      <c r="H42" t="s">
        <v>285</v>
      </c>
      <c r="I42" t="s">
        <v>210</v>
      </c>
      <c r="J42" t="s">
        <v>367</v>
      </c>
      <c r="K42" t="s">
        <v>287</v>
      </c>
      <c r="L42">
        <v>77041</v>
      </c>
      <c r="M42" t="s">
        <v>288</v>
      </c>
      <c r="N42" t="s">
        <v>388</v>
      </c>
      <c r="O42" t="s">
        <v>254</v>
      </c>
      <c r="P42" t="s">
        <v>255</v>
      </c>
      <c r="Q42" t="s">
        <v>389</v>
      </c>
      <c r="R42" s="13">
        <v>371.16800000000001</v>
      </c>
      <c r="S42">
        <v>4</v>
      </c>
      <c r="T42" s="14">
        <v>0.2</v>
      </c>
      <c r="U42" s="13">
        <v>41.756399999999999</v>
      </c>
    </row>
    <row r="43" spans="1:21" ht="15" customHeight="1" x14ac:dyDescent="0.3">
      <c r="A43">
        <v>42</v>
      </c>
      <c r="B43" t="s">
        <v>390</v>
      </c>
      <c r="C43" s="12">
        <v>42988</v>
      </c>
      <c r="D43" s="12">
        <v>42993</v>
      </c>
      <c r="E43" t="s">
        <v>233</v>
      </c>
      <c r="F43" t="s">
        <v>391</v>
      </c>
      <c r="G43" t="s">
        <v>392</v>
      </c>
      <c r="H43" t="s">
        <v>224</v>
      </c>
      <c r="I43" t="s">
        <v>210</v>
      </c>
      <c r="J43" t="s">
        <v>393</v>
      </c>
      <c r="K43" t="s">
        <v>394</v>
      </c>
      <c r="L43">
        <v>60540</v>
      </c>
      <c r="M43" t="s">
        <v>288</v>
      </c>
      <c r="N43" t="s">
        <v>395</v>
      </c>
      <c r="O43" t="s">
        <v>254</v>
      </c>
      <c r="P43" t="s">
        <v>255</v>
      </c>
      <c r="Q43" t="s">
        <v>396</v>
      </c>
      <c r="R43" s="13">
        <v>147.16800000000001</v>
      </c>
      <c r="S43">
        <v>4</v>
      </c>
      <c r="T43" s="14">
        <v>0.2</v>
      </c>
      <c r="U43" s="13">
        <v>16.5564</v>
      </c>
    </row>
    <row r="44" spans="1:21" ht="15" customHeight="1" x14ac:dyDescent="0.3">
      <c r="A44">
        <v>43</v>
      </c>
      <c r="B44" t="s">
        <v>397</v>
      </c>
      <c r="C44" s="12">
        <v>42568</v>
      </c>
      <c r="D44" s="12">
        <v>42573</v>
      </c>
      <c r="E44" t="s">
        <v>233</v>
      </c>
      <c r="F44" t="s">
        <v>398</v>
      </c>
      <c r="G44" t="s">
        <v>399</v>
      </c>
      <c r="H44" t="s">
        <v>224</v>
      </c>
      <c r="I44" t="s">
        <v>210</v>
      </c>
      <c r="J44" t="s">
        <v>225</v>
      </c>
      <c r="K44" t="s">
        <v>226</v>
      </c>
      <c r="L44">
        <v>90049</v>
      </c>
      <c r="M44" t="s">
        <v>227</v>
      </c>
      <c r="N44" t="s">
        <v>400</v>
      </c>
      <c r="O44" t="s">
        <v>229</v>
      </c>
      <c r="P44" t="s">
        <v>242</v>
      </c>
      <c r="Q44" t="s">
        <v>401</v>
      </c>
      <c r="R44" s="13">
        <v>77.88</v>
      </c>
      <c r="S44">
        <v>2</v>
      </c>
      <c r="T44" s="14">
        <v>0</v>
      </c>
      <c r="U44" s="13">
        <v>3.8939999999999899</v>
      </c>
    </row>
    <row r="45" spans="1:21" ht="15" customHeight="1" x14ac:dyDescent="0.3">
      <c r="A45">
        <v>44</v>
      </c>
      <c r="B45" t="s">
        <v>402</v>
      </c>
      <c r="C45" s="12">
        <v>42997</v>
      </c>
      <c r="D45" s="12">
        <v>43001</v>
      </c>
      <c r="E45" t="s">
        <v>233</v>
      </c>
      <c r="F45" t="s">
        <v>403</v>
      </c>
      <c r="G45" t="s">
        <v>404</v>
      </c>
      <c r="H45" t="s">
        <v>224</v>
      </c>
      <c r="I45" t="s">
        <v>210</v>
      </c>
      <c r="J45" t="s">
        <v>405</v>
      </c>
      <c r="K45" t="s">
        <v>237</v>
      </c>
      <c r="L45">
        <v>32935</v>
      </c>
      <c r="M45" t="s">
        <v>213</v>
      </c>
      <c r="N45" t="s">
        <v>406</v>
      </c>
      <c r="O45" t="s">
        <v>229</v>
      </c>
      <c r="P45" t="s">
        <v>242</v>
      </c>
      <c r="Q45" t="s">
        <v>407</v>
      </c>
      <c r="R45" s="13">
        <v>95.616</v>
      </c>
      <c r="S45">
        <v>2</v>
      </c>
      <c r="T45" s="14">
        <v>0.2</v>
      </c>
      <c r="U45" s="13">
        <v>9.5616000000000092</v>
      </c>
    </row>
    <row r="46" spans="1:21" ht="15" customHeight="1" x14ac:dyDescent="0.3">
      <c r="A46">
        <v>45</v>
      </c>
      <c r="B46" t="s">
        <v>408</v>
      </c>
      <c r="C46" s="12">
        <v>42440</v>
      </c>
      <c r="D46" s="12">
        <v>42442</v>
      </c>
      <c r="E46" t="s">
        <v>371</v>
      </c>
      <c r="F46" t="s">
        <v>409</v>
      </c>
      <c r="G46" t="s">
        <v>410</v>
      </c>
      <c r="H46" t="s">
        <v>224</v>
      </c>
      <c r="I46" t="s">
        <v>210</v>
      </c>
      <c r="J46" t="s">
        <v>411</v>
      </c>
      <c r="K46" t="s">
        <v>412</v>
      </c>
      <c r="L46">
        <v>55122</v>
      </c>
      <c r="M46" t="s">
        <v>288</v>
      </c>
      <c r="N46" t="s">
        <v>413</v>
      </c>
      <c r="O46" t="s">
        <v>254</v>
      </c>
      <c r="P46" t="s">
        <v>344</v>
      </c>
      <c r="Q46" t="s">
        <v>414</v>
      </c>
      <c r="R46" s="13">
        <v>45.98</v>
      </c>
      <c r="S46">
        <v>2</v>
      </c>
      <c r="T46" s="14">
        <v>0</v>
      </c>
      <c r="U46" s="13">
        <v>19.7714</v>
      </c>
    </row>
    <row r="47" spans="1:21" ht="15" customHeight="1" x14ac:dyDescent="0.3">
      <c r="A47">
        <v>46</v>
      </c>
      <c r="B47" t="s">
        <v>408</v>
      </c>
      <c r="C47" s="12">
        <v>42440</v>
      </c>
      <c r="D47" s="12">
        <v>42442</v>
      </c>
      <c r="E47" t="s">
        <v>371</v>
      </c>
      <c r="F47" t="s">
        <v>409</v>
      </c>
      <c r="G47" t="s">
        <v>410</v>
      </c>
      <c r="H47" t="s">
        <v>224</v>
      </c>
      <c r="I47" t="s">
        <v>210</v>
      </c>
      <c r="J47" t="s">
        <v>411</v>
      </c>
      <c r="K47" t="s">
        <v>412</v>
      </c>
      <c r="L47">
        <v>55122</v>
      </c>
      <c r="M47" t="s">
        <v>288</v>
      </c>
      <c r="N47" t="s">
        <v>415</v>
      </c>
      <c r="O47" t="s">
        <v>229</v>
      </c>
      <c r="P47" t="s">
        <v>258</v>
      </c>
      <c r="Q47" t="s">
        <v>416</v>
      </c>
      <c r="R47" s="13">
        <v>17.46</v>
      </c>
      <c r="S47">
        <v>2</v>
      </c>
      <c r="T47" s="14">
        <v>0</v>
      </c>
      <c r="U47" s="13">
        <v>8.2062000000000008</v>
      </c>
    </row>
    <row r="48" spans="1:21" ht="15" customHeight="1" x14ac:dyDescent="0.3">
      <c r="A48">
        <v>47</v>
      </c>
      <c r="B48" t="s">
        <v>417</v>
      </c>
      <c r="C48" s="12">
        <v>41932</v>
      </c>
      <c r="D48" s="12">
        <v>41937</v>
      </c>
      <c r="E48" t="s">
        <v>206</v>
      </c>
      <c r="F48" t="s">
        <v>418</v>
      </c>
      <c r="G48" t="s">
        <v>419</v>
      </c>
      <c r="H48" t="s">
        <v>209</v>
      </c>
      <c r="I48" t="s">
        <v>210</v>
      </c>
      <c r="J48" t="s">
        <v>420</v>
      </c>
      <c r="K48" t="s">
        <v>421</v>
      </c>
      <c r="L48">
        <v>48185</v>
      </c>
      <c r="M48" t="s">
        <v>288</v>
      </c>
      <c r="N48" t="s">
        <v>422</v>
      </c>
      <c r="O48" t="s">
        <v>229</v>
      </c>
      <c r="P48" t="s">
        <v>242</v>
      </c>
      <c r="Q48" t="s">
        <v>423</v>
      </c>
      <c r="R48" s="13">
        <v>211.96</v>
      </c>
      <c r="S48">
        <v>4</v>
      </c>
      <c r="T48" s="14">
        <v>0</v>
      </c>
      <c r="U48" s="13">
        <v>8.4783999999999899</v>
      </c>
    </row>
    <row r="49" spans="1:21" ht="15" customHeight="1" x14ac:dyDescent="0.3">
      <c r="A49">
        <v>48</v>
      </c>
      <c r="B49" t="s">
        <v>424</v>
      </c>
      <c r="C49" s="12">
        <v>42541</v>
      </c>
      <c r="D49" s="12">
        <v>42546</v>
      </c>
      <c r="E49" t="s">
        <v>233</v>
      </c>
      <c r="F49" t="s">
        <v>425</v>
      </c>
      <c r="G49" t="s">
        <v>426</v>
      </c>
      <c r="H49" t="s">
        <v>209</v>
      </c>
      <c r="I49" t="s">
        <v>210</v>
      </c>
      <c r="J49" t="s">
        <v>427</v>
      </c>
      <c r="K49" t="s">
        <v>428</v>
      </c>
      <c r="L49">
        <v>19901</v>
      </c>
      <c r="M49" t="s">
        <v>331</v>
      </c>
      <c r="N49" t="s">
        <v>429</v>
      </c>
      <c r="O49" t="s">
        <v>254</v>
      </c>
      <c r="P49" t="s">
        <v>344</v>
      </c>
      <c r="Q49" t="s">
        <v>430</v>
      </c>
      <c r="R49" s="13">
        <v>45</v>
      </c>
      <c r="S49">
        <v>3</v>
      </c>
      <c r="T49" s="14">
        <v>0</v>
      </c>
      <c r="U49" s="13">
        <v>4.95</v>
      </c>
    </row>
    <row r="50" spans="1:21" ht="15" customHeight="1" x14ac:dyDescent="0.3">
      <c r="A50">
        <v>49</v>
      </c>
      <c r="B50" t="s">
        <v>424</v>
      </c>
      <c r="C50" s="12">
        <v>42541</v>
      </c>
      <c r="D50" s="12">
        <v>42546</v>
      </c>
      <c r="E50" t="s">
        <v>233</v>
      </c>
      <c r="F50" t="s">
        <v>425</v>
      </c>
      <c r="G50" t="s">
        <v>426</v>
      </c>
      <c r="H50" t="s">
        <v>209</v>
      </c>
      <c r="I50" t="s">
        <v>210</v>
      </c>
      <c r="J50" t="s">
        <v>427</v>
      </c>
      <c r="K50" t="s">
        <v>428</v>
      </c>
      <c r="L50">
        <v>19901</v>
      </c>
      <c r="M50" t="s">
        <v>331</v>
      </c>
      <c r="N50" t="s">
        <v>431</v>
      </c>
      <c r="O50" t="s">
        <v>254</v>
      </c>
      <c r="P50" t="s">
        <v>255</v>
      </c>
      <c r="Q50" t="s">
        <v>432</v>
      </c>
      <c r="R50" s="13">
        <v>21.8</v>
      </c>
      <c r="S50">
        <v>2</v>
      </c>
      <c r="T50" s="14">
        <v>0</v>
      </c>
      <c r="U50" s="13">
        <v>6.1040000000000001</v>
      </c>
    </row>
    <row r="51" spans="1:21" ht="15" customHeight="1" x14ac:dyDescent="0.3">
      <c r="A51">
        <v>50</v>
      </c>
      <c r="B51" t="s">
        <v>433</v>
      </c>
      <c r="C51" s="12">
        <v>42112</v>
      </c>
      <c r="D51" s="12">
        <v>42116</v>
      </c>
      <c r="E51" t="s">
        <v>233</v>
      </c>
      <c r="F51" t="s">
        <v>434</v>
      </c>
      <c r="G51" t="s">
        <v>435</v>
      </c>
      <c r="H51" t="s">
        <v>209</v>
      </c>
      <c r="I51" t="s">
        <v>210</v>
      </c>
      <c r="J51" t="s">
        <v>436</v>
      </c>
      <c r="K51" t="s">
        <v>437</v>
      </c>
      <c r="L51">
        <v>47150</v>
      </c>
      <c r="M51" t="s">
        <v>288</v>
      </c>
      <c r="N51" t="s">
        <v>438</v>
      </c>
      <c r="O51" t="s">
        <v>229</v>
      </c>
      <c r="P51" t="s">
        <v>258</v>
      </c>
      <c r="Q51" t="s">
        <v>439</v>
      </c>
      <c r="R51" s="13">
        <v>38.22</v>
      </c>
      <c r="S51">
        <v>6</v>
      </c>
      <c r="T51" s="14">
        <v>0</v>
      </c>
      <c r="U51" s="13">
        <v>17.9634</v>
      </c>
    </row>
    <row r="52" spans="1:21" ht="15" customHeight="1" x14ac:dyDescent="0.3">
      <c r="A52">
        <v>51</v>
      </c>
      <c r="B52" t="s">
        <v>433</v>
      </c>
      <c r="C52" s="12">
        <v>42112</v>
      </c>
      <c r="D52" s="12">
        <v>42116</v>
      </c>
      <c r="E52" t="s">
        <v>233</v>
      </c>
      <c r="F52" t="s">
        <v>434</v>
      </c>
      <c r="G52" t="s">
        <v>435</v>
      </c>
      <c r="H52" t="s">
        <v>209</v>
      </c>
      <c r="I52" t="s">
        <v>210</v>
      </c>
      <c r="J52" t="s">
        <v>436</v>
      </c>
      <c r="K52" t="s">
        <v>437</v>
      </c>
      <c r="L52">
        <v>47150</v>
      </c>
      <c r="M52" t="s">
        <v>288</v>
      </c>
      <c r="N52" t="s">
        <v>440</v>
      </c>
      <c r="O52" t="s">
        <v>229</v>
      </c>
      <c r="P52" t="s">
        <v>230</v>
      </c>
      <c r="Q52" t="s">
        <v>441</v>
      </c>
      <c r="R52" s="13">
        <v>75.180000000000007</v>
      </c>
      <c r="S52">
        <v>6</v>
      </c>
      <c r="T52" s="14">
        <v>0</v>
      </c>
      <c r="U52" s="13">
        <v>35.334600000000002</v>
      </c>
    </row>
    <row r="53" spans="1:21" ht="15" customHeight="1" x14ac:dyDescent="0.3">
      <c r="A53">
        <v>52</v>
      </c>
      <c r="B53" t="s">
        <v>433</v>
      </c>
      <c r="C53" s="12">
        <v>42112</v>
      </c>
      <c r="D53" s="12">
        <v>42116</v>
      </c>
      <c r="E53" t="s">
        <v>233</v>
      </c>
      <c r="F53" t="s">
        <v>434</v>
      </c>
      <c r="G53" t="s">
        <v>435</v>
      </c>
      <c r="H53" t="s">
        <v>209</v>
      </c>
      <c r="I53" t="s">
        <v>210</v>
      </c>
      <c r="J53" t="s">
        <v>436</v>
      </c>
      <c r="K53" t="s">
        <v>437</v>
      </c>
      <c r="L53">
        <v>47150</v>
      </c>
      <c r="M53" t="s">
        <v>288</v>
      </c>
      <c r="N53" t="s">
        <v>442</v>
      </c>
      <c r="O53" t="s">
        <v>215</v>
      </c>
      <c r="P53" t="s">
        <v>248</v>
      </c>
      <c r="Q53" t="s">
        <v>443</v>
      </c>
      <c r="R53" s="13">
        <v>6.16</v>
      </c>
      <c r="S53">
        <v>2</v>
      </c>
      <c r="T53" s="14">
        <v>0</v>
      </c>
      <c r="U53" s="13">
        <v>2.9567999999999999</v>
      </c>
    </row>
    <row r="54" spans="1:21" ht="15" customHeight="1" x14ac:dyDescent="0.3">
      <c r="A54">
        <v>53</v>
      </c>
      <c r="B54" t="s">
        <v>433</v>
      </c>
      <c r="C54" s="12">
        <v>42112</v>
      </c>
      <c r="D54" s="12">
        <v>42116</v>
      </c>
      <c r="E54" t="s">
        <v>233</v>
      </c>
      <c r="F54" t="s">
        <v>434</v>
      </c>
      <c r="G54" t="s">
        <v>435</v>
      </c>
      <c r="H54" t="s">
        <v>209</v>
      </c>
      <c r="I54" t="s">
        <v>210</v>
      </c>
      <c r="J54" t="s">
        <v>436</v>
      </c>
      <c r="K54" t="s">
        <v>437</v>
      </c>
      <c r="L54">
        <v>47150</v>
      </c>
      <c r="M54" t="s">
        <v>288</v>
      </c>
      <c r="N54" t="s">
        <v>444</v>
      </c>
      <c r="O54" t="s">
        <v>215</v>
      </c>
      <c r="P54" t="s">
        <v>219</v>
      </c>
      <c r="Q54" t="s">
        <v>445</v>
      </c>
      <c r="R54" s="13">
        <v>89.99</v>
      </c>
      <c r="S54">
        <v>1</v>
      </c>
      <c r="T54" s="14">
        <v>0</v>
      </c>
      <c r="U54" s="13">
        <v>17.098099999999999</v>
      </c>
    </row>
    <row r="55" spans="1:21" ht="15" customHeight="1" x14ac:dyDescent="0.3">
      <c r="A55">
        <v>54</v>
      </c>
      <c r="B55" t="s">
        <v>446</v>
      </c>
      <c r="C55" s="12">
        <v>42715</v>
      </c>
      <c r="D55" s="12">
        <v>42721</v>
      </c>
      <c r="E55" t="s">
        <v>233</v>
      </c>
      <c r="F55" t="s">
        <v>447</v>
      </c>
      <c r="G55" t="s">
        <v>448</v>
      </c>
      <c r="H55" t="s">
        <v>224</v>
      </c>
      <c r="I55" t="s">
        <v>210</v>
      </c>
      <c r="J55" t="s">
        <v>449</v>
      </c>
      <c r="K55" t="s">
        <v>450</v>
      </c>
      <c r="L55">
        <v>10024</v>
      </c>
      <c r="M55" t="s">
        <v>331</v>
      </c>
      <c r="N55" t="s">
        <v>451</v>
      </c>
      <c r="O55" t="s">
        <v>229</v>
      </c>
      <c r="P55" t="s">
        <v>452</v>
      </c>
      <c r="Q55" t="s">
        <v>453</v>
      </c>
      <c r="R55" s="13">
        <v>15.26</v>
      </c>
      <c r="S55">
        <v>7</v>
      </c>
      <c r="T55" s="14">
        <v>0</v>
      </c>
      <c r="U55" s="13">
        <v>6.2565999999999997</v>
      </c>
    </row>
    <row r="56" spans="1:21" ht="15" customHeight="1" x14ac:dyDescent="0.3">
      <c r="A56">
        <v>55</v>
      </c>
      <c r="B56" t="s">
        <v>446</v>
      </c>
      <c r="C56" s="12">
        <v>42715</v>
      </c>
      <c r="D56" s="12">
        <v>42721</v>
      </c>
      <c r="E56" t="s">
        <v>233</v>
      </c>
      <c r="F56" t="s">
        <v>447</v>
      </c>
      <c r="G56" t="s">
        <v>448</v>
      </c>
      <c r="H56" t="s">
        <v>224</v>
      </c>
      <c r="I56" t="s">
        <v>210</v>
      </c>
      <c r="J56" t="s">
        <v>449</v>
      </c>
      <c r="K56" t="s">
        <v>450</v>
      </c>
      <c r="L56">
        <v>10024</v>
      </c>
      <c r="M56" t="s">
        <v>331</v>
      </c>
      <c r="N56" t="s">
        <v>454</v>
      </c>
      <c r="O56" t="s">
        <v>254</v>
      </c>
      <c r="P56" t="s">
        <v>255</v>
      </c>
      <c r="Q56" t="s">
        <v>455</v>
      </c>
      <c r="R56" s="13">
        <v>1029.95</v>
      </c>
      <c r="S56">
        <v>5</v>
      </c>
      <c r="T56" s="14">
        <v>0</v>
      </c>
      <c r="U56" s="13">
        <v>298.68549999999999</v>
      </c>
    </row>
    <row r="57" spans="1:21" ht="15" customHeight="1" x14ac:dyDescent="0.3">
      <c r="A57">
        <v>56</v>
      </c>
      <c r="B57" t="s">
        <v>456</v>
      </c>
      <c r="C57" s="12">
        <v>42538</v>
      </c>
      <c r="D57" s="12">
        <v>42539</v>
      </c>
      <c r="E57" t="s">
        <v>371</v>
      </c>
      <c r="F57" t="s">
        <v>457</v>
      </c>
      <c r="G57" t="s">
        <v>458</v>
      </c>
      <c r="H57" t="s">
        <v>209</v>
      </c>
      <c r="I57" t="s">
        <v>210</v>
      </c>
      <c r="J57" t="s">
        <v>459</v>
      </c>
      <c r="K57" t="s">
        <v>450</v>
      </c>
      <c r="L57">
        <v>12180</v>
      </c>
      <c r="M57" t="s">
        <v>331</v>
      </c>
      <c r="N57" t="s">
        <v>460</v>
      </c>
      <c r="O57" t="s">
        <v>229</v>
      </c>
      <c r="P57" t="s">
        <v>242</v>
      </c>
      <c r="Q57" t="s">
        <v>461</v>
      </c>
      <c r="R57" s="13">
        <v>208.56</v>
      </c>
      <c r="S57">
        <v>6</v>
      </c>
      <c r="T57" s="14">
        <v>0</v>
      </c>
      <c r="U57" s="13">
        <v>52.14</v>
      </c>
    </row>
    <row r="58" spans="1:21" ht="15" customHeight="1" x14ac:dyDescent="0.3">
      <c r="A58">
        <v>57</v>
      </c>
      <c r="B58" t="s">
        <v>456</v>
      </c>
      <c r="C58" s="12">
        <v>42538</v>
      </c>
      <c r="D58" s="12">
        <v>42539</v>
      </c>
      <c r="E58" t="s">
        <v>371</v>
      </c>
      <c r="F58" t="s">
        <v>457</v>
      </c>
      <c r="G58" t="s">
        <v>458</v>
      </c>
      <c r="H58" t="s">
        <v>209</v>
      </c>
      <c r="I58" t="s">
        <v>210</v>
      </c>
      <c r="J58" t="s">
        <v>459</v>
      </c>
      <c r="K58" t="s">
        <v>450</v>
      </c>
      <c r="L58">
        <v>12180</v>
      </c>
      <c r="M58" t="s">
        <v>331</v>
      </c>
      <c r="N58" t="s">
        <v>462</v>
      </c>
      <c r="O58" t="s">
        <v>229</v>
      </c>
      <c r="P58" t="s">
        <v>273</v>
      </c>
      <c r="Q58" t="s">
        <v>463</v>
      </c>
      <c r="R58" s="13">
        <v>32.4</v>
      </c>
      <c r="S58">
        <v>5</v>
      </c>
      <c r="T58" s="14">
        <v>0</v>
      </c>
      <c r="U58" s="13">
        <v>15.552</v>
      </c>
    </row>
    <row r="59" spans="1:21" ht="15" customHeight="1" x14ac:dyDescent="0.3">
      <c r="A59">
        <v>58</v>
      </c>
      <c r="B59" t="s">
        <v>456</v>
      </c>
      <c r="C59" s="12">
        <v>42538</v>
      </c>
      <c r="D59" s="12">
        <v>42539</v>
      </c>
      <c r="E59" t="s">
        <v>371</v>
      </c>
      <c r="F59" t="s">
        <v>457</v>
      </c>
      <c r="G59" t="s">
        <v>458</v>
      </c>
      <c r="H59" t="s">
        <v>209</v>
      </c>
      <c r="I59" t="s">
        <v>210</v>
      </c>
      <c r="J59" t="s">
        <v>459</v>
      </c>
      <c r="K59" t="s">
        <v>450</v>
      </c>
      <c r="L59">
        <v>12180</v>
      </c>
      <c r="M59" t="s">
        <v>331</v>
      </c>
      <c r="N59" t="s">
        <v>464</v>
      </c>
      <c r="O59" t="s">
        <v>215</v>
      </c>
      <c r="P59" t="s">
        <v>219</v>
      </c>
      <c r="Q59" t="s">
        <v>465</v>
      </c>
      <c r="R59" s="13">
        <v>319.41000000000003</v>
      </c>
      <c r="S59">
        <v>5</v>
      </c>
      <c r="T59" s="14">
        <v>0.1</v>
      </c>
      <c r="U59" s="13">
        <v>7.0980000000000096</v>
      </c>
    </row>
    <row r="60" spans="1:21" ht="15" customHeight="1" x14ac:dyDescent="0.3">
      <c r="A60">
        <v>59</v>
      </c>
      <c r="B60" t="s">
        <v>456</v>
      </c>
      <c r="C60" s="12">
        <v>42538</v>
      </c>
      <c r="D60" s="12">
        <v>42539</v>
      </c>
      <c r="E60" t="s">
        <v>371</v>
      </c>
      <c r="F60" t="s">
        <v>457</v>
      </c>
      <c r="G60" t="s">
        <v>458</v>
      </c>
      <c r="H60" t="s">
        <v>209</v>
      </c>
      <c r="I60" t="s">
        <v>210</v>
      </c>
      <c r="J60" t="s">
        <v>459</v>
      </c>
      <c r="K60" t="s">
        <v>450</v>
      </c>
      <c r="L60">
        <v>12180</v>
      </c>
      <c r="M60" t="s">
        <v>331</v>
      </c>
      <c r="N60" t="s">
        <v>466</v>
      </c>
      <c r="O60" t="s">
        <v>229</v>
      </c>
      <c r="P60" t="s">
        <v>273</v>
      </c>
      <c r="Q60" t="s">
        <v>467</v>
      </c>
      <c r="R60" s="13">
        <v>14.56</v>
      </c>
      <c r="S60">
        <v>2</v>
      </c>
      <c r="T60" s="14">
        <v>0</v>
      </c>
      <c r="U60" s="13">
        <v>6.9888000000000003</v>
      </c>
    </row>
    <row r="61" spans="1:21" ht="15" customHeight="1" x14ac:dyDescent="0.3">
      <c r="A61">
        <v>60</v>
      </c>
      <c r="B61" t="s">
        <v>456</v>
      </c>
      <c r="C61" s="12">
        <v>42538</v>
      </c>
      <c r="D61" s="12">
        <v>42539</v>
      </c>
      <c r="E61" t="s">
        <v>371</v>
      </c>
      <c r="F61" t="s">
        <v>457</v>
      </c>
      <c r="G61" t="s">
        <v>458</v>
      </c>
      <c r="H61" t="s">
        <v>209</v>
      </c>
      <c r="I61" t="s">
        <v>210</v>
      </c>
      <c r="J61" t="s">
        <v>459</v>
      </c>
      <c r="K61" t="s">
        <v>450</v>
      </c>
      <c r="L61">
        <v>12180</v>
      </c>
      <c r="M61" t="s">
        <v>331</v>
      </c>
      <c r="N61" t="s">
        <v>429</v>
      </c>
      <c r="O61" t="s">
        <v>254</v>
      </c>
      <c r="P61" t="s">
        <v>344</v>
      </c>
      <c r="Q61" t="s">
        <v>430</v>
      </c>
      <c r="R61" s="13">
        <v>30</v>
      </c>
      <c r="S61">
        <v>2</v>
      </c>
      <c r="T61" s="14">
        <v>0</v>
      </c>
      <c r="U61" s="13">
        <v>3.3</v>
      </c>
    </row>
    <row r="62" spans="1:21" ht="15" customHeight="1" x14ac:dyDescent="0.3">
      <c r="A62">
        <v>61</v>
      </c>
      <c r="B62" t="s">
        <v>456</v>
      </c>
      <c r="C62" s="12">
        <v>42538</v>
      </c>
      <c r="D62" s="12">
        <v>42539</v>
      </c>
      <c r="E62" t="s">
        <v>371</v>
      </c>
      <c r="F62" t="s">
        <v>457</v>
      </c>
      <c r="G62" t="s">
        <v>458</v>
      </c>
      <c r="H62" t="s">
        <v>209</v>
      </c>
      <c r="I62" t="s">
        <v>210</v>
      </c>
      <c r="J62" t="s">
        <v>459</v>
      </c>
      <c r="K62" t="s">
        <v>450</v>
      </c>
      <c r="L62">
        <v>12180</v>
      </c>
      <c r="M62" t="s">
        <v>331</v>
      </c>
      <c r="N62" t="s">
        <v>468</v>
      </c>
      <c r="O62" t="s">
        <v>229</v>
      </c>
      <c r="P62" t="s">
        <v>258</v>
      </c>
      <c r="Q62" t="s">
        <v>469</v>
      </c>
      <c r="R62" s="13">
        <v>48.48</v>
      </c>
      <c r="S62">
        <v>4</v>
      </c>
      <c r="T62" s="14">
        <v>0.2</v>
      </c>
      <c r="U62" s="13">
        <v>16.361999999999998</v>
      </c>
    </row>
    <row r="63" spans="1:21" ht="15" customHeight="1" x14ac:dyDescent="0.3">
      <c r="A63">
        <v>62</v>
      </c>
      <c r="B63" t="s">
        <v>456</v>
      </c>
      <c r="C63" s="12">
        <v>42538</v>
      </c>
      <c r="D63" s="12">
        <v>42539</v>
      </c>
      <c r="E63" t="s">
        <v>371</v>
      </c>
      <c r="F63" t="s">
        <v>457</v>
      </c>
      <c r="G63" t="s">
        <v>458</v>
      </c>
      <c r="H63" t="s">
        <v>209</v>
      </c>
      <c r="I63" t="s">
        <v>210</v>
      </c>
      <c r="J63" t="s">
        <v>459</v>
      </c>
      <c r="K63" t="s">
        <v>450</v>
      </c>
      <c r="L63">
        <v>12180</v>
      </c>
      <c r="M63" t="s">
        <v>331</v>
      </c>
      <c r="N63" t="s">
        <v>470</v>
      </c>
      <c r="O63" t="s">
        <v>229</v>
      </c>
      <c r="P63" t="s">
        <v>251</v>
      </c>
      <c r="Q63" t="s">
        <v>471</v>
      </c>
      <c r="R63" s="13">
        <v>1.68</v>
      </c>
      <c r="S63">
        <v>1</v>
      </c>
      <c r="T63" s="14">
        <v>0</v>
      </c>
      <c r="U63" s="13">
        <v>0.84</v>
      </c>
    </row>
    <row r="64" spans="1:21" ht="15" customHeight="1" x14ac:dyDescent="0.3">
      <c r="A64">
        <v>63</v>
      </c>
      <c r="B64" t="s">
        <v>472</v>
      </c>
      <c r="C64" s="12">
        <v>42332</v>
      </c>
      <c r="D64" s="12">
        <v>42338</v>
      </c>
      <c r="E64" t="s">
        <v>233</v>
      </c>
      <c r="F64" t="s">
        <v>473</v>
      </c>
      <c r="G64" t="s">
        <v>474</v>
      </c>
      <c r="H64" t="s">
        <v>209</v>
      </c>
      <c r="I64" t="s">
        <v>210</v>
      </c>
      <c r="J64" t="s">
        <v>225</v>
      </c>
      <c r="K64" t="s">
        <v>226</v>
      </c>
      <c r="L64">
        <v>90004</v>
      </c>
      <c r="M64" t="s">
        <v>227</v>
      </c>
      <c r="N64" t="s">
        <v>475</v>
      </c>
      <c r="O64" t="s">
        <v>254</v>
      </c>
      <c r="P64" t="s">
        <v>344</v>
      </c>
      <c r="Q64" t="s">
        <v>476</v>
      </c>
      <c r="R64" s="13">
        <v>13.98</v>
      </c>
      <c r="S64">
        <v>2</v>
      </c>
      <c r="T64" s="14">
        <v>0</v>
      </c>
      <c r="U64" s="13">
        <v>6.1512000000000002</v>
      </c>
    </row>
    <row r="65" spans="1:21" ht="15" customHeight="1" x14ac:dyDescent="0.3">
      <c r="A65">
        <v>64</v>
      </c>
      <c r="B65" t="s">
        <v>472</v>
      </c>
      <c r="C65" s="12">
        <v>42332</v>
      </c>
      <c r="D65" s="12">
        <v>42338</v>
      </c>
      <c r="E65" t="s">
        <v>233</v>
      </c>
      <c r="F65" t="s">
        <v>473</v>
      </c>
      <c r="G65" t="s">
        <v>474</v>
      </c>
      <c r="H65" t="s">
        <v>209</v>
      </c>
      <c r="I65" t="s">
        <v>210</v>
      </c>
      <c r="J65" t="s">
        <v>225</v>
      </c>
      <c r="K65" t="s">
        <v>226</v>
      </c>
      <c r="L65">
        <v>90004</v>
      </c>
      <c r="M65" t="s">
        <v>227</v>
      </c>
      <c r="N65" t="s">
        <v>477</v>
      </c>
      <c r="O65" t="s">
        <v>229</v>
      </c>
      <c r="P65" t="s">
        <v>258</v>
      </c>
      <c r="Q65" t="s">
        <v>478</v>
      </c>
      <c r="R65" s="13">
        <v>25.824000000000002</v>
      </c>
      <c r="S65">
        <v>6</v>
      </c>
      <c r="T65" s="14">
        <v>0.2</v>
      </c>
      <c r="U65" s="13">
        <v>9.3612000000000002</v>
      </c>
    </row>
    <row r="66" spans="1:21" ht="15" customHeight="1" x14ac:dyDescent="0.3">
      <c r="A66">
        <v>65</v>
      </c>
      <c r="B66" t="s">
        <v>472</v>
      </c>
      <c r="C66" s="12">
        <v>42332</v>
      </c>
      <c r="D66" s="12">
        <v>42338</v>
      </c>
      <c r="E66" t="s">
        <v>233</v>
      </c>
      <c r="F66" t="s">
        <v>473</v>
      </c>
      <c r="G66" t="s">
        <v>474</v>
      </c>
      <c r="H66" t="s">
        <v>209</v>
      </c>
      <c r="I66" t="s">
        <v>210</v>
      </c>
      <c r="J66" t="s">
        <v>225</v>
      </c>
      <c r="K66" t="s">
        <v>226</v>
      </c>
      <c r="L66">
        <v>90004</v>
      </c>
      <c r="M66" t="s">
        <v>227</v>
      </c>
      <c r="N66" t="s">
        <v>479</v>
      </c>
      <c r="O66" t="s">
        <v>229</v>
      </c>
      <c r="P66" t="s">
        <v>273</v>
      </c>
      <c r="Q66" t="s">
        <v>480</v>
      </c>
      <c r="R66" s="13">
        <v>146.72999999999999</v>
      </c>
      <c r="S66">
        <v>3</v>
      </c>
      <c r="T66" s="14">
        <v>0</v>
      </c>
      <c r="U66" s="13">
        <v>68.963099999999997</v>
      </c>
    </row>
    <row r="67" spans="1:21" ht="15" customHeight="1" x14ac:dyDescent="0.3">
      <c r="A67">
        <v>66</v>
      </c>
      <c r="B67" t="s">
        <v>472</v>
      </c>
      <c r="C67" s="12">
        <v>42332</v>
      </c>
      <c r="D67" s="12">
        <v>42338</v>
      </c>
      <c r="E67" t="s">
        <v>233</v>
      </c>
      <c r="F67" t="s">
        <v>473</v>
      </c>
      <c r="G67" t="s">
        <v>474</v>
      </c>
      <c r="H67" t="s">
        <v>209</v>
      </c>
      <c r="I67" t="s">
        <v>210</v>
      </c>
      <c r="J67" t="s">
        <v>225</v>
      </c>
      <c r="K67" t="s">
        <v>226</v>
      </c>
      <c r="L67">
        <v>90004</v>
      </c>
      <c r="M67" t="s">
        <v>227</v>
      </c>
      <c r="N67" t="s">
        <v>481</v>
      </c>
      <c r="O67" t="s">
        <v>215</v>
      </c>
      <c r="P67" t="s">
        <v>248</v>
      </c>
      <c r="Q67" t="s">
        <v>482</v>
      </c>
      <c r="R67" s="13">
        <v>79.760000000000005</v>
      </c>
      <c r="S67">
        <v>4</v>
      </c>
      <c r="T67" s="14">
        <v>0</v>
      </c>
      <c r="U67" s="13">
        <v>22.332799999999999</v>
      </c>
    </row>
    <row r="68" spans="1:21" ht="15" customHeight="1" x14ac:dyDescent="0.3">
      <c r="A68">
        <v>67</v>
      </c>
      <c r="B68" t="s">
        <v>483</v>
      </c>
      <c r="C68" s="12">
        <v>42124</v>
      </c>
      <c r="D68" s="12">
        <v>42129</v>
      </c>
      <c r="E68" t="s">
        <v>233</v>
      </c>
      <c r="F68" t="s">
        <v>484</v>
      </c>
      <c r="G68" t="s">
        <v>485</v>
      </c>
      <c r="H68" t="s">
        <v>285</v>
      </c>
      <c r="I68" t="s">
        <v>210</v>
      </c>
      <c r="J68" t="s">
        <v>486</v>
      </c>
      <c r="K68" t="s">
        <v>394</v>
      </c>
      <c r="L68">
        <v>60610</v>
      </c>
      <c r="M68" t="s">
        <v>288</v>
      </c>
      <c r="N68" t="s">
        <v>487</v>
      </c>
      <c r="O68" t="s">
        <v>215</v>
      </c>
      <c r="P68" t="s">
        <v>219</v>
      </c>
      <c r="Q68" t="s">
        <v>488</v>
      </c>
      <c r="R68" s="13">
        <v>213.11500000000001</v>
      </c>
      <c r="S68">
        <v>5</v>
      </c>
      <c r="T68" s="14">
        <v>0.3</v>
      </c>
      <c r="U68" s="13">
        <v>-15.2225</v>
      </c>
    </row>
    <row r="69" spans="1:21" ht="15" customHeight="1" x14ac:dyDescent="0.3">
      <c r="A69">
        <v>68</v>
      </c>
      <c r="B69" t="s">
        <v>489</v>
      </c>
      <c r="C69" s="12">
        <v>41978</v>
      </c>
      <c r="D69" s="12">
        <v>41983</v>
      </c>
      <c r="E69" t="s">
        <v>233</v>
      </c>
      <c r="F69" t="s">
        <v>490</v>
      </c>
      <c r="G69" t="s">
        <v>491</v>
      </c>
      <c r="H69" t="s">
        <v>224</v>
      </c>
      <c r="I69" t="s">
        <v>210</v>
      </c>
      <c r="J69" t="s">
        <v>492</v>
      </c>
      <c r="K69" t="s">
        <v>493</v>
      </c>
      <c r="L69">
        <v>85234</v>
      </c>
      <c r="M69" t="s">
        <v>227</v>
      </c>
      <c r="N69" t="s">
        <v>494</v>
      </c>
      <c r="O69" t="s">
        <v>229</v>
      </c>
      <c r="P69" t="s">
        <v>251</v>
      </c>
      <c r="Q69" t="s">
        <v>495</v>
      </c>
      <c r="R69" s="13">
        <v>1113.0239999999999</v>
      </c>
      <c r="S69">
        <v>8</v>
      </c>
      <c r="T69" s="14">
        <v>0.2</v>
      </c>
      <c r="U69" s="13">
        <v>111.30240000000001</v>
      </c>
    </row>
    <row r="70" spans="1:21" ht="15" customHeight="1" x14ac:dyDescent="0.3">
      <c r="A70">
        <v>69</v>
      </c>
      <c r="B70" t="s">
        <v>489</v>
      </c>
      <c r="C70" s="12">
        <v>41978</v>
      </c>
      <c r="D70" s="12">
        <v>41983</v>
      </c>
      <c r="E70" t="s">
        <v>233</v>
      </c>
      <c r="F70" t="s">
        <v>490</v>
      </c>
      <c r="G70" t="s">
        <v>491</v>
      </c>
      <c r="H70" t="s">
        <v>224</v>
      </c>
      <c r="I70" t="s">
        <v>210</v>
      </c>
      <c r="J70" t="s">
        <v>492</v>
      </c>
      <c r="K70" t="s">
        <v>493</v>
      </c>
      <c r="L70">
        <v>85234</v>
      </c>
      <c r="M70" t="s">
        <v>227</v>
      </c>
      <c r="N70" t="s">
        <v>496</v>
      </c>
      <c r="O70" t="s">
        <v>254</v>
      </c>
      <c r="P70" t="s">
        <v>255</v>
      </c>
      <c r="Q70" t="s">
        <v>497</v>
      </c>
      <c r="R70" s="13">
        <v>167.96799999999999</v>
      </c>
      <c r="S70">
        <v>4</v>
      </c>
      <c r="T70" s="14">
        <v>0.2</v>
      </c>
      <c r="U70" s="13">
        <v>62.988</v>
      </c>
    </row>
    <row r="71" spans="1:21" ht="15" customHeight="1" x14ac:dyDescent="0.3">
      <c r="A71">
        <v>70</v>
      </c>
      <c r="B71" t="s">
        <v>498</v>
      </c>
      <c r="C71" s="12">
        <v>42525</v>
      </c>
      <c r="D71" s="12">
        <v>42527</v>
      </c>
      <c r="E71" t="s">
        <v>371</v>
      </c>
      <c r="F71" t="s">
        <v>499</v>
      </c>
      <c r="G71" t="s">
        <v>500</v>
      </c>
      <c r="H71" t="s">
        <v>209</v>
      </c>
      <c r="I71" t="s">
        <v>210</v>
      </c>
      <c r="J71" t="s">
        <v>501</v>
      </c>
      <c r="K71" t="s">
        <v>502</v>
      </c>
      <c r="L71">
        <v>22153</v>
      </c>
      <c r="M71" t="s">
        <v>213</v>
      </c>
      <c r="N71" t="s">
        <v>503</v>
      </c>
      <c r="O71" t="s">
        <v>229</v>
      </c>
      <c r="P71" t="s">
        <v>273</v>
      </c>
      <c r="Q71" t="s">
        <v>504</v>
      </c>
      <c r="R71" s="13">
        <v>75.88</v>
      </c>
      <c r="S71">
        <v>2</v>
      </c>
      <c r="T71" s="14">
        <v>0</v>
      </c>
      <c r="U71" s="13">
        <v>35.663600000000002</v>
      </c>
    </row>
    <row r="72" spans="1:21" ht="15" customHeight="1" x14ac:dyDescent="0.3">
      <c r="A72">
        <v>71</v>
      </c>
      <c r="B72" t="s">
        <v>505</v>
      </c>
      <c r="C72" s="12">
        <v>42631</v>
      </c>
      <c r="D72" s="12">
        <v>42636</v>
      </c>
      <c r="E72" t="s">
        <v>233</v>
      </c>
      <c r="F72" t="s">
        <v>506</v>
      </c>
      <c r="G72" t="s">
        <v>507</v>
      </c>
      <c r="H72" t="s">
        <v>209</v>
      </c>
      <c r="I72" t="s">
        <v>210</v>
      </c>
      <c r="J72" t="s">
        <v>449</v>
      </c>
      <c r="K72" t="s">
        <v>450</v>
      </c>
      <c r="L72">
        <v>10009</v>
      </c>
      <c r="M72" t="s">
        <v>331</v>
      </c>
      <c r="N72" t="s">
        <v>508</v>
      </c>
      <c r="O72" t="s">
        <v>229</v>
      </c>
      <c r="P72" t="s">
        <v>258</v>
      </c>
      <c r="Q72" t="s">
        <v>509</v>
      </c>
      <c r="R72" s="13">
        <v>4.6159999999999997</v>
      </c>
      <c r="S72">
        <v>1</v>
      </c>
      <c r="T72" s="14">
        <v>0.2</v>
      </c>
      <c r="U72" s="13">
        <v>1.7310000000000001</v>
      </c>
    </row>
    <row r="73" spans="1:21" ht="15" customHeight="1" x14ac:dyDescent="0.3">
      <c r="A73">
        <v>72</v>
      </c>
      <c r="B73" t="s">
        <v>510</v>
      </c>
      <c r="C73" s="12">
        <v>42992</v>
      </c>
      <c r="D73" s="12">
        <v>42995</v>
      </c>
      <c r="E73" t="s">
        <v>206</v>
      </c>
      <c r="F73" t="s">
        <v>347</v>
      </c>
      <c r="G73" t="s">
        <v>348</v>
      </c>
      <c r="H73" t="s">
        <v>209</v>
      </c>
      <c r="I73" t="s">
        <v>210</v>
      </c>
      <c r="J73" t="s">
        <v>511</v>
      </c>
      <c r="K73" t="s">
        <v>421</v>
      </c>
      <c r="L73">
        <v>49201</v>
      </c>
      <c r="M73" t="s">
        <v>288</v>
      </c>
      <c r="N73" t="s">
        <v>512</v>
      </c>
      <c r="O73" t="s">
        <v>229</v>
      </c>
      <c r="P73" t="s">
        <v>273</v>
      </c>
      <c r="Q73" t="s">
        <v>513</v>
      </c>
      <c r="R73" s="13">
        <v>19.05</v>
      </c>
      <c r="S73">
        <v>3</v>
      </c>
      <c r="T73" s="14">
        <v>0</v>
      </c>
      <c r="U73" s="13">
        <v>8.7629999999999999</v>
      </c>
    </row>
    <row r="74" spans="1:21" ht="15" customHeight="1" x14ac:dyDescent="0.3">
      <c r="A74">
        <v>73</v>
      </c>
      <c r="B74" t="s">
        <v>514</v>
      </c>
      <c r="C74" s="12">
        <v>42120</v>
      </c>
      <c r="D74" s="12">
        <v>42126</v>
      </c>
      <c r="E74" t="s">
        <v>233</v>
      </c>
      <c r="F74" t="s">
        <v>515</v>
      </c>
      <c r="G74" t="s">
        <v>516</v>
      </c>
      <c r="H74" t="s">
        <v>209</v>
      </c>
      <c r="I74" t="s">
        <v>210</v>
      </c>
      <c r="J74" t="s">
        <v>517</v>
      </c>
      <c r="K74" t="s">
        <v>518</v>
      </c>
      <c r="L74">
        <v>38109</v>
      </c>
      <c r="M74" t="s">
        <v>213</v>
      </c>
      <c r="N74" t="s">
        <v>519</v>
      </c>
      <c r="O74" t="s">
        <v>215</v>
      </c>
      <c r="P74" t="s">
        <v>219</v>
      </c>
      <c r="Q74" t="s">
        <v>520</v>
      </c>
      <c r="R74" s="13">
        <v>831.93600000000004</v>
      </c>
      <c r="S74">
        <v>8</v>
      </c>
      <c r="T74" s="14">
        <v>0.2</v>
      </c>
      <c r="U74" s="13">
        <v>-114.3912</v>
      </c>
    </row>
    <row r="75" spans="1:21" ht="15" customHeight="1" x14ac:dyDescent="0.3">
      <c r="A75">
        <v>74</v>
      </c>
      <c r="B75" t="s">
        <v>514</v>
      </c>
      <c r="C75" s="12">
        <v>42120</v>
      </c>
      <c r="D75" s="12">
        <v>42126</v>
      </c>
      <c r="E75" t="s">
        <v>233</v>
      </c>
      <c r="F75" t="s">
        <v>515</v>
      </c>
      <c r="G75" t="s">
        <v>516</v>
      </c>
      <c r="H75" t="s">
        <v>209</v>
      </c>
      <c r="I75" t="s">
        <v>210</v>
      </c>
      <c r="J75" t="s">
        <v>517</v>
      </c>
      <c r="K75" t="s">
        <v>518</v>
      </c>
      <c r="L75">
        <v>38109</v>
      </c>
      <c r="M75" t="s">
        <v>213</v>
      </c>
      <c r="N75" t="s">
        <v>521</v>
      </c>
      <c r="O75" t="s">
        <v>215</v>
      </c>
      <c r="P75" t="s">
        <v>248</v>
      </c>
      <c r="Q75" t="s">
        <v>522</v>
      </c>
      <c r="R75" s="13">
        <v>97.04</v>
      </c>
      <c r="S75">
        <v>2</v>
      </c>
      <c r="T75" s="14">
        <v>0.2</v>
      </c>
      <c r="U75" s="13">
        <v>1.2130000000000001</v>
      </c>
    </row>
    <row r="76" spans="1:21" ht="15" customHeight="1" x14ac:dyDescent="0.3">
      <c r="A76">
        <v>75</v>
      </c>
      <c r="B76" t="s">
        <v>514</v>
      </c>
      <c r="C76" s="12">
        <v>42120</v>
      </c>
      <c r="D76" s="12">
        <v>42126</v>
      </c>
      <c r="E76" t="s">
        <v>233</v>
      </c>
      <c r="F76" t="s">
        <v>515</v>
      </c>
      <c r="G76" t="s">
        <v>516</v>
      </c>
      <c r="H76" t="s">
        <v>209</v>
      </c>
      <c r="I76" t="s">
        <v>210</v>
      </c>
      <c r="J76" t="s">
        <v>517</v>
      </c>
      <c r="K76" t="s">
        <v>518</v>
      </c>
      <c r="L76">
        <v>38109</v>
      </c>
      <c r="M76" t="s">
        <v>213</v>
      </c>
      <c r="N76" t="s">
        <v>523</v>
      </c>
      <c r="O76" t="s">
        <v>229</v>
      </c>
      <c r="P76" t="s">
        <v>242</v>
      </c>
      <c r="Q76" t="s">
        <v>524</v>
      </c>
      <c r="R76" s="13">
        <v>72.784000000000006</v>
      </c>
      <c r="S76">
        <v>1</v>
      </c>
      <c r="T76" s="14">
        <v>0.2</v>
      </c>
      <c r="U76" s="13">
        <v>-18.196000000000002</v>
      </c>
    </row>
    <row r="77" spans="1:21" ht="15" customHeight="1" x14ac:dyDescent="0.3">
      <c r="A77">
        <v>76</v>
      </c>
      <c r="B77" t="s">
        <v>525</v>
      </c>
      <c r="C77" s="12">
        <v>43078</v>
      </c>
      <c r="D77" s="12">
        <v>43080</v>
      </c>
      <c r="E77" t="s">
        <v>371</v>
      </c>
      <c r="F77" t="s">
        <v>526</v>
      </c>
      <c r="G77" t="s">
        <v>527</v>
      </c>
      <c r="H77" t="s">
        <v>224</v>
      </c>
      <c r="I77" t="s">
        <v>210</v>
      </c>
      <c r="J77" t="s">
        <v>367</v>
      </c>
      <c r="K77" t="s">
        <v>287</v>
      </c>
      <c r="L77">
        <v>77041</v>
      </c>
      <c r="M77" t="s">
        <v>288</v>
      </c>
      <c r="N77" t="s">
        <v>528</v>
      </c>
      <c r="O77" t="s">
        <v>229</v>
      </c>
      <c r="P77" t="s">
        <v>258</v>
      </c>
      <c r="Q77" t="s">
        <v>529</v>
      </c>
      <c r="R77" s="13">
        <v>1.248</v>
      </c>
      <c r="S77">
        <v>3</v>
      </c>
      <c r="T77" s="14">
        <v>0.8</v>
      </c>
      <c r="U77" s="13">
        <v>-1.9343999999999999</v>
      </c>
    </row>
    <row r="78" spans="1:21" ht="15" customHeight="1" x14ac:dyDescent="0.3">
      <c r="A78">
        <v>77</v>
      </c>
      <c r="B78" t="s">
        <v>525</v>
      </c>
      <c r="C78" s="12">
        <v>43078</v>
      </c>
      <c r="D78" s="12">
        <v>43080</v>
      </c>
      <c r="E78" t="s">
        <v>371</v>
      </c>
      <c r="F78" t="s">
        <v>526</v>
      </c>
      <c r="G78" t="s">
        <v>527</v>
      </c>
      <c r="H78" t="s">
        <v>224</v>
      </c>
      <c r="I78" t="s">
        <v>210</v>
      </c>
      <c r="J78" t="s">
        <v>367</v>
      </c>
      <c r="K78" t="s">
        <v>287</v>
      </c>
      <c r="L78">
        <v>77041</v>
      </c>
      <c r="M78" t="s">
        <v>288</v>
      </c>
      <c r="N78" t="s">
        <v>530</v>
      </c>
      <c r="O78" t="s">
        <v>215</v>
      </c>
      <c r="P78" t="s">
        <v>248</v>
      </c>
      <c r="Q78" t="s">
        <v>531</v>
      </c>
      <c r="R78" s="13">
        <v>9.7080000000000002</v>
      </c>
      <c r="S78">
        <v>3</v>
      </c>
      <c r="T78" s="14">
        <v>0.6</v>
      </c>
      <c r="U78" s="13">
        <v>-5.8247999999999998</v>
      </c>
    </row>
    <row r="79" spans="1:21" ht="15" customHeight="1" x14ac:dyDescent="0.3">
      <c r="A79">
        <v>78</v>
      </c>
      <c r="B79" t="s">
        <v>525</v>
      </c>
      <c r="C79" s="12">
        <v>43078</v>
      </c>
      <c r="D79" s="12">
        <v>43080</v>
      </c>
      <c r="E79" t="s">
        <v>371</v>
      </c>
      <c r="F79" t="s">
        <v>526</v>
      </c>
      <c r="G79" t="s">
        <v>527</v>
      </c>
      <c r="H79" t="s">
        <v>224</v>
      </c>
      <c r="I79" t="s">
        <v>210</v>
      </c>
      <c r="J79" t="s">
        <v>367</v>
      </c>
      <c r="K79" t="s">
        <v>287</v>
      </c>
      <c r="L79">
        <v>77041</v>
      </c>
      <c r="M79" t="s">
        <v>288</v>
      </c>
      <c r="N79" t="s">
        <v>532</v>
      </c>
      <c r="O79" t="s">
        <v>229</v>
      </c>
      <c r="P79" t="s">
        <v>242</v>
      </c>
      <c r="Q79" t="s">
        <v>533</v>
      </c>
      <c r="R79" s="13">
        <v>27.24</v>
      </c>
      <c r="S79">
        <v>3</v>
      </c>
      <c r="T79" s="14">
        <v>0.2</v>
      </c>
      <c r="U79" s="13">
        <v>2.7240000000000002</v>
      </c>
    </row>
    <row r="80" spans="1:21" ht="15" customHeight="1" x14ac:dyDescent="0.3">
      <c r="A80">
        <v>79</v>
      </c>
      <c r="B80" t="s">
        <v>534</v>
      </c>
      <c r="C80" s="12">
        <v>41969</v>
      </c>
      <c r="D80" s="12">
        <v>41974</v>
      </c>
      <c r="E80" t="s">
        <v>206</v>
      </c>
      <c r="F80" t="s">
        <v>515</v>
      </c>
      <c r="G80" t="s">
        <v>516</v>
      </c>
      <c r="H80" t="s">
        <v>209</v>
      </c>
      <c r="I80" t="s">
        <v>210</v>
      </c>
      <c r="J80" t="s">
        <v>367</v>
      </c>
      <c r="K80" t="s">
        <v>287</v>
      </c>
      <c r="L80">
        <v>77070</v>
      </c>
      <c r="M80" t="s">
        <v>288</v>
      </c>
      <c r="N80" t="s">
        <v>535</v>
      </c>
      <c r="O80" t="s">
        <v>215</v>
      </c>
      <c r="P80" t="s">
        <v>248</v>
      </c>
      <c r="Q80" t="s">
        <v>536</v>
      </c>
      <c r="R80" s="13">
        <v>19.3</v>
      </c>
      <c r="S80">
        <v>5</v>
      </c>
      <c r="T80" s="14">
        <v>0.6</v>
      </c>
      <c r="U80" s="13">
        <v>-14.475</v>
      </c>
    </row>
    <row r="81" spans="1:21" ht="15" customHeight="1" x14ac:dyDescent="0.3">
      <c r="A81">
        <v>80</v>
      </c>
      <c r="B81" t="s">
        <v>537</v>
      </c>
      <c r="C81" s="12">
        <v>42533</v>
      </c>
      <c r="D81" s="12">
        <v>42536</v>
      </c>
      <c r="E81" t="s">
        <v>371</v>
      </c>
      <c r="F81" t="s">
        <v>538</v>
      </c>
      <c r="G81" t="s">
        <v>539</v>
      </c>
      <c r="H81" t="s">
        <v>224</v>
      </c>
      <c r="I81" t="s">
        <v>210</v>
      </c>
      <c r="J81" t="s">
        <v>540</v>
      </c>
      <c r="K81" t="s">
        <v>541</v>
      </c>
      <c r="L81">
        <v>35601</v>
      </c>
      <c r="M81" t="s">
        <v>213</v>
      </c>
      <c r="N81" t="s">
        <v>542</v>
      </c>
      <c r="O81" t="s">
        <v>229</v>
      </c>
      <c r="P81" t="s">
        <v>261</v>
      </c>
      <c r="Q81" t="s">
        <v>543</v>
      </c>
      <c r="R81" s="13">
        <v>208.16</v>
      </c>
      <c r="S81">
        <v>1</v>
      </c>
      <c r="T81" s="14">
        <v>0</v>
      </c>
      <c r="U81" s="13">
        <v>56.203200000000002</v>
      </c>
    </row>
    <row r="82" spans="1:21" ht="15" customHeight="1" x14ac:dyDescent="0.3">
      <c r="A82">
        <v>81</v>
      </c>
      <c r="B82" t="s">
        <v>537</v>
      </c>
      <c r="C82" s="12">
        <v>42533</v>
      </c>
      <c r="D82" s="12">
        <v>42536</v>
      </c>
      <c r="E82" t="s">
        <v>371</v>
      </c>
      <c r="F82" t="s">
        <v>538</v>
      </c>
      <c r="G82" t="s">
        <v>539</v>
      </c>
      <c r="H82" t="s">
        <v>224</v>
      </c>
      <c r="I82" t="s">
        <v>210</v>
      </c>
      <c r="J82" t="s">
        <v>540</v>
      </c>
      <c r="K82" t="s">
        <v>541</v>
      </c>
      <c r="L82">
        <v>35601</v>
      </c>
      <c r="M82" t="s">
        <v>213</v>
      </c>
      <c r="N82" t="s">
        <v>544</v>
      </c>
      <c r="O82" t="s">
        <v>229</v>
      </c>
      <c r="P82" t="s">
        <v>258</v>
      </c>
      <c r="Q82" t="s">
        <v>545</v>
      </c>
      <c r="R82" s="13">
        <v>16.739999999999998</v>
      </c>
      <c r="S82">
        <v>3</v>
      </c>
      <c r="T82" s="14">
        <v>0</v>
      </c>
      <c r="U82" s="13">
        <v>8.0351999999999997</v>
      </c>
    </row>
    <row r="83" spans="1:21" ht="15" customHeight="1" x14ac:dyDescent="0.3">
      <c r="A83">
        <v>82</v>
      </c>
      <c r="B83" t="s">
        <v>546</v>
      </c>
      <c r="C83" s="12">
        <v>41924</v>
      </c>
      <c r="D83" s="12">
        <v>41928</v>
      </c>
      <c r="E83" t="s">
        <v>233</v>
      </c>
      <c r="F83" t="s">
        <v>547</v>
      </c>
      <c r="G83" t="s">
        <v>548</v>
      </c>
      <c r="H83" t="s">
        <v>209</v>
      </c>
      <c r="I83" t="s">
        <v>210</v>
      </c>
      <c r="J83" t="s">
        <v>310</v>
      </c>
      <c r="K83" t="s">
        <v>226</v>
      </c>
      <c r="L83">
        <v>94122</v>
      </c>
      <c r="M83" t="s">
        <v>227</v>
      </c>
      <c r="N83" t="s">
        <v>549</v>
      </c>
      <c r="O83" t="s">
        <v>229</v>
      </c>
      <c r="P83" t="s">
        <v>251</v>
      </c>
      <c r="Q83" t="s">
        <v>550</v>
      </c>
      <c r="R83" s="13">
        <v>14.9</v>
      </c>
      <c r="S83">
        <v>5</v>
      </c>
      <c r="T83" s="14">
        <v>0</v>
      </c>
      <c r="U83" s="13">
        <v>4.1719999999999997</v>
      </c>
    </row>
    <row r="84" spans="1:21" ht="15" customHeight="1" x14ac:dyDescent="0.3">
      <c r="A84">
        <v>83</v>
      </c>
      <c r="B84" t="s">
        <v>546</v>
      </c>
      <c r="C84" s="12">
        <v>41924</v>
      </c>
      <c r="D84" s="12">
        <v>41928</v>
      </c>
      <c r="E84" t="s">
        <v>233</v>
      </c>
      <c r="F84" t="s">
        <v>547</v>
      </c>
      <c r="G84" t="s">
        <v>548</v>
      </c>
      <c r="H84" t="s">
        <v>209</v>
      </c>
      <c r="I84" t="s">
        <v>210</v>
      </c>
      <c r="J84" t="s">
        <v>310</v>
      </c>
      <c r="K84" t="s">
        <v>226</v>
      </c>
      <c r="L84">
        <v>94122</v>
      </c>
      <c r="M84" t="s">
        <v>227</v>
      </c>
      <c r="N84" t="s">
        <v>551</v>
      </c>
      <c r="O84" t="s">
        <v>229</v>
      </c>
      <c r="P84" t="s">
        <v>242</v>
      </c>
      <c r="Q84" t="s">
        <v>552</v>
      </c>
      <c r="R84" s="13">
        <v>21.39</v>
      </c>
      <c r="S84">
        <v>1</v>
      </c>
      <c r="T84" s="14">
        <v>0</v>
      </c>
      <c r="U84" s="13">
        <v>6.2031000000000001</v>
      </c>
    </row>
    <row r="85" spans="1:21" ht="15" customHeight="1" x14ac:dyDescent="0.3">
      <c r="A85">
        <v>84</v>
      </c>
      <c r="B85" t="s">
        <v>553</v>
      </c>
      <c r="C85" s="12">
        <v>42250</v>
      </c>
      <c r="D85" s="12">
        <v>42255</v>
      </c>
      <c r="E85" t="s">
        <v>233</v>
      </c>
      <c r="F85" t="s">
        <v>554</v>
      </c>
      <c r="G85" t="s">
        <v>555</v>
      </c>
      <c r="H85" t="s">
        <v>224</v>
      </c>
      <c r="I85" t="s">
        <v>210</v>
      </c>
      <c r="J85" t="s">
        <v>556</v>
      </c>
      <c r="K85" t="s">
        <v>271</v>
      </c>
      <c r="L85">
        <v>27707</v>
      </c>
      <c r="M85" t="s">
        <v>213</v>
      </c>
      <c r="N85" t="s">
        <v>557</v>
      </c>
      <c r="O85" t="s">
        <v>229</v>
      </c>
      <c r="P85" t="s">
        <v>356</v>
      </c>
      <c r="Q85" t="s">
        <v>558</v>
      </c>
      <c r="R85" s="13">
        <v>200.98400000000001</v>
      </c>
      <c r="S85">
        <v>7</v>
      </c>
      <c r="T85" s="14">
        <v>0.2</v>
      </c>
      <c r="U85" s="13">
        <v>62.807499999999997</v>
      </c>
    </row>
    <row r="86" spans="1:21" ht="15" customHeight="1" x14ac:dyDescent="0.3">
      <c r="A86">
        <v>85</v>
      </c>
      <c r="B86" t="s">
        <v>559</v>
      </c>
      <c r="C86" s="12">
        <v>43052</v>
      </c>
      <c r="D86" s="12">
        <v>43055</v>
      </c>
      <c r="E86" t="s">
        <v>371</v>
      </c>
      <c r="F86" t="s">
        <v>560</v>
      </c>
      <c r="G86" t="s">
        <v>561</v>
      </c>
      <c r="H86" t="s">
        <v>285</v>
      </c>
      <c r="I86" t="s">
        <v>210</v>
      </c>
      <c r="J86" t="s">
        <v>486</v>
      </c>
      <c r="K86" t="s">
        <v>394</v>
      </c>
      <c r="L86">
        <v>60623</v>
      </c>
      <c r="M86" t="s">
        <v>288</v>
      </c>
      <c r="N86" t="s">
        <v>562</v>
      </c>
      <c r="O86" t="s">
        <v>229</v>
      </c>
      <c r="P86" t="s">
        <v>242</v>
      </c>
      <c r="Q86" t="s">
        <v>563</v>
      </c>
      <c r="R86" s="13">
        <v>230.376</v>
      </c>
      <c r="S86">
        <v>3</v>
      </c>
      <c r="T86" s="14">
        <v>0.2</v>
      </c>
      <c r="U86" s="13">
        <v>-48.954900000000002</v>
      </c>
    </row>
    <row r="87" spans="1:21" ht="15" customHeight="1" x14ac:dyDescent="0.3">
      <c r="A87">
        <v>86</v>
      </c>
      <c r="B87" t="s">
        <v>564</v>
      </c>
      <c r="C87" s="12">
        <v>42883</v>
      </c>
      <c r="D87" s="12">
        <v>42885</v>
      </c>
      <c r="E87" t="s">
        <v>206</v>
      </c>
      <c r="F87" t="s">
        <v>418</v>
      </c>
      <c r="G87" t="s">
        <v>419</v>
      </c>
      <c r="H87" t="s">
        <v>209</v>
      </c>
      <c r="I87" t="s">
        <v>210</v>
      </c>
      <c r="J87" t="s">
        <v>565</v>
      </c>
      <c r="K87" t="s">
        <v>566</v>
      </c>
      <c r="L87">
        <v>29203</v>
      </c>
      <c r="M87" t="s">
        <v>213</v>
      </c>
      <c r="N87" t="s">
        <v>567</v>
      </c>
      <c r="O87" t="s">
        <v>215</v>
      </c>
      <c r="P87" t="s">
        <v>219</v>
      </c>
      <c r="Q87" t="s">
        <v>568</v>
      </c>
      <c r="R87" s="13">
        <v>301.95999999999998</v>
      </c>
      <c r="S87">
        <v>2</v>
      </c>
      <c r="T87" s="14">
        <v>0</v>
      </c>
      <c r="U87" s="13">
        <v>33.215600000000002</v>
      </c>
    </row>
    <row r="88" spans="1:21" ht="15" customHeight="1" x14ac:dyDescent="0.3">
      <c r="A88">
        <v>87</v>
      </c>
      <c r="B88" t="s">
        <v>569</v>
      </c>
      <c r="C88" s="12">
        <v>43034</v>
      </c>
      <c r="D88" s="12">
        <v>43041</v>
      </c>
      <c r="E88" t="s">
        <v>233</v>
      </c>
      <c r="F88" t="s">
        <v>570</v>
      </c>
      <c r="G88" t="s">
        <v>571</v>
      </c>
      <c r="H88" t="s">
        <v>209</v>
      </c>
      <c r="I88" t="s">
        <v>210</v>
      </c>
      <c r="J88" t="s">
        <v>572</v>
      </c>
      <c r="K88" t="s">
        <v>412</v>
      </c>
      <c r="L88">
        <v>55901</v>
      </c>
      <c r="M88" t="s">
        <v>288</v>
      </c>
      <c r="N88" t="s">
        <v>573</v>
      </c>
      <c r="O88" t="s">
        <v>254</v>
      </c>
      <c r="P88" t="s">
        <v>344</v>
      </c>
      <c r="Q88" t="s">
        <v>574</v>
      </c>
      <c r="R88" s="13">
        <v>19.989999999999998</v>
      </c>
      <c r="S88">
        <v>1</v>
      </c>
      <c r="T88" s="14">
        <v>0</v>
      </c>
      <c r="U88" s="13">
        <v>6.7965999999999998</v>
      </c>
    </row>
    <row r="89" spans="1:21" ht="15" customHeight="1" x14ac:dyDescent="0.3">
      <c r="A89">
        <v>88</v>
      </c>
      <c r="B89" t="s">
        <v>569</v>
      </c>
      <c r="C89" s="12">
        <v>43034</v>
      </c>
      <c r="D89" s="12">
        <v>43041</v>
      </c>
      <c r="E89" t="s">
        <v>233</v>
      </c>
      <c r="F89" t="s">
        <v>570</v>
      </c>
      <c r="G89" t="s">
        <v>571</v>
      </c>
      <c r="H89" t="s">
        <v>209</v>
      </c>
      <c r="I89" t="s">
        <v>210</v>
      </c>
      <c r="J89" t="s">
        <v>572</v>
      </c>
      <c r="K89" t="s">
        <v>412</v>
      </c>
      <c r="L89">
        <v>55901</v>
      </c>
      <c r="M89" t="s">
        <v>288</v>
      </c>
      <c r="N89" t="s">
        <v>575</v>
      </c>
      <c r="O89" t="s">
        <v>229</v>
      </c>
      <c r="P89" t="s">
        <v>230</v>
      </c>
      <c r="Q89" t="s">
        <v>576</v>
      </c>
      <c r="R89" s="13">
        <v>6.16</v>
      </c>
      <c r="S89">
        <v>2</v>
      </c>
      <c r="T89" s="14">
        <v>0</v>
      </c>
      <c r="U89" s="13">
        <v>2.9567999999999999</v>
      </c>
    </row>
    <row r="90" spans="1:21" ht="15" customHeight="1" x14ac:dyDescent="0.3">
      <c r="A90">
        <v>89</v>
      </c>
      <c r="B90" t="s">
        <v>577</v>
      </c>
      <c r="C90" s="12">
        <v>42465</v>
      </c>
      <c r="D90" s="12">
        <v>42470</v>
      </c>
      <c r="E90" t="s">
        <v>206</v>
      </c>
      <c r="F90" t="s">
        <v>578</v>
      </c>
      <c r="G90" t="s">
        <v>579</v>
      </c>
      <c r="H90" t="s">
        <v>285</v>
      </c>
      <c r="I90" t="s">
        <v>210</v>
      </c>
      <c r="J90" t="s">
        <v>367</v>
      </c>
      <c r="K90" t="s">
        <v>287</v>
      </c>
      <c r="L90">
        <v>77095</v>
      </c>
      <c r="M90" t="s">
        <v>288</v>
      </c>
      <c r="N90" t="s">
        <v>580</v>
      </c>
      <c r="O90" t="s">
        <v>229</v>
      </c>
      <c r="P90" t="s">
        <v>242</v>
      </c>
      <c r="Q90" t="s">
        <v>581</v>
      </c>
      <c r="R90" s="13">
        <v>158.36799999999999</v>
      </c>
      <c r="S90">
        <v>7</v>
      </c>
      <c r="T90" s="14">
        <v>0.2</v>
      </c>
      <c r="U90" s="13">
        <v>13.857200000000001</v>
      </c>
    </row>
    <row r="91" spans="1:21" ht="15" customHeight="1" x14ac:dyDescent="0.3">
      <c r="A91">
        <v>90</v>
      </c>
      <c r="B91" t="s">
        <v>582</v>
      </c>
      <c r="C91" s="12">
        <v>42630</v>
      </c>
      <c r="D91" s="12">
        <v>42635</v>
      </c>
      <c r="E91" t="s">
        <v>233</v>
      </c>
      <c r="F91" t="s">
        <v>583</v>
      </c>
      <c r="G91" t="s">
        <v>584</v>
      </c>
      <c r="H91" t="s">
        <v>224</v>
      </c>
      <c r="I91" t="s">
        <v>210</v>
      </c>
      <c r="J91" t="s">
        <v>225</v>
      </c>
      <c r="K91" t="s">
        <v>226</v>
      </c>
      <c r="L91">
        <v>90036</v>
      </c>
      <c r="M91" t="s">
        <v>227</v>
      </c>
      <c r="N91" t="s">
        <v>585</v>
      </c>
      <c r="O91" t="s">
        <v>229</v>
      </c>
      <c r="P91" t="s">
        <v>251</v>
      </c>
      <c r="Q91" t="s">
        <v>586</v>
      </c>
      <c r="R91" s="13">
        <v>20.100000000000001</v>
      </c>
      <c r="S91">
        <v>3</v>
      </c>
      <c r="T91" s="14">
        <v>0</v>
      </c>
      <c r="U91" s="13">
        <v>6.633</v>
      </c>
    </row>
    <row r="92" spans="1:21" ht="15" customHeight="1" x14ac:dyDescent="0.3">
      <c r="A92">
        <v>91</v>
      </c>
      <c r="B92" t="s">
        <v>582</v>
      </c>
      <c r="C92" s="12">
        <v>42630</v>
      </c>
      <c r="D92" s="12">
        <v>42635</v>
      </c>
      <c r="E92" t="s">
        <v>233</v>
      </c>
      <c r="F92" t="s">
        <v>583</v>
      </c>
      <c r="G92" t="s">
        <v>584</v>
      </c>
      <c r="H92" t="s">
        <v>224</v>
      </c>
      <c r="I92" t="s">
        <v>210</v>
      </c>
      <c r="J92" t="s">
        <v>225</v>
      </c>
      <c r="K92" t="s">
        <v>226</v>
      </c>
      <c r="L92">
        <v>90036</v>
      </c>
      <c r="M92" t="s">
        <v>227</v>
      </c>
      <c r="N92" t="s">
        <v>395</v>
      </c>
      <c r="O92" t="s">
        <v>254</v>
      </c>
      <c r="P92" t="s">
        <v>255</v>
      </c>
      <c r="Q92" t="s">
        <v>396</v>
      </c>
      <c r="R92" s="13">
        <v>73.584000000000003</v>
      </c>
      <c r="S92">
        <v>2</v>
      </c>
      <c r="T92" s="14">
        <v>0.2</v>
      </c>
      <c r="U92" s="13">
        <v>8.2782</v>
      </c>
    </row>
    <row r="93" spans="1:21" ht="15" customHeight="1" x14ac:dyDescent="0.3">
      <c r="A93">
        <v>92</v>
      </c>
      <c r="B93" t="s">
        <v>582</v>
      </c>
      <c r="C93" s="12">
        <v>42630</v>
      </c>
      <c r="D93" s="12">
        <v>42635</v>
      </c>
      <c r="E93" t="s">
        <v>233</v>
      </c>
      <c r="F93" t="s">
        <v>583</v>
      </c>
      <c r="G93" t="s">
        <v>584</v>
      </c>
      <c r="H93" t="s">
        <v>224</v>
      </c>
      <c r="I93" t="s">
        <v>210</v>
      </c>
      <c r="J93" t="s">
        <v>225</v>
      </c>
      <c r="K93" t="s">
        <v>226</v>
      </c>
      <c r="L93">
        <v>90036</v>
      </c>
      <c r="M93" t="s">
        <v>227</v>
      </c>
      <c r="N93" t="s">
        <v>587</v>
      </c>
      <c r="O93" t="s">
        <v>229</v>
      </c>
      <c r="P93" t="s">
        <v>273</v>
      </c>
      <c r="Q93" t="s">
        <v>588</v>
      </c>
      <c r="R93" s="13">
        <v>6.48</v>
      </c>
      <c r="S93">
        <v>1</v>
      </c>
      <c r="T93" s="14">
        <v>0</v>
      </c>
      <c r="U93" s="13">
        <v>3.1103999999999998</v>
      </c>
    </row>
    <row r="94" spans="1:21" ht="15" customHeight="1" x14ac:dyDescent="0.3">
      <c r="A94">
        <v>93</v>
      </c>
      <c r="B94" t="s">
        <v>589</v>
      </c>
      <c r="C94" s="12">
        <v>42035</v>
      </c>
      <c r="D94" s="12">
        <v>42040</v>
      </c>
      <c r="E94" t="s">
        <v>206</v>
      </c>
      <c r="F94" t="s">
        <v>590</v>
      </c>
      <c r="G94" t="s">
        <v>591</v>
      </c>
      <c r="H94" t="s">
        <v>209</v>
      </c>
      <c r="I94" t="s">
        <v>210</v>
      </c>
      <c r="J94" t="s">
        <v>592</v>
      </c>
      <c r="K94" t="s">
        <v>412</v>
      </c>
      <c r="L94">
        <v>55407</v>
      </c>
      <c r="M94" t="s">
        <v>288</v>
      </c>
      <c r="N94" t="s">
        <v>593</v>
      </c>
      <c r="O94" t="s">
        <v>229</v>
      </c>
      <c r="P94" t="s">
        <v>273</v>
      </c>
      <c r="Q94" t="s">
        <v>594</v>
      </c>
      <c r="R94" s="13">
        <v>12.96</v>
      </c>
      <c r="S94">
        <v>2</v>
      </c>
      <c r="T94" s="14">
        <v>0</v>
      </c>
      <c r="U94" s="13">
        <v>6.2207999999999997</v>
      </c>
    </row>
    <row r="95" spans="1:21" ht="15" customHeight="1" x14ac:dyDescent="0.3">
      <c r="A95">
        <v>94</v>
      </c>
      <c r="B95" t="s">
        <v>589</v>
      </c>
      <c r="C95" s="12">
        <v>42035</v>
      </c>
      <c r="D95" s="12">
        <v>42040</v>
      </c>
      <c r="E95" t="s">
        <v>206</v>
      </c>
      <c r="F95" t="s">
        <v>590</v>
      </c>
      <c r="G95" t="s">
        <v>591</v>
      </c>
      <c r="H95" t="s">
        <v>209</v>
      </c>
      <c r="I95" t="s">
        <v>210</v>
      </c>
      <c r="J95" t="s">
        <v>592</v>
      </c>
      <c r="K95" t="s">
        <v>412</v>
      </c>
      <c r="L95">
        <v>55407</v>
      </c>
      <c r="M95" t="s">
        <v>288</v>
      </c>
      <c r="N95" t="s">
        <v>595</v>
      </c>
      <c r="O95" t="s">
        <v>215</v>
      </c>
      <c r="P95" t="s">
        <v>248</v>
      </c>
      <c r="Q95" t="s">
        <v>596</v>
      </c>
      <c r="R95" s="13">
        <v>53.34</v>
      </c>
      <c r="S95">
        <v>3</v>
      </c>
      <c r="T95" s="14">
        <v>0</v>
      </c>
      <c r="U95" s="13">
        <v>16.535399999999999</v>
      </c>
    </row>
    <row r="96" spans="1:21" ht="15" customHeight="1" x14ac:dyDescent="0.3">
      <c r="A96">
        <v>95</v>
      </c>
      <c r="B96" t="s">
        <v>589</v>
      </c>
      <c r="C96" s="12">
        <v>42035</v>
      </c>
      <c r="D96" s="12">
        <v>42040</v>
      </c>
      <c r="E96" t="s">
        <v>206</v>
      </c>
      <c r="F96" t="s">
        <v>590</v>
      </c>
      <c r="G96" t="s">
        <v>591</v>
      </c>
      <c r="H96" t="s">
        <v>209</v>
      </c>
      <c r="I96" t="s">
        <v>210</v>
      </c>
      <c r="J96" t="s">
        <v>592</v>
      </c>
      <c r="K96" t="s">
        <v>412</v>
      </c>
      <c r="L96">
        <v>55407</v>
      </c>
      <c r="M96" t="s">
        <v>288</v>
      </c>
      <c r="N96" t="s">
        <v>597</v>
      </c>
      <c r="O96" t="s">
        <v>229</v>
      </c>
      <c r="P96" t="s">
        <v>258</v>
      </c>
      <c r="Q96" t="s">
        <v>598</v>
      </c>
      <c r="R96" s="13">
        <v>32.96</v>
      </c>
      <c r="S96">
        <v>2</v>
      </c>
      <c r="T96" s="14">
        <v>0</v>
      </c>
      <c r="U96" s="13">
        <v>16.150400000000001</v>
      </c>
    </row>
    <row r="97" spans="1:21" ht="15" customHeight="1" x14ac:dyDescent="0.3">
      <c r="A97">
        <v>96</v>
      </c>
      <c r="B97" t="s">
        <v>599</v>
      </c>
      <c r="C97" s="12">
        <v>43045</v>
      </c>
      <c r="D97" s="12">
        <v>43051</v>
      </c>
      <c r="E97" t="s">
        <v>233</v>
      </c>
      <c r="F97" t="s">
        <v>600</v>
      </c>
      <c r="G97" t="s">
        <v>601</v>
      </c>
      <c r="H97" t="s">
        <v>285</v>
      </c>
      <c r="I97" t="s">
        <v>210</v>
      </c>
      <c r="J97" t="s">
        <v>602</v>
      </c>
      <c r="K97" t="s">
        <v>603</v>
      </c>
      <c r="L97">
        <v>97206</v>
      </c>
      <c r="M97" t="s">
        <v>227</v>
      </c>
      <c r="N97" t="s">
        <v>604</v>
      </c>
      <c r="O97" t="s">
        <v>229</v>
      </c>
      <c r="P97" t="s">
        <v>258</v>
      </c>
      <c r="Q97" t="s">
        <v>605</v>
      </c>
      <c r="R97" s="13">
        <v>5.6820000000000004</v>
      </c>
      <c r="S97">
        <v>1</v>
      </c>
      <c r="T97" s="14">
        <v>0.7</v>
      </c>
      <c r="U97" s="13">
        <v>-3.7879999999999998</v>
      </c>
    </row>
    <row r="98" spans="1:21" ht="15" customHeight="1" x14ac:dyDescent="0.3">
      <c r="A98">
        <v>97</v>
      </c>
      <c r="B98" t="s">
        <v>606</v>
      </c>
      <c r="C98" s="12">
        <v>43048</v>
      </c>
      <c r="D98" s="12">
        <v>43050</v>
      </c>
      <c r="E98" t="s">
        <v>206</v>
      </c>
      <c r="F98" t="s">
        <v>607</v>
      </c>
      <c r="G98" t="s">
        <v>608</v>
      </c>
      <c r="H98" t="s">
        <v>285</v>
      </c>
      <c r="I98" t="s">
        <v>210</v>
      </c>
      <c r="J98" t="s">
        <v>449</v>
      </c>
      <c r="K98" t="s">
        <v>450</v>
      </c>
      <c r="L98">
        <v>10009</v>
      </c>
      <c r="M98" t="s">
        <v>331</v>
      </c>
      <c r="N98" t="s">
        <v>609</v>
      </c>
      <c r="O98" t="s">
        <v>215</v>
      </c>
      <c r="P98" t="s">
        <v>248</v>
      </c>
      <c r="Q98" t="s">
        <v>610</v>
      </c>
      <c r="R98" s="13">
        <v>96.53</v>
      </c>
      <c r="S98">
        <v>7</v>
      </c>
      <c r="T98" s="14">
        <v>0</v>
      </c>
      <c r="U98" s="13">
        <v>40.5426</v>
      </c>
    </row>
    <row r="99" spans="1:21" ht="15" customHeight="1" x14ac:dyDescent="0.3">
      <c r="A99">
        <v>98</v>
      </c>
      <c r="B99" t="s">
        <v>611</v>
      </c>
      <c r="C99" s="12">
        <v>42903</v>
      </c>
      <c r="D99" s="12">
        <v>42906</v>
      </c>
      <c r="E99" t="s">
        <v>371</v>
      </c>
      <c r="F99" t="s">
        <v>612</v>
      </c>
      <c r="G99" t="s">
        <v>613</v>
      </c>
      <c r="H99" t="s">
        <v>209</v>
      </c>
      <c r="I99" t="s">
        <v>210</v>
      </c>
      <c r="J99" t="s">
        <v>310</v>
      </c>
      <c r="K99" t="s">
        <v>226</v>
      </c>
      <c r="L99">
        <v>94122</v>
      </c>
      <c r="M99" t="s">
        <v>227</v>
      </c>
      <c r="N99" t="s">
        <v>614</v>
      </c>
      <c r="O99" t="s">
        <v>229</v>
      </c>
      <c r="P99" t="s">
        <v>258</v>
      </c>
      <c r="Q99" t="s">
        <v>615</v>
      </c>
      <c r="R99" s="13">
        <v>51.311999999999998</v>
      </c>
      <c r="S99">
        <v>3</v>
      </c>
      <c r="T99" s="14">
        <v>0.2</v>
      </c>
      <c r="U99" s="13">
        <v>17.959199999999999</v>
      </c>
    </row>
    <row r="100" spans="1:21" ht="15" customHeight="1" x14ac:dyDescent="0.3">
      <c r="A100">
        <v>99</v>
      </c>
      <c r="B100" t="s">
        <v>616</v>
      </c>
      <c r="C100" s="12">
        <v>42619</v>
      </c>
      <c r="D100" s="12">
        <v>42624</v>
      </c>
      <c r="E100" t="s">
        <v>233</v>
      </c>
      <c r="F100" t="s">
        <v>617</v>
      </c>
      <c r="G100" t="s">
        <v>618</v>
      </c>
      <c r="H100" t="s">
        <v>224</v>
      </c>
      <c r="I100" t="s">
        <v>210</v>
      </c>
      <c r="J100" t="s">
        <v>619</v>
      </c>
      <c r="K100" t="s">
        <v>412</v>
      </c>
      <c r="L100">
        <v>55106</v>
      </c>
      <c r="M100" t="s">
        <v>288</v>
      </c>
      <c r="N100" t="s">
        <v>620</v>
      </c>
      <c r="O100" t="s">
        <v>229</v>
      </c>
      <c r="P100" t="s">
        <v>261</v>
      </c>
      <c r="Q100" t="s">
        <v>621</v>
      </c>
      <c r="R100" s="13">
        <v>77.88</v>
      </c>
      <c r="S100">
        <v>6</v>
      </c>
      <c r="T100" s="14">
        <v>0</v>
      </c>
      <c r="U100" s="13">
        <v>22.5852</v>
      </c>
    </row>
    <row r="101" spans="1:21" ht="15" customHeight="1" x14ac:dyDescent="0.3">
      <c r="A101">
        <v>100</v>
      </c>
      <c r="B101" t="s">
        <v>622</v>
      </c>
      <c r="C101" s="12">
        <v>42611</v>
      </c>
      <c r="D101" s="12">
        <v>42615</v>
      </c>
      <c r="E101" t="s">
        <v>233</v>
      </c>
      <c r="F101" t="s">
        <v>623</v>
      </c>
      <c r="G101" t="s">
        <v>624</v>
      </c>
      <c r="H101" t="s">
        <v>285</v>
      </c>
      <c r="I101" t="s">
        <v>210</v>
      </c>
      <c r="J101" t="s">
        <v>486</v>
      </c>
      <c r="K101" t="s">
        <v>394</v>
      </c>
      <c r="L101">
        <v>60610</v>
      </c>
      <c r="M101" t="s">
        <v>288</v>
      </c>
      <c r="N101" t="s">
        <v>625</v>
      </c>
      <c r="O101" t="s">
        <v>229</v>
      </c>
      <c r="P101" t="s">
        <v>273</v>
      </c>
      <c r="Q101" t="s">
        <v>626</v>
      </c>
      <c r="R101" s="13">
        <v>64.623999999999995</v>
      </c>
      <c r="S101">
        <v>7</v>
      </c>
      <c r="T101" s="14">
        <v>0.2</v>
      </c>
      <c r="U101" s="13">
        <v>22.618400000000001</v>
      </c>
    </row>
    <row r="102" spans="1:21" ht="15" customHeight="1" x14ac:dyDescent="0.3">
      <c r="A102">
        <v>101</v>
      </c>
      <c r="B102" t="s">
        <v>622</v>
      </c>
      <c r="C102" s="12">
        <v>42611</v>
      </c>
      <c r="D102" s="12">
        <v>42615</v>
      </c>
      <c r="E102" t="s">
        <v>233</v>
      </c>
      <c r="F102" t="s">
        <v>623</v>
      </c>
      <c r="G102" t="s">
        <v>624</v>
      </c>
      <c r="H102" t="s">
        <v>285</v>
      </c>
      <c r="I102" t="s">
        <v>210</v>
      </c>
      <c r="J102" t="s">
        <v>486</v>
      </c>
      <c r="K102" t="s">
        <v>394</v>
      </c>
      <c r="L102">
        <v>60610</v>
      </c>
      <c r="M102" t="s">
        <v>288</v>
      </c>
      <c r="N102" t="s">
        <v>627</v>
      </c>
      <c r="O102" t="s">
        <v>254</v>
      </c>
      <c r="P102" t="s">
        <v>344</v>
      </c>
      <c r="Q102" t="s">
        <v>628</v>
      </c>
      <c r="R102" s="13">
        <v>95.975999999999999</v>
      </c>
      <c r="S102">
        <v>3</v>
      </c>
      <c r="T102" s="14">
        <v>0.2</v>
      </c>
      <c r="U102" s="13">
        <v>-10.7973</v>
      </c>
    </row>
    <row r="103" spans="1:21" ht="15" customHeight="1" x14ac:dyDescent="0.3">
      <c r="A103">
        <v>102</v>
      </c>
      <c r="B103" t="s">
        <v>622</v>
      </c>
      <c r="C103" s="12">
        <v>42611</v>
      </c>
      <c r="D103" s="12">
        <v>42615</v>
      </c>
      <c r="E103" t="s">
        <v>233</v>
      </c>
      <c r="F103" t="s">
        <v>623</v>
      </c>
      <c r="G103" t="s">
        <v>624</v>
      </c>
      <c r="H103" t="s">
        <v>285</v>
      </c>
      <c r="I103" t="s">
        <v>210</v>
      </c>
      <c r="J103" t="s">
        <v>486</v>
      </c>
      <c r="K103" t="s">
        <v>394</v>
      </c>
      <c r="L103">
        <v>60610</v>
      </c>
      <c r="M103" t="s">
        <v>288</v>
      </c>
      <c r="N103" t="s">
        <v>629</v>
      </c>
      <c r="O103" t="s">
        <v>229</v>
      </c>
      <c r="P103" t="s">
        <v>258</v>
      </c>
      <c r="Q103" t="s">
        <v>630</v>
      </c>
      <c r="R103" s="13">
        <v>1.788</v>
      </c>
      <c r="S103">
        <v>3</v>
      </c>
      <c r="T103" s="14">
        <v>0.8</v>
      </c>
      <c r="U103" s="13">
        <v>-3.0396000000000001</v>
      </c>
    </row>
    <row r="104" spans="1:21" ht="15" customHeight="1" x14ac:dyDescent="0.3">
      <c r="A104">
        <v>103</v>
      </c>
      <c r="B104" t="s">
        <v>631</v>
      </c>
      <c r="C104" s="12">
        <v>42705</v>
      </c>
      <c r="D104" s="12">
        <v>42708</v>
      </c>
      <c r="E104" t="s">
        <v>206</v>
      </c>
      <c r="F104" t="s">
        <v>632</v>
      </c>
      <c r="G104" t="s">
        <v>633</v>
      </c>
      <c r="H104" t="s">
        <v>209</v>
      </c>
      <c r="I104" t="s">
        <v>210</v>
      </c>
      <c r="J104" t="s">
        <v>572</v>
      </c>
      <c r="K104" t="s">
        <v>412</v>
      </c>
      <c r="L104">
        <v>55901</v>
      </c>
      <c r="M104" t="s">
        <v>288</v>
      </c>
      <c r="N104" t="s">
        <v>634</v>
      </c>
      <c r="O104" t="s">
        <v>229</v>
      </c>
      <c r="P104" t="s">
        <v>273</v>
      </c>
      <c r="Q104" t="s">
        <v>635</v>
      </c>
      <c r="R104" s="13">
        <v>23.92</v>
      </c>
      <c r="S104">
        <v>4</v>
      </c>
      <c r="T104" s="14">
        <v>0</v>
      </c>
      <c r="U104" s="13">
        <v>11.720800000000001</v>
      </c>
    </row>
    <row r="105" spans="1:21" ht="15" customHeight="1" x14ac:dyDescent="0.3">
      <c r="A105">
        <v>104</v>
      </c>
      <c r="B105" t="s">
        <v>636</v>
      </c>
      <c r="C105" s="12">
        <v>42321</v>
      </c>
      <c r="D105" s="12">
        <v>42325</v>
      </c>
      <c r="E105" t="s">
        <v>233</v>
      </c>
      <c r="F105" t="s">
        <v>637</v>
      </c>
      <c r="G105" t="s">
        <v>638</v>
      </c>
      <c r="H105" t="s">
        <v>209</v>
      </c>
      <c r="I105" t="s">
        <v>210</v>
      </c>
      <c r="J105" t="s">
        <v>639</v>
      </c>
      <c r="K105" t="s">
        <v>640</v>
      </c>
      <c r="L105">
        <v>80013</v>
      </c>
      <c r="M105" t="s">
        <v>227</v>
      </c>
      <c r="N105" t="s">
        <v>641</v>
      </c>
      <c r="O105" t="s">
        <v>254</v>
      </c>
      <c r="P105" t="s">
        <v>344</v>
      </c>
      <c r="Q105" t="s">
        <v>642</v>
      </c>
      <c r="R105" s="13">
        <v>238.89599999999999</v>
      </c>
      <c r="S105">
        <v>6</v>
      </c>
      <c r="T105" s="14">
        <v>0.2</v>
      </c>
      <c r="U105" s="13">
        <v>-26.875800000000002</v>
      </c>
    </row>
    <row r="106" spans="1:21" ht="15" customHeight="1" x14ac:dyDescent="0.3">
      <c r="A106">
        <v>105</v>
      </c>
      <c r="B106" t="s">
        <v>636</v>
      </c>
      <c r="C106" s="12">
        <v>42321</v>
      </c>
      <c r="D106" s="12">
        <v>42325</v>
      </c>
      <c r="E106" t="s">
        <v>233</v>
      </c>
      <c r="F106" t="s">
        <v>637</v>
      </c>
      <c r="G106" t="s">
        <v>638</v>
      </c>
      <c r="H106" t="s">
        <v>209</v>
      </c>
      <c r="I106" t="s">
        <v>210</v>
      </c>
      <c r="J106" t="s">
        <v>639</v>
      </c>
      <c r="K106" t="s">
        <v>640</v>
      </c>
      <c r="L106">
        <v>80013</v>
      </c>
      <c r="M106" t="s">
        <v>227</v>
      </c>
      <c r="N106" t="s">
        <v>643</v>
      </c>
      <c r="O106" t="s">
        <v>215</v>
      </c>
      <c r="P106" t="s">
        <v>248</v>
      </c>
      <c r="Q106" t="s">
        <v>644</v>
      </c>
      <c r="R106" s="13">
        <v>102.36</v>
      </c>
      <c r="S106">
        <v>3</v>
      </c>
      <c r="T106" s="14">
        <v>0.2</v>
      </c>
      <c r="U106" s="13">
        <v>-3.83850000000001</v>
      </c>
    </row>
    <row r="107" spans="1:21" ht="15" customHeight="1" x14ac:dyDescent="0.3">
      <c r="A107">
        <v>106</v>
      </c>
      <c r="B107" t="s">
        <v>636</v>
      </c>
      <c r="C107" s="12">
        <v>42321</v>
      </c>
      <c r="D107" s="12">
        <v>42325</v>
      </c>
      <c r="E107" t="s">
        <v>233</v>
      </c>
      <c r="F107" t="s">
        <v>637</v>
      </c>
      <c r="G107" t="s">
        <v>638</v>
      </c>
      <c r="H107" t="s">
        <v>209</v>
      </c>
      <c r="I107" t="s">
        <v>210</v>
      </c>
      <c r="J107" t="s">
        <v>639</v>
      </c>
      <c r="K107" t="s">
        <v>640</v>
      </c>
      <c r="L107">
        <v>80013</v>
      </c>
      <c r="M107" t="s">
        <v>227</v>
      </c>
      <c r="N107" t="s">
        <v>645</v>
      </c>
      <c r="O107" t="s">
        <v>229</v>
      </c>
      <c r="P107" t="s">
        <v>258</v>
      </c>
      <c r="Q107" t="s">
        <v>646</v>
      </c>
      <c r="R107" s="13">
        <v>36.881999999999998</v>
      </c>
      <c r="S107">
        <v>3</v>
      </c>
      <c r="T107" s="14">
        <v>0.7</v>
      </c>
      <c r="U107" s="13">
        <v>-25.817399999999999</v>
      </c>
    </row>
    <row r="108" spans="1:21" ht="15" customHeight="1" x14ac:dyDescent="0.3">
      <c r="A108">
        <v>107</v>
      </c>
      <c r="B108" t="s">
        <v>647</v>
      </c>
      <c r="C108" s="12">
        <v>43062</v>
      </c>
      <c r="D108" s="12">
        <v>43067</v>
      </c>
      <c r="E108" t="s">
        <v>233</v>
      </c>
      <c r="F108" t="s">
        <v>648</v>
      </c>
      <c r="G108" t="s">
        <v>649</v>
      </c>
      <c r="H108" t="s">
        <v>209</v>
      </c>
      <c r="I108" t="s">
        <v>210</v>
      </c>
      <c r="J108" t="s">
        <v>650</v>
      </c>
      <c r="K108" t="s">
        <v>271</v>
      </c>
      <c r="L108">
        <v>28205</v>
      </c>
      <c r="M108" t="s">
        <v>213</v>
      </c>
      <c r="N108" t="s">
        <v>651</v>
      </c>
      <c r="O108" t="s">
        <v>254</v>
      </c>
      <c r="P108" t="s">
        <v>344</v>
      </c>
      <c r="Q108" t="s">
        <v>652</v>
      </c>
      <c r="R108" s="13">
        <v>74.111999999999995</v>
      </c>
      <c r="S108">
        <v>8</v>
      </c>
      <c r="T108" s="14">
        <v>0.2</v>
      </c>
      <c r="U108" s="13">
        <v>17.601600000000001</v>
      </c>
    </row>
    <row r="109" spans="1:21" ht="15" customHeight="1" x14ac:dyDescent="0.3">
      <c r="A109">
        <v>108</v>
      </c>
      <c r="B109" t="s">
        <v>647</v>
      </c>
      <c r="C109" s="12">
        <v>43062</v>
      </c>
      <c r="D109" s="12">
        <v>43067</v>
      </c>
      <c r="E109" t="s">
        <v>233</v>
      </c>
      <c r="F109" t="s">
        <v>648</v>
      </c>
      <c r="G109" t="s">
        <v>649</v>
      </c>
      <c r="H109" t="s">
        <v>209</v>
      </c>
      <c r="I109" t="s">
        <v>210</v>
      </c>
      <c r="J109" t="s">
        <v>650</v>
      </c>
      <c r="K109" t="s">
        <v>271</v>
      </c>
      <c r="L109">
        <v>28205</v>
      </c>
      <c r="M109" t="s">
        <v>213</v>
      </c>
      <c r="N109" t="s">
        <v>653</v>
      </c>
      <c r="O109" t="s">
        <v>254</v>
      </c>
      <c r="P109" t="s">
        <v>255</v>
      </c>
      <c r="Q109" t="s">
        <v>654</v>
      </c>
      <c r="R109" s="13">
        <v>27.992000000000001</v>
      </c>
      <c r="S109">
        <v>1</v>
      </c>
      <c r="T109" s="14">
        <v>0.2</v>
      </c>
      <c r="U109" s="13">
        <v>2.0994000000000002</v>
      </c>
    </row>
    <row r="110" spans="1:21" ht="15" customHeight="1" x14ac:dyDescent="0.3">
      <c r="A110">
        <v>109</v>
      </c>
      <c r="B110" t="s">
        <v>647</v>
      </c>
      <c r="C110" s="12">
        <v>43062</v>
      </c>
      <c r="D110" s="12">
        <v>43067</v>
      </c>
      <c r="E110" t="s">
        <v>233</v>
      </c>
      <c r="F110" t="s">
        <v>648</v>
      </c>
      <c r="G110" t="s">
        <v>649</v>
      </c>
      <c r="H110" t="s">
        <v>209</v>
      </c>
      <c r="I110" t="s">
        <v>210</v>
      </c>
      <c r="J110" t="s">
        <v>650</v>
      </c>
      <c r="K110" t="s">
        <v>271</v>
      </c>
      <c r="L110">
        <v>28205</v>
      </c>
      <c r="M110" t="s">
        <v>213</v>
      </c>
      <c r="N110" t="s">
        <v>655</v>
      </c>
      <c r="O110" t="s">
        <v>229</v>
      </c>
      <c r="P110" t="s">
        <v>251</v>
      </c>
      <c r="Q110" t="s">
        <v>656</v>
      </c>
      <c r="R110" s="13">
        <v>3.3039999999999998</v>
      </c>
      <c r="S110">
        <v>1</v>
      </c>
      <c r="T110" s="14">
        <v>0.2</v>
      </c>
      <c r="U110" s="13">
        <v>1.0738000000000001</v>
      </c>
    </row>
    <row r="111" spans="1:21" ht="15" customHeight="1" x14ac:dyDescent="0.3">
      <c r="A111">
        <v>110</v>
      </c>
      <c r="B111" t="s">
        <v>657</v>
      </c>
      <c r="C111" s="12">
        <v>42292</v>
      </c>
      <c r="D111" s="12">
        <v>42297</v>
      </c>
      <c r="E111" t="s">
        <v>233</v>
      </c>
      <c r="F111" t="s">
        <v>658</v>
      </c>
      <c r="G111" t="s">
        <v>659</v>
      </c>
      <c r="H111" t="s">
        <v>285</v>
      </c>
      <c r="I111" t="s">
        <v>210</v>
      </c>
      <c r="J111" t="s">
        <v>660</v>
      </c>
      <c r="K111" t="s">
        <v>394</v>
      </c>
      <c r="L111">
        <v>60462</v>
      </c>
      <c r="M111" t="s">
        <v>288</v>
      </c>
      <c r="N111" t="s">
        <v>661</v>
      </c>
      <c r="O111" t="s">
        <v>254</v>
      </c>
      <c r="P111" t="s">
        <v>344</v>
      </c>
      <c r="Q111" t="s">
        <v>662</v>
      </c>
      <c r="R111" s="13">
        <v>339.96</v>
      </c>
      <c r="S111">
        <v>5</v>
      </c>
      <c r="T111" s="14">
        <v>0.2</v>
      </c>
      <c r="U111" s="13">
        <v>67.992000000000004</v>
      </c>
    </row>
    <row r="112" spans="1:21" ht="15" customHeight="1" x14ac:dyDescent="0.3">
      <c r="A112">
        <v>111</v>
      </c>
      <c r="B112" t="s">
        <v>663</v>
      </c>
      <c r="C112" s="12">
        <v>43094</v>
      </c>
      <c r="D112" s="12">
        <v>43099</v>
      </c>
      <c r="E112" t="s">
        <v>233</v>
      </c>
      <c r="F112" t="s">
        <v>664</v>
      </c>
      <c r="G112" t="s">
        <v>665</v>
      </c>
      <c r="H112" t="s">
        <v>224</v>
      </c>
      <c r="I112" t="s">
        <v>210</v>
      </c>
      <c r="J112" t="s">
        <v>449</v>
      </c>
      <c r="K112" t="s">
        <v>450</v>
      </c>
      <c r="L112">
        <v>10035</v>
      </c>
      <c r="M112" t="s">
        <v>331</v>
      </c>
      <c r="N112" t="s">
        <v>666</v>
      </c>
      <c r="O112" t="s">
        <v>215</v>
      </c>
      <c r="P112" t="s">
        <v>248</v>
      </c>
      <c r="Q112" t="s">
        <v>667</v>
      </c>
      <c r="R112" s="13">
        <v>41.96</v>
      </c>
      <c r="S112">
        <v>2</v>
      </c>
      <c r="T112" s="14">
        <v>0</v>
      </c>
      <c r="U112" s="13">
        <v>10.909599999999999</v>
      </c>
    </row>
    <row r="113" spans="1:21" ht="15" customHeight="1" x14ac:dyDescent="0.3">
      <c r="A113">
        <v>112</v>
      </c>
      <c r="B113" t="s">
        <v>668</v>
      </c>
      <c r="C113" s="12">
        <v>42677</v>
      </c>
      <c r="D113" s="12">
        <v>42684</v>
      </c>
      <c r="E113" t="s">
        <v>233</v>
      </c>
      <c r="F113" t="s">
        <v>669</v>
      </c>
      <c r="G113" t="s">
        <v>670</v>
      </c>
      <c r="H113" t="s">
        <v>209</v>
      </c>
      <c r="I113" t="s">
        <v>210</v>
      </c>
      <c r="J113" t="s">
        <v>671</v>
      </c>
      <c r="K113" t="s">
        <v>672</v>
      </c>
      <c r="L113">
        <v>50322</v>
      </c>
      <c r="M113" t="s">
        <v>288</v>
      </c>
      <c r="N113" t="s">
        <v>673</v>
      </c>
      <c r="O113" t="s">
        <v>229</v>
      </c>
      <c r="P113" t="s">
        <v>251</v>
      </c>
      <c r="Q113" t="s">
        <v>674</v>
      </c>
      <c r="R113" s="13">
        <v>75.959999999999994</v>
      </c>
      <c r="S113">
        <v>2</v>
      </c>
      <c r="T113" s="14">
        <v>0</v>
      </c>
      <c r="U113" s="13">
        <v>22.788</v>
      </c>
    </row>
    <row r="114" spans="1:21" ht="15" customHeight="1" x14ac:dyDescent="0.3">
      <c r="A114">
        <v>113</v>
      </c>
      <c r="B114" t="s">
        <v>668</v>
      </c>
      <c r="C114" s="12">
        <v>42677</v>
      </c>
      <c r="D114" s="12">
        <v>42684</v>
      </c>
      <c r="E114" t="s">
        <v>233</v>
      </c>
      <c r="F114" t="s">
        <v>669</v>
      </c>
      <c r="G114" t="s">
        <v>670</v>
      </c>
      <c r="H114" t="s">
        <v>209</v>
      </c>
      <c r="I114" t="s">
        <v>210</v>
      </c>
      <c r="J114" t="s">
        <v>671</v>
      </c>
      <c r="K114" t="s">
        <v>672</v>
      </c>
      <c r="L114">
        <v>50322</v>
      </c>
      <c r="M114" t="s">
        <v>288</v>
      </c>
      <c r="N114" t="s">
        <v>675</v>
      </c>
      <c r="O114" t="s">
        <v>229</v>
      </c>
      <c r="P114" t="s">
        <v>258</v>
      </c>
      <c r="Q114" t="s">
        <v>676</v>
      </c>
      <c r="R114" s="13">
        <v>27.24</v>
      </c>
      <c r="S114">
        <v>6</v>
      </c>
      <c r="T114" s="14">
        <v>0</v>
      </c>
      <c r="U114" s="13">
        <v>13.3476</v>
      </c>
    </row>
    <row r="115" spans="1:21" ht="15" customHeight="1" x14ac:dyDescent="0.3">
      <c r="A115">
        <v>114</v>
      </c>
      <c r="B115" t="s">
        <v>677</v>
      </c>
      <c r="C115" s="12">
        <v>41876</v>
      </c>
      <c r="D115" s="12">
        <v>41878</v>
      </c>
      <c r="E115" t="s">
        <v>206</v>
      </c>
      <c r="F115" t="s">
        <v>678</v>
      </c>
      <c r="G115" t="s">
        <v>679</v>
      </c>
      <c r="H115" t="s">
        <v>209</v>
      </c>
      <c r="I115" t="s">
        <v>210</v>
      </c>
      <c r="J115" t="s">
        <v>680</v>
      </c>
      <c r="K115" t="s">
        <v>681</v>
      </c>
      <c r="L115">
        <v>43229</v>
      </c>
      <c r="M115" t="s">
        <v>331</v>
      </c>
      <c r="N115" t="s">
        <v>682</v>
      </c>
      <c r="O115" t="s">
        <v>229</v>
      </c>
      <c r="P115" t="s">
        <v>452</v>
      </c>
      <c r="Q115" t="s">
        <v>683</v>
      </c>
      <c r="R115" s="13">
        <v>40.095999999999997</v>
      </c>
      <c r="S115">
        <v>14</v>
      </c>
      <c r="T115" s="14">
        <v>0.2</v>
      </c>
      <c r="U115" s="13">
        <v>14.534800000000001</v>
      </c>
    </row>
    <row r="116" spans="1:21" ht="15" customHeight="1" x14ac:dyDescent="0.3">
      <c r="A116">
        <v>115</v>
      </c>
      <c r="B116" t="s">
        <v>677</v>
      </c>
      <c r="C116" s="12">
        <v>41876</v>
      </c>
      <c r="D116" s="12">
        <v>41878</v>
      </c>
      <c r="E116" t="s">
        <v>206</v>
      </c>
      <c r="F116" t="s">
        <v>678</v>
      </c>
      <c r="G116" t="s">
        <v>679</v>
      </c>
      <c r="H116" t="s">
        <v>209</v>
      </c>
      <c r="I116" t="s">
        <v>210</v>
      </c>
      <c r="J116" t="s">
        <v>680</v>
      </c>
      <c r="K116" t="s">
        <v>681</v>
      </c>
      <c r="L116">
        <v>43229</v>
      </c>
      <c r="M116" t="s">
        <v>331</v>
      </c>
      <c r="N116" t="s">
        <v>684</v>
      </c>
      <c r="O116" t="s">
        <v>229</v>
      </c>
      <c r="P116" t="s">
        <v>356</v>
      </c>
      <c r="Q116" t="s">
        <v>685</v>
      </c>
      <c r="R116" s="13">
        <v>4.72</v>
      </c>
      <c r="S116">
        <v>2</v>
      </c>
      <c r="T116" s="14">
        <v>0.2</v>
      </c>
      <c r="U116" s="13">
        <v>1.6519999999999999</v>
      </c>
    </row>
    <row r="117" spans="1:21" ht="15" customHeight="1" x14ac:dyDescent="0.3">
      <c r="A117">
        <v>116</v>
      </c>
      <c r="B117" t="s">
        <v>677</v>
      </c>
      <c r="C117" s="12">
        <v>41876</v>
      </c>
      <c r="D117" s="12">
        <v>41878</v>
      </c>
      <c r="E117" t="s">
        <v>206</v>
      </c>
      <c r="F117" t="s">
        <v>678</v>
      </c>
      <c r="G117" t="s">
        <v>679</v>
      </c>
      <c r="H117" t="s">
        <v>209</v>
      </c>
      <c r="I117" t="s">
        <v>210</v>
      </c>
      <c r="J117" t="s">
        <v>680</v>
      </c>
      <c r="K117" t="s">
        <v>681</v>
      </c>
      <c r="L117">
        <v>43229</v>
      </c>
      <c r="M117" t="s">
        <v>331</v>
      </c>
      <c r="N117" t="s">
        <v>686</v>
      </c>
      <c r="O117" t="s">
        <v>229</v>
      </c>
      <c r="P117" t="s">
        <v>273</v>
      </c>
      <c r="Q117" t="s">
        <v>687</v>
      </c>
      <c r="R117" s="13">
        <v>23.975999999999999</v>
      </c>
      <c r="S117">
        <v>3</v>
      </c>
      <c r="T117" s="14">
        <v>0.2</v>
      </c>
      <c r="U117" s="13">
        <v>7.4924999999999997</v>
      </c>
    </row>
    <row r="118" spans="1:21" ht="15" customHeight="1" x14ac:dyDescent="0.3">
      <c r="A118">
        <v>117</v>
      </c>
      <c r="B118" t="s">
        <v>677</v>
      </c>
      <c r="C118" s="12">
        <v>41876</v>
      </c>
      <c r="D118" s="12">
        <v>41878</v>
      </c>
      <c r="E118" t="s">
        <v>206</v>
      </c>
      <c r="F118" t="s">
        <v>678</v>
      </c>
      <c r="G118" t="s">
        <v>679</v>
      </c>
      <c r="H118" t="s">
        <v>209</v>
      </c>
      <c r="I118" t="s">
        <v>210</v>
      </c>
      <c r="J118" t="s">
        <v>680</v>
      </c>
      <c r="K118" t="s">
        <v>681</v>
      </c>
      <c r="L118">
        <v>43229</v>
      </c>
      <c r="M118" t="s">
        <v>331</v>
      </c>
      <c r="N118" t="s">
        <v>688</v>
      </c>
      <c r="O118" t="s">
        <v>229</v>
      </c>
      <c r="P118" t="s">
        <v>356</v>
      </c>
      <c r="Q118" t="s">
        <v>689</v>
      </c>
      <c r="R118" s="13">
        <v>130.464</v>
      </c>
      <c r="S118">
        <v>6</v>
      </c>
      <c r="T118" s="14">
        <v>0.2</v>
      </c>
      <c r="U118" s="13">
        <v>44.031599999999997</v>
      </c>
    </row>
    <row r="119" spans="1:21" ht="15" customHeight="1" x14ac:dyDescent="0.3">
      <c r="A119">
        <v>118</v>
      </c>
      <c r="B119" t="s">
        <v>690</v>
      </c>
      <c r="C119" s="12">
        <v>42065</v>
      </c>
      <c r="D119" s="12">
        <v>42069</v>
      </c>
      <c r="E119" t="s">
        <v>233</v>
      </c>
      <c r="F119" t="s">
        <v>691</v>
      </c>
      <c r="G119" t="s">
        <v>692</v>
      </c>
      <c r="H119" t="s">
        <v>209</v>
      </c>
      <c r="I119" t="s">
        <v>210</v>
      </c>
      <c r="J119" t="s">
        <v>278</v>
      </c>
      <c r="K119" t="s">
        <v>279</v>
      </c>
      <c r="L119">
        <v>98103</v>
      </c>
      <c r="M119" t="s">
        <v>227</v>
      </c>
      <c r="N119" t="s">
        <v>693</v>
      </c>
      <c r="O119" t="s">
        <v>215</v>
      </c>
      <c r="P119" t="s">
        <v>239</v>
      </c>
      <c r="Q119" t="s">
        <v>694</v>
      </c>
      <c r="R119" s="13">
        <v>787.53</v>
      </c>
      <c r="S119">
        <v>3</v>
      </c>
      <c r="T119" s="14">
        <v>0</v>
      </c>
      <c r="U119" s="13">
        <v>165.38130000000001</v>
      </c>
    </row>
    <row r="120" spans="1:21" ht="15" customHeight="1" x14ac:dyDescent="0.3">
      <c r="A120">
        <v>119</v>
      </c>
      <c r="B120" t="s">
        <v>695</v>
      </c>
      <c r="C120" s="12">
        <v>42099</v>
      </c>
      <c r="D120" s="12">
        <v>42104</v>
      </c>
      <c r="E120" t="s">
        <v>233</v>
      </c>
      <c r="F120" t="s">
        <v>696</v>
      </c>
      <c r="G120" t="s">
        <v>697</v>
      </c>
      <c r="H120" t="s">
        <v>224</v>
      </c>
      <c r="I120" t="s">
        <v>210</v>
      </c>
      <c r="J120" t="s">
        <v>698</v>
      </c>
      <c r="K120" t="s">
        <v>518</v>
      </c>
      <c r="L120">
        <v>37620</v>
      </c>
      <c r="M120" t="s">
        <v>213</v>
      </c>
      <c r="N120" t="s">
        <v>699</v>
      </c>
      <c r="O120" t="s">
        <v>229</v>
      </c>
      <c r="P120" t="s">
        <v>258</v>
      </c>
      <c r="Q120" t="s">
        <v>700</v>
      </c>
      <c r="R120" s="13">
        <v>157.79400000000001</v>
      </c>
      <c r="S120">
        <v>1</v>
      </c>
      <c r="T120" s="14">
        <v>0.7</v>
      </c>
      <c r="U120" s="13">
        <v>-115.71559999999999</v>
      </c>
    </row>
    <row r="121" spans="1:21" ht="15" customHeight="1" x14ac:dyDescent="0.3">
      <c r="A121">
        <v>120</v>
      </c>
      <c r="B121" t="s">
        <v>701</v>
      </c>
      <c r="C121" s="12">
        <v>42533</v>
      </c>
      <c r="D121" s="12">
        <v>42536</v>
      </c>
      <c r="E121" t="s">
        <v>371</v>
      </c>
      <c r="F121" t="s">
        <v>702</v>
      </c>
      <c r="G121" t="s">
        <v>703</v>
      </c>
      <c r="H121" t="s">
        <v>209</v>
      </c>
      <c r="I121" t="s">
        <v>210</v>
      </c>
      <c r="J121" t="s">
        <v>704</v>
      </c>
      <c r="K121" t="s">
        <v>428</v>
      </c>
      <c r="L121">
        <v>19805</v>
      </c>
      <c r="M121" t="s">
        <v>331</v>
      </c>
      <c r="N121" t="s">
        <v>705</v>
      </c>
      <c r="O121" t="s">
        <v>215</v>
      </c>
      <c r="P121" t="s">
        <v>248</v>
      </c>
      <c r="Q121" t="s">
        <v>706</v>
      </c>
      <c r="R121" s="13">
        <v>47.04</v>
      </c>
      <c r="S121">
        <v>3</v>
      </c>
      <c r="T121" s="14">
        <v>0</v>
      </c>
      <c r="U121" s="13">
        <v>18.345600000000001</v>
      </c>
    </row>
    <row r="122" spans="1:21" ht="15" customHeight="1" x14ac:dyDescent="0.3">
      <c r="A122">
        <v>121</v>
      </c>
      <c r="B122" t="s">
        <v>701</v>
      </c>
      <c r="C122" s="12">
        <v>42533</v>
      </c>
      <c r="D122" s="12">
        <v>42536</v>
      </c>
      <c r="E122" t="s">
        <v>371</v>
      </c>
      <c r="F122" t="s">
        <v>702</v>
      </c>
      <c r="G122" t="s">
        <v>703</v>
      </c>
      <c r="H122" t="s">
        <v>209</v>
      </c>
      <c r="I122" t="s">
        <v>210</v>
      </c>
      <c r="J122" t="s">
        <v>704</v>
      </c>
      <c r="K122" t="s">
        <v>428</v>
      </c>
      <c r="L122">
        <v>19805</v>
      </c>
      <c r="M122" t="s">
        <v>331</v>
      </c>
      <c r="N122" t="s">
        <v>257</v>
      </c>
      <c r="O122" t="s">
        <v>229</v>
      </c>
      <c r="P122" t="s">
        <v>258</v>
      </c>
      <c r="Q122" t="s">
        <v>259</v>
      </c>
      <c r="R122" s="13">
        <v>30.84</v>
      </c>
      <c r="S122">
        <v>4</v>
      </c>
      <c r="T122" s="14">
        <v>0</v>
      </c>
      <c r="U122" s="13">
        <v>13.878</v>
      </c>
    </row>
    <row r="123" spans="1:21" ht="15" customHeight="1" x14ac:dyDescent="0.3">
      <c r="A123">
        <v>122</v>
      </c>
      <c r="B123" t="s">
        <v>701</v>
      </c>
      <c r="C123" s="12">
        <v>42533</v>
      </c>
      <c r="D123" s="12">
        <v>42536</v>
      </c>
      <c r="E123" t="s">
        <v>371</v>
      </c>
      <c r="F123" t="s">
        <v>702</v>
      </c>
      <c r="G123" t="s">
        <v>703</v>
      </c>
      <c r="H123" t="s">
        <v>209</v>
      </c>
      <c r="I123" t="s">
        <v>210</v>
      </c>
      <c r="J123" t="s">
        <v>704</v>
      </c>
      <c r="K123" t="s">
        <v>428</v>
      </c>
      <c r="L123">
        <v>19805</v>
      </c>
      <c r="M123" t="s">
        <v>331</v>
      </c>
      <c r="N123" t="s">
        <v>707</v>
      </c>
      <c r="O123" t="s">
        <v>229</v>
      </c>
      <c r="P123" t="s">
        <v>242</v>
      </c>
      <c r="Q123" t="s">
        <v>708</v>
      </c>
      <c r="R123" s="13">
        <v>226.56</v>
      </c>
      <c r="S123">
        <v>6</v>
      </c>
      <c r="T123" s="14">
        <v>0</v>
      </c>
      <c r="U123" s="13">
        <v>63.436799999999998</v>
      </c>
    </row>
    <row r="124" spans="1:21" ht="15" customHeight="1" x14ac:dyDescent="0.3">
      <c r="A124">
        <v>123</v>
      </c>
      <c r="B124" t="s">
        <v>701</v>
      </c>
      <c r="C124" s="12">
        <v>42533</v>
      </c>
      <c r="D124" s="12">
        <v>42536</v>
      </c>
      <c r="E124" t="s">
        <v>371</v>
      </c>
      <c r="F124" t="s">
        <v>702</v>
      </c>
      <c r="G124" t="s">
        <v>703</v>
      </c>
      <c r="H124" t="s">
        <v>209</v>
      </c>
      <c r="I124" t="s">
        <v>210</v>
      </c>
      <c r="J124" t="s">
        <v>704</v>
      </c>
      <c r="K124" t="s">
        <v>428</v>
      </c>
      <c r="L124">
        <v>19805</v>
      </c>
      <c r="M124" t="s">
        <v>331</v>
      </c>
      <c r="N124" t="s">
        <v>709</v>
      </c>
      <c r="O124" t="s">
        <v>229</v>
      </c>
      <c r="P124" t="s">
        <v>356</v>
      </c>
      <c r="Q124" t="s">
        <v>710</v>
      </c>
      <c r="R124" s="13">
        <v>115.02</v>
      </c>
      <c r="S124">
        <v>9</v>
      </c>
      <c r="T124" s="14">
        <v>0</v>
      </c>
      <c r="U124" s="13">
        <v>51.759</v>
      </c>
    </row>
    <row r="125" spans="1:21" ht="15" customHeight="1" x14ac:dyDescent="0.3">
      <c r="A125">
        <v>124</v>
      </c>
      <c r="B125" t="s">
        <v>701</v>
      </c>
      <c r="C125" s="12">
        <v>42533</v>
      </c>
      <c r="D125" s="12">
        <v>42536</v>
      </c>
      <c r="E125" t="s">
        <v>371</v>
      </c>
      <c r="F125" t="s">
        <v>702</v>
      </c>
      <c r="G125" t="s">
        <v>703</v>
      </c>
      <c r="H125" t="s">
        <v>209</v>
      </c>
      <c r="I125" t="s">
        <v>210</v>
      </c>
      <c r="J125" t="s">
        <v>704</v>
      </c>
      <c r="K125" t="s">
        <v>428</v>
      </c>
      <c r="L125">
        <v>19805</v>
      </c>
      <c r="M125" t="s">
        <v>331</v>
      </c>
      <c r="N125" t="s">
        <v>711</v>
      </c>
      <c r="O125" t="s">
        <v>254</v>
      </c>
      <c r="P125" t="s">
        <v>255</v>
      </c>
      <c r="Q125" t="s">
        <v>712</v>
      </c>
      <c r="R125" s="13">
        <v>68.040000000000006</v>
      </c>
      <c r="S125">
        <v>7</v>
      </c>
      <c r="T125" s="14">
        <v>0</v>
      </c>
      <c r="U125" s="13">
        <v>19.7316</v>
      </c>
    </row>
    <row r="126" spans="1:21" ht="15" customHeight="1" x14ac:dyDescent="0.3">
      <c r="A126">
        <v>125</v>
      </c>
      <c r="B126" t="s">
        <v>713</v>
      </c>
      <c r="C126" s="12">
        <v>41999</v>
      </c>
      <c r="D126" s="12">
        <v>42001</v>
      </c>
      <c r="E126" t="s">
        <v>206</v>
      </c>
      <c r="F126" t="s">
        <v>714</v>
      </c>
      <c r="G126" t="s">
        <v>715</v>
      </c>
      <c r="H126" t="s">
        <v>285</v>
      </c>
      <c r="I126" t="s">
        <v>210</v>
      </c>
      <c r="J126" t="s">
        <v>367</v>
      </c>
      <c r="K126" t="s">
        <v>287</v>
      </c>
      <c r="L126">
        <v>77041</v>
      </c>
      <c r="M126" t="s">
        <v>288</v>
      </c>
      <c r="N126" t="s">
        <v>716</v>
      </c>
      <c r="O126" t="s">
        <v>215</v>
      </c>
      <c r="P126" t="s">
        <v>219</v>
      </c>
      <c r="Q126" t="s">
        <v>717</v>
      </c>
      <c r="R126" s="13">
        <v>600.55799999999999</v>
      </c>
      <c r="S126">
        <v>3</v>
      </c>
      <c r="T126" s="14">
        <v>0.3</v>
      </c>
      <c r="U126" s="13">
        <v>-8.5794000000000796</v>
      </c>
    </row>
    <row r="127" spans="1:21" ht="15" customHeight="1" x14ac:dyDescent="0.3">
      <c r="A127">
        <v>126</v>
      </c>
      <c r="B127" t="s">
        <v>718</v>
      </c>
      <c r="C127" s="12">
        <v>41902</v>
      </c>
      <c r="D127" s="12">
        <v>41907</v>
      </c>
      <c r="E127" t="s">
        <v>233</v>
      </c>
      <c r="F127" t="s">
        <v>719</v>
      </c>
      <c r="G127" t="s">
        <v>720</v>
      </c>
      <c r="H127" t="s">
        <v>209</v>
      </c>
      <c r="I127" t="s">
        <v>210</v>
      </c>
      <c r="J127" t="s">
        <v>721</v>
      </c>
      <c r="K127" t="s">
        <v>394</v>
      </c>
      <c r="L127">
        <v>61701</v>
      </c>
      <c r="M127" t="s">
        <v>288</v>
      </c>
      <c r="N127" t="s">
        <v>722</v>
      </c>
      <c r="O127" t="s">
        <v>215</v>
      </c>
      <c r="P127" t="s">
        <v>239</v>
      </c>
      <c r="Q127" t="s">
        <v>723</v>
      </c>
      <c r="R127" s="13">
        <v>617.70000000000005</v>
      </c>
      <c r="S127">
        <v>6</v>
      </c>
      <c r="T127" s="14">
        <v>0.5</v>
      </c>
      <c r="U127" s="13">
        <v>-407.68200000000002</v>
      </c>
    </row>
    <row r="128" spans="1:21" ht="15" customHeight="1" x14ac:dyDescent="0.3">
      <c r="A128">
        <v>127</v>
      </c>
      <c r="B128" t="s">
        <v>724</v>
      </c>
      <c r="C128" s="12">
        <v>43044</v>
      </c>
      <c r="D128" s="12">
        <v>43051</v>
      </c>
      <c r="E128" t="s">
        <v>233</v>
      </c>
      <c r="F128" t="s">
        <v>725</v>
      </c>
      <c r="G128" t="s">
        <v>726</v>
      </c>
      <c r="H128" t="s">
        <v>209</v>
      </c>
      <c r="I128" t="s">
        <v>210</v>
      </c>
      <c r="J128" t="s">
        <v>727</v>
      </c>
      <c r="K128" t="s">
        <v>493</v>
      </c>
      <c r="L128">
        <v>85023</v>
      </c>
      <c r="M128" t="s">
        <v>227</v>
      </c>
      <c r="N128" t="s">
        <v>728</v>
      </c>
      <c r="O128" t="s">
        <v>229</v>
      </c>
      <c r="P128" t="s">
        <v>258</v>
      </c>
      <c r="Q128" t="s">
        <v>729</v>
      </c>
      <c r="R128" s="13">
        <v>2.3879999999999999</v>
      </c>
      <c r="S128">
        <v>2</v>
      </c>
      <c r="T128" s="14">
        <v>0.7</v>
      </c>
      <c r="U128" s="13">
        <v>-1.8308</v>
      </c>
    </row>
    <row r="129" spans="1:21" ht="15" customHeight="1" x14ac:dyDescent="0.3">
      <c r="A129">
        <v>128</v>
      </c>
      <c r="B129" t="s">
        <v>724</v>
      </c>
      <c r="C129" s="12">
        <v>43044</v>
      </c>
      <c r="D129" s="12">
        <v>43051</v>
      </c>
      <c r="E129" t="s">
        <v>233</v>
      </c>
      <c r="F129" t="s">
        <v>725</v>
      </c>
      <c r="G129" t="s">
        <v>726</v>
      </c>
      <c r="H129" t="s">
        <v>209</v>
      </c>
      <c r="I129" t="s">
        <v>210</v>
      </c>
      <c r="J129" t="s">
        <v>727</v>
      </c>
      <c r="K129" t="s">
        <v>493</v>
      </c>
      <c r="L129">
        <v>85023</v>
      </c>
      <c r="M129" t="s">
        <v>227</v>
      </c>
      <c r="N129" t="s">
        <v>730</v>
      </c>
      <c r="O129" t="s">
        <v>229</v>
      </c>
      <c r="P129" t="s">
        <v>242</v>
      </c>
      <c r="Q129" t="s">
        <v>731</v>
      </c>
      <c r="R129" s="13">
        <v>243.99199999999999</v>
      </c>
      <c r="S129">
        <v>7</v>
      </c>
      <c r="T129" s="14">
        <v>0.2</v>
      </c>
      <c r="U129" s="13">
        <v>30.498999999999999</v>
      </c>
    </row>
    <row r="130" spans="1:21" ht="15" customHeight="1" x14ac:dyDescent="0.3">
      <c r="A130">
        <v>129</v>
      </c>
      <c r="B130" t="s">
        <v>732</v>
      </c>
      <c r="C130" s="12">
        <v>42680</v>
      </c>
      <c r="D130" s="12">
        <v>42684</v>
      </c>
      <c r="E130" t="s">
        <v>206</v>
      </c>
      <c r="F130" t="s">
        <v>733</v>
      </c>
      <c r="G130" t="s">
        <v>734</v>
      </c>
      <c r="H130" t="s">
        <v>285</v>
      </c>
      <c r="I130" t="s">
        <v>210</v>
      </c>
      <c r="J130" t="s">
        <v>225</v>
      </c>
      <c r="K130" t="s">
        <v>226</v>
      </c>
      <c r="L130">
        <v>90004</v>
      </c>
      <c r="M130" t="s">
        <v>227</v>
      </c>
      <c r="N130" t="s">
        <v>487</v>
      </c>
      <c r="O130" t="s">
        <v>215</v>
      </c>
      <c r="P130" t="s">
        <v>219</v>
      </c>
      <c r="Q130" t="s">
        <v>735</v>
      </c>
      <c r="R130" s="13">
        <v>81.424000000000007</v>
      </c>
      <c r="S130">
        <v>2</v>
      </c>
      <c r="T130" s="14">
        <v>0.2</v>
      </c>
      <c r="U130" s="13">
        <v>-9.1601999999999997</v>
      </c>
    </row>
    <row r="131" spans="1:21" ht="15" customHeight="1" x14ac:dyDescent="0.3">
      <c r="A131">
        <v>130</v>
      </c>
      <c r="B131" t="s">
        <v>732</v>
      </c>
      <c r="C131" s="12">
        <v>42680</v>
      </c>
      <c r="D131" s="12">
        <v>42684</v>
      </c>
      <c r="E131" t="s">
        <v>206</v>
      </c>
      <c r="F131" t="s">
        <v>733</v>
      </c>
      <c r="G131" t="s">
        <v>734</v>
      </c>
      <c r="H131" t="s">
        <v>285</v>
      </c>
      <c r="I131" t="s">
        <v>210</v>
      </c>
      <c r="J131" t="s">
        <v>225</v>
      </c>
      <c r="K131" t="s">
        <v>226</v>
      </c>
      <c r="L131">
        <v>90004</v>
      </c>
      <c r="M131" t="s">
        <v>227</v>
      </c>
      <c r="N131" t="s">
        <v>736</v>
      </c>
      <c r="O131" t="s">
        <v>215</v>
      </c>
      <c r="P131" t="s">
        <v>248</v>
      </c>
      <c r="Q131" t="s">
        <v>737</v>
      </c>
      <c r="R131" s="13">
        <v>238.56</v>
      </c>
      <c r="S131">
        <v>3</v>
      </c>
      <c r="T131" s="14">
        <v>0</v>
      </c>
      <c r="U131" s="13">
        <v>26.241599999999998</v>
      </c>
    </row>
    <row r="132" spans="1:21" ht="15" customHeight="1" x14ac:dyDescent="0.3">
      <c r="A132">
        <v>131</v>
      </c>
      <c r="B132" t="s">
        <v>738</v>
      </c>
      <c r="C132" s="12">
        <v>42768</v>
      </c>
      <c r="D132" s="12">
        <v>42771</v>
      </c>
      <c r="E132" t="s">
        <v>371</v>
      </c>
      <c r="F132" t="s">
        <v>739</v>
      </c>
      <c r="G132" t="s">
        <v>740</v>
      </c>
      <c r="H132" t="s">
        <v>224</v>
      </c>
      <c r="I132" t="s">
        <v>210</v>
      </c>
      <c r="J132" t="s">
        <v>680</v>
      </c>
      <c r="K132" t="s">
        <v>681</v>
      </c>
      <c r="L132">
        <v>43229</v>
      </c>
      <c r="M132" t="s">
        <v>331</v>
      </c>
      <c r="N132" t="s">
        <v>741</v>
      </c>
      <c r="O132" t="s">
        <v>254</v>
      </c>
      <c r="P132" t="s">
        <v>255</v>
      </c>
      <c r="Q132" t="s">
        <v>742</v>
      </c>
      <c r="R132" s="13">
        <v>59.97</v>
      </c>
      <c r="S132">
        <v>5</v>
      </c>
      <c r="T132" s="14">
        <v>0.4</v>
      </c>
      <c r="U132" s="13">
        <v>-11.994</v>
      </c>
    </row>
    <row r="133" spans="1:21" ht="15" customHeight="1" x14ac:dyDescent="0.3">
      <c r="A133">
        <v>132</v>
      </c>
      <c r="B133" t="s">
        <v>738</v>
      </c>
      <c r="C133" s="12">
        <v>42768</v>
      </c>
      <c r="D133" s="12">
        <v>42771</v>
      </c>
      <c r="E133" t="s">
        <v>371</v>
      </c>
      <c r="F133" t="s">
        <v>739</v>
      </c>
      <c r="G133" t="s">
        <v>740</v>
      </c>
      <c r="H133" t="s">
        <v>224</v>
      </c>
      <c r="I133" t="s">
        <v>210</v>
      </c>
      <c r="J133" t="s">
        <v>680</v>
      </c>
      <c r="K133" t="s">
        <v>681</v>
      </c>
      <c r="L133">
        <v>43229</v>
      </c>
      <c r="M133" t="s">
        <v>331</v>
      </c>
      <c r="N133" t="s">
        <v>743</v>
      </c>
      <c r="O133" t="s">
        <v>229</v>
      </c>
      <c r="P133" t="s">
        <v>273</v>
      </c>
      <c r="Q133" t="s">
        <v>744</v>
      </c>
      <c r="R133" s="13">
        <v>78.304000000000002</v>
      </c>
      <c r="S133">
        <v>2</v>
      </c>
      <c r="T133" s="14">
        <v>0.2</v>
      </c>
      <c r="U133" s="13">
        <v>29.364000000000001</v>
      </c>
    </row>
    <row r="134" spans="1:21" ht="15" customHeight="1" x14ac:dyDescent="0.3">
      <c r="A134">
        <v>133</v>
      </c>
      <c r="B134" t="s">
        <v>738</v>
      </c>
      <c r="C134" s="12">
        <v>42768</v>
      </c>
      <c r="D134" s="12">
        <v>42771</v>
      </c>
      <c r="E134" t="s">
        <v>371</v>
      </c>
      <c r="F134" t="s">
        <v>739</v>
      </c>
      <c r="G134" t="s">
        <v>740</v>
      </c>
      <c r="H134" t="s">
        <v>224</v>
      </c>
      <c r="I134" t="s">
        <v>210</v>
      </c>
      <c r="J134" t="s">
        <v>680</v>
      </c>
      <c r="K134" t="s">
        <v>681</v>
      </c>
      <c r="L134">
        <v>43229</v>
      </c>
      <c r="M134" t="s">
        <v>331</v>
      </c>
      <c r="N134" t="s">
        <v>745</v>
      </c>
      <c r="O134" t="s">
        <v>229</v>
      </c>
      <c r="P134" t="s">
        <v>452</v>
      </c>
      <c r="Q134" t="s">
        <v>746</v>
      </c>
      <c r="R134" s="13">
        <v>21.456</v>
      </c>
      <c r="S134">
        <v>9</v>
      </c>
      <c r="T134" s="14">
        <v>0.2</v>
      </c>
      <c r="U134" s="13">
        <v>6.9732000000000003</v>
      </c>
    </row>
    <row r="135" spans="1:21" ht="15" customHeight="1" x14ac:dyDescent="0.3">
      <c r="A135">
        <v>134</v>
      </c>
      <c r="B135" t="s">
        <v>747</v>
      </c>
      <c r="C135" s="12">
        <v>42656</v>
      </c>
      <c r="D135" s="12">
        <v>42662</v>
      </c>
      <c r="E135" t="s">
        <v>233</v>
      </c>
      <c r="F135" t="s">
        <v>748</v>
      </c>
      <c r="G135" t="s">
        <v>749</v>
      </c>
      <c r="H135" t="s">
        <v>209</v>
      </c>
      <c r="I135" t="s">
        <v>210</v>
      </c>
      <c r="J135" t="s">
        <v>750</v>
      </c>
      <c r="K135" t="s">
        <v>226</v>
      </c>
      <c r="L135">
        <v>95661</v>
      </c>
      <c r="M135" t="s">
        <v>227</v>
      </c>
      <c r="N135" t="s">
        <v>751</v>
      </c>
      <c r="O135" t="s">
        <v>229</v>
      </c>
      <c r="P135" t="s">
        <v>273</v>
      </c>
      <c r="Q135" t="s">
        <v>752</v>
      </c>
      <c r="R135" s="13">
        <v>20.04</v>
      </c>
      <c r="S135">
        <v>3</v>
      </c>
      <c r="T135" s="14">
        <v>0</v>
      </c>
      <c r="U135" s="13">
        <v>9.6191999999999993</v>
      </c>
    </row>
    <row r="136" spans="1:21" ht="15" customHeight="1" x14ac:dyDescent="0.3">
      <c r="A136">
        <v>135</v>
      </c>
      <c r="B136" t="s">
        <v>747</v>
      </c>
      <c r="C136" s="12">
        <v>42656</v>
      </c>
      <c r="D136" s="12">
        <v>42662</v>
      </c>
      <c r="E136" t="s">
        <v>233</v>
      </c>
      <c r="F136" t="s">
        <v>748</v>
      </c>
      <c r="G136" t="s">
        <v>749</v>
      </c>
      <c r="H136" t="s">
        <v>209</v>
      </c>
      <c r="I136" t="s">
        <v>210</v>
      </c>
      <c r="J136" t="s">
        <v>750</v>
      </c>
      <c r="K136" t="s">
        <v>226</v>
      </c>
      <c r="L136">
        <v>95661</v>
      </c>
      <c r="M136" t="s">
        <v>227</v>
      </c>
      <c r="N136" t="s">
        <v>753</v>
      </c>
      <c r="O136" t="s">
        <v>229</v>
      </c>
      <c r="P136" t="s">
        <v>273</v>
      </c>
      <c r="Q136" t="s">
        <v>754</v>
      </c>
      <c r="R136" s="13">
        <v>35.44</v>
      </c>
      <c r="S136">
        <v>1</v>
      </c>
      <c r="T136" s="14">
        <v>0</v>
      </c>
      <c r="U136" s="13">
        <v>16.6568</v>
      </c>
    </row>
    <row r="137" spans="1:21" ht="15" customHeight="1" x14ac:dyDescent="0.3">
      <c r="A137">
        <v>136</v>
      </c>
      <c r="B137" t="s">
        <v>747</v>
      </c>
      <c r="C137" s="12">
        <v>42656</v>
      </c>
      <c r="D137" s="12">
        <v>42662</v>
      </c>
      <c r="E137" t="s">
        <v>233</v>
      </c>
      <c r="F137" t="s">
        <v>748</v>
      </c>
      <c r="G137" t="s">
        <v>749</v>
      </c>
      <c r="H137" t="s">
        <v>209</v>
      </c>
      <c r="I137" t="s">
        <v>210</v>
      </c>
      <c r="J137" t="s">
        <v>750</v>
      </c>
      <c r="K137" t="s">
        <v>226</v>
      </c>
      <c r="L137">
        <v>95661</v>
      </c>
      <c r="M137" t="s">
        <v>227</v>
      </c>
      <c r="N137" t="s">
        <v>755</v>
      </c>
      <c r="O137" t="s">
        <v>229</v>
      </c>
      <c r="P137" t="s">
        <v>251</v>
      </c>
      <c r="Q137" t="s">
        <v>756</v>
      </c>
      <c r="R137" s="13">
        <v>11.52</v>
      </c>
      <c r="S137">
        <v>4</v>
      </c>
      <c r="T137" s="14">
        <v>0</v>
      </c>
      <c r="U137" s="13">
        <v>3.456</v>
      </c>
    </row>
    <row r="138" spans="1:21" ht="15" customHeight="1" x14ac:dyDescent="0.3">
      <c r="A138">
        <v>137</v>
      </c>
      <c r="B138" t="s">
        <v>747</v>
      </c>
      <c r="C138" s="12">
        <v>42656</v>
      </c>
      <c r="D138" s="12">
        <v>42662</v>
      </c>
      <c r="E138" t="s">
        <v>233</v>
      </c>
      <c r="F138" t="s">
        <v>748</v>
      </c>
      <c r="G138" t="s">
        <v>749</v>
      </c>
      <c r="H138" t="s">
        <v>209</v>
      </c>
      <c r="I138" t="s">
        <v>210</v>
      </c>
      <c r="J138" t="s">
        <v>750</v>
      </c>
      <c r="K138" t="s">
        <v>226</v>
      </c>
      <c r="L138">
        <v>95661</v>
      </c>
      <c r="M138" t="s">
        <v>227</v>
      </c>
      <c r="N138" t="s">
        <v>757</v>
      </c>
      <c r="O138" t="s">
        <v>229</v>
      </c>
      <c r="P138" t="s">
        <v>452</v>
      </c>
      <c r="Q138" t="s">
        <v>758</v>
      </c>
      <c r="R138" s="13">
        <v>4.0199999999999996</v>
      </c>
      <c r="S138">
        <v>2</v>
      </c>
      <c r="T138" s="14">
        <v>0</v>
      </c>
      <c r="U138" s="13">
        <v>1.9698</v>
      </c>
    </row>
    <row r="139" spans="1:21" ht="15" customHeight="1" x14ac:dyDescent="0.3">
      <c r="A139">
        <v>138</v>
      </c>
      <c r="B139" t="s">
        <v>747</v>
      </c>
      <c r="C139" s="12">
        <v>42656</v>
      </c>
      <c r="D139" s="12">
        <v>42662</v>
      </c>
      <c r="E139" t="s">
        <v>233</v>
      </c>
      <c r="F139" t="s">
        <v>748</v>
      </c>
      <c r="G139" t="s">
        <v>749</v>
      </c>
      <c r="H139" t="s">
        <v>209</v>
      </c>
      <c r="I139" t="s">
        <v>210</v>
      </c>
      <c r="J139" t="s">
        <v>750</v>
      </c>
      <c r="K139" t="s">
        <v>226</v>
      </c>
      <c r="L139">
        <v>95661</v>
      </c>
      <c r="M139" t="s">
        <v>227</v>
      </c>
      <c r="N139" t="s">
        <v>759</v>
      </c>
      <c r="O139" t="s">
        <v>229</v>
      </c>
      <c r="P139" t="s">
        <v>258</v>
      </c>
      <c r="Q139" t="s">
        <v>760</v>
      </c>
      <c r="R139" s="13">
        <v>76.176000000000002</v>
      </c>
      <c r="S139">
        <v>3</v>
      </c>
      <c r="T139" s="14">
        <v>0.2</v>
      </c>
      <c r="U139" s="13">
        <v>26.6616</v>
      </c>
    </row>
    <row r="140" spans="1:21" ht="15" customHeight="1" x14ac:dyDescent="0.3">
      <c r="A140">
        <v>139</v>
      </c>
      <c r="B140" t="s">
        <v>747</v>
      </c>
      <c r="C140" s="12">
        <v>42656</v>
      </c>
      <c r="D140" s="12">
        <v>42662</v>
      </c>
      <c r="E140" t="s">
        <v>233</v>
      </c>
      <c r="F140" t="s">
        <v>748</v>
      </c>
      <c r="G140" t="s">
        <v>749</v>
      </c>
      <c r="H140" t="s">
        <v>209</v>
      </c>
      <c r="I140" t="s">
        <v>210</v>
      </c>
      <c r="J140" t="s">
        <v>750</v>
      </c>
      <c r="K140" t="s">
        <v>226</v>
      </c>
      <c r="L140">
        <v>95661</v>
      </c>
      <c r="M140" t="s">
        <v>227</v>
      </c>
      <c r="N140" t="s">
        <v>761</v>
      </c>
      <c r="O140" t="s">
        <v>229</v>
      </c>
      <c r="P140" t="s">
        <v>762</v>
      </c>
      <c r="Q140" t="s">
        <v>763</v>
      </c>
      <c r="R140" s="13">
        <v>65.88</v>
      </c>
      <c r="S140">
        <v>6</v>
      </c>
      <c r="T140" s="14">
        <v>0</v>
      </c>
      <c r="U140" s="13">
        <v>18.446400000000001</v>
      </c>
    </row>
    <row r="141" spans="1:21" ht="15" customHeight="1" x14ac:dyDescent="0.3">
      <c r="A141">
        <v>140</v>
      </c>
      <c r="B141" t="s">
        <v>747</v>
      </c>
      <c r="C141" s="12">
        <v>42656</v>
      </c>
      <c r="D141" s="12">
        <v>42662</v>
      </c>
      <c r="E141" t="s">
        <v>233</v>
      </c>
      <c r="F141" t="s">
        <v>748</v>
      </c>
      <c r="G141" t="s">
        <v>749</v>
      </c>
      <c r="H141" t="s">
        <v>209</v>
      </c>
      <c r="I141" t="s">
        <v>210</v>
      </c>
      <c r="J141" t="s">
        <v>750</v>
      </c>
      <c r="K141" t="s">
        <v>226</v>
      </c>
      <c r="L141">
        <v>95661</v>
      </c>
      <c r="M141" t="s">
        <v>227</v>
      </c>
      <c r="N141" t="s">
        <v>442</v>
      </c>
      <c r="O141" t="s">
        <v>215</v>
      </c>
      <c r="P141" t="s">
        <v>248</v>
      </c>
      <c r="Q141" t="s">
        <v>443</v>
      </c>
      <c r="R141" s="13">
        <v>43.12</v>
      </c>
      <c r="S141">
        <v>14</v>
      </c>
      <c r="T141" s="14">
        <v>0</v>
      </c>
      <c r="U141" s="13">
        <v>20.697600000000001</v>
      </c>
    </row>
    <row r="142" spans="1:21" ht="15" customHeight="1" x14ac:dyDescent="0.3">
      <c r="A142">
        <v>141</v>
      </c>
      <c r="B142" t="s">
        <v>764</v>
      </c>
      <c r="C142" s="12">
        <v>42618</v>
      </c>
      <c r="D142" s="12">
        <v>42620</v>
      </c>
      <c r="E142" t="s">
        <v>206</v>
      </c>
      <c r="F142" t="s">
        <v>765</v>
      </c>
      <c r="G142" t="s">
        <v>766</v>
      </c>
      <c r="H142" t="s">
        <v>224</v>
      </c>
      <c r="I142" t="s">
        <v>210</v>
      </c>
      <c r="J142" t="s">
        <v>329</v>
      </c>
      <c r="K142" t="s">
        <v>330</v>
      </c>
      <c r="L142">
        <v>19140</v>
      </c>
      <c r="M142" t="s">
        <v>331</v>
      </c>
      <c r="N142" t="s">
        <v>353</v>
      </c>
      <c r="O142" t="s">
        <v>215</v>
      </c>
      <c r="P142" t="s">
        <v>248</v>
      </c>
      <c r="Q142" t="s">
        <v>354</v>
      </c>
      <c r="R142" s="13">
        <v>82.8</v>
      </c>
      <c r="S142">
        <v>2</v>
      </c>
      <c r="T142" s="14">
        <v>0.2</v>
      </c>
      <c r="U142" s="13">
        <v>10.35</v>
      </c>
    </row>
    <row r="143" spans="1:21" ht="15" customHeight="1" x14ac:dyDescent="0.3">
      <c r="A143">
        <v>142</v>
      </c>
      <c r="B143" t="s">
        <v>767</v>
      </c>
      <c r="C143" s="12">
        <v>42996</v>
      </c>
      <c r="D143" s="12">
        <v>43001</v>
      </c>
      <c r="E143" t="s">
        <v>233</v>
      </c>
      <c r="F143" t="s">
        <v>768</v>
      </c>
      <c r="G143" t="s">
        <v>769</v>
      </c>
      <c r="H143" t="s">
        <v>224</v>
      </c>
      <c r="I143" t="s">
        <v>210</v>
      </c>
      <c r="J143" t="s">
        <v>310</v>
      </c>
      <c r="K143" t="s">
        <v>226</v>
      </c>
      <c r="L143">
        <v>94122</v>
      </c>
      <c r="M143" t="s">
        <v>227</v>
      </c>
      <c r="N143" t="s">
        <v>770</v>
      </c>
      <c r="O143" t="s">
        <v>229</v>
      </c>
      <c r="P143" t="s">
        <v>251</v>
      </c>
      <c r="Q143" t="s">
        <v>771</v>
      </c>
      <c r="R143" s="13">
        <v>8.82</v>
      </c>
      <c r="S143">
        <v>3</v>
      </c>
      <c r="T143" s="14">
        <v>0</v>
      </c>
      <c r="U143" s="13">
        <v>2.3814000000000002</v>
      </c>
    </row>
    <row r="144" spans="1:21" ht="15" customHeight="1" x14ac:dyDescent="0.3">
      <c r="A144">
        <v>143</v>
      </c>
      <c r="B144" t="s">
        <v>767</v>
      </c>
      <c r="C144" s="12">
        <v>42996</v>
      </c>
      <c r="D144" s="12">
        <v>43001</v>
      </c>
      <c r="E144" t="s">
        <v>233</v>
      </c>
      <c r="F144" t="s">
        <v>768</v>
      </c>
      <c r="G144" t="s">
        <v>769</v>
      </c>
      <c r="H144" t="s">
        <v>224</v>
      </c>
      <c r="I144" t="s">
        <v>210</v>
      </c>
      <c r="J144" t="s">
        <v>310</v>
      </c>
      <c r="K144" t="s">
        <v>226</v>
      </c>
      <c r="L144">
        <v>94122</v>
      </c>
      <c r="M144" t="s">
        <v>227</v>
      </c>
      <c r="N144" t="s">
        <v>772</v>
      </c>
      <c r="O144" t="s">
        <v>229</v>
      </c>
      <c r="P144" t="s">
        <v>356</v>
      </c>
      <c r="Q144" t="s">
        <v>773</v>
      </c>
      <c r="R144" s="13">
        <v>10.86</v>
      </c>
      <c r="S144">
        <v>3</v>
      </c>
      <c r="T144" s="14">
        <v>0</v>
      </c>
      <c r="U144" s="13">
        <v>5.1041999999999996</v>
      </c>
    </row>
    <row r="145" spans="1:21" ht="15" customHeight="1" x14ac:dyDescent="0.3">
      <c r="A145">
        <v>144</v>
      </c>
      <c r="B145" t="s">
        <v>767</v>
      </c>
      <c r="C145" s="12">
        <v>42996</v>
      </c>
      <c r="D145" s="12">
        <v>43001</v>
      </c>
      <c r="E145" t="s">
        <v>233</v>
      </c>
      <c r="F145" t="s">
        <v>768</v>
      </c>
      <c r="G145" t="s">
        <v>769</v>
      </c>
      <c r="H145" t="s">
        <v>224</v>
      </c>
      <c r="I145" t="s">
        <v>210</v>
      </c>
      <c r="J145" t="s">
        <v>310</v>
      </c>
      <c r="K145" t="s">
        <v>226</v>
      </c>
      <c r="L145">
        <v>94122</v>
      </c>
      <c r="M145" t="s">
        <v>227</v>
      </c>
      <c r="N145" t="s">
        <v>774</v>
      </c>
      <c r="O145" t="s">
        <v>229</v>
      </c>
      <c r="P145" t="s">
        <v>273</v>
      </c>
      <c r="Q145" t="s">
        <v>775</v>
      </c>
      <c r="R145" s="13">
        <v>143.69999999999999</v>
      </c>
      <c r="S145">
        <v>3</v>
      </c>
      <c r="T145" s="14">
        <v>0</v>
      </c>
      <c r="U145" s="13">
        <v>68.975999999999999</v>
      </c>
    </row>
    <row r="146" spans="1:21" ht="15" customHeight="1" x14ac:dyDescent="0.3">
      <c r="A146">
        <v>145</v>
      </c>
      <c r="B146" t="s">
        <v>776</v>
      </c>
      <c r="C146" s="12">
        <v>43091</v>
      </c>
      <c r="D146" s="12">
        <v>43096</v>
      </c>
      <c r="E146" t="s">
        <v>233</v>
      </c>
      <c r="F146" t="s">
        <v>777</v>
      </c>
      <c r="G146" t="s">
        <v>778</v>
      </c>
      <c r="H146" t="s">
        <v>209</v>
      </c>
      <c r="I146" t="s">
        <v>210</v>
      </c>
      <c r="J146" t="s">
        <v>779</v>
      </c>
      <c r="K146" t="s">
        <v>780</v>
      </c>
      <c r="L146">
        <v>64055</v>
      </c>
      <c r="M146" t="s">
        <v>288</v>
      </c>
      <c r="N146" t="s">
        <v>781</v>
      </c>
      <c r="O146" t="s">
        <v>229</v>
      </c>
      <c r="P146" t="s">
        <v>261</v>
      </c>
      <c r="Q146" t="s">
        <v>782</v>
      </c>
      <c r="R146" s="13">
        <v>839.43</v>
      </c>
      <c r="S146">
        <v>3</v>
      </c>
      <c r="T146" s="14">
        <v>0</v>
      </c>
      <c r="U146" s="13">
        <v>218.2518</v>
      </c>
    </row>
    <row r="147" spans="1:21" ht="15" customHeight="1" x14ac:dyDescent="0.3">
      <c r="A147">
        <v>146</v>
      </c>
      <c r="B147" t="s">
        <v>783</v>
      </c>
      <c r="C147" s="12">
        <v>42254</v>
      </c>
      <c r="D147" s="12">
        <v>42259</v>
      </c>
      <c r="E147" t="s">
        <v>233</v>
      </c>
      <c r="F147" t="s">
        <v>784</v>
      </c>
      <c r="G147" t="s">
        <v>785</v>
      </c>
      <c r="H147" t="s">
        <v>209</v>
      </c>
      <c r="I147" t="s">
        <v>210</v>
      </c>
      <c r="J147" t="s">
        <v>786</v>
      </c>
      <c r="K147" t="s">
        <v>226</v>
      </c>
      <c r="L147">
        <v>91104</v>
      </c>
      <c r="M147" t="s">
        <v>227</v>
      </c>
      <c r="N147" t="s">
        <v>562</v>
      </c>
      <c r="O147" t="s">
        <v>229</v>
      </c>
      <c r="P147" t="s">
        <v>242</v>
      </c>
      <c r="Q147" t="s">
        <v>563</v>
      </c>
      <c r="R147" s="13">
        <v>671.93</v>
      </c>
      <c r="S147">
        <v>7</v>
      </c>
      <c r="T147" s="14">
        <v>0</v>
      </c>
      <c r="U147" s="13">
        <v>20.157900000000001</v>
      </c>
    </row>
    <row r="148" spans="1:21" ht="15" customHeight="1" x14ac:dyDescent="0.3">
      <c r="A148">
        <v>147</v>
      </c>
      <c r="B148" t="s">
        <v>787</v>
      </c>
      <c r="C148" s="12">
        <v>41934</v>
      </c>
      <c r="D148" s="12">
        <v>41940</v>
      </c>
      <c r="E148" t="s">
        <v>233</v>
      </c>
      <c r="F148" t="s">
        <v>788</v>
      </c>
      <c r="G148" t="s">
        <v>789</v>
      </c>
      <c r="H148" t="s">
        <v>285</v>
      </c>
      <c r="I148" t="s">
        <v>210</v>
      </c>
      <c r="J148" t="s">
        <v>790</v>
      </c>
      <c r="K148" t="s">
        <v>681</v>
      </c>
      <c r="L148">
        <v>43055</v>
      </c>
      <c r="M148" t="s">
        <v>331</v>
      </c>
      <c r="N148" t="s">
        <v>791</v>
      </c>
      <c r="O148" t="s">
        <v>215</v>
      </c>
      <c r="P148" t="s">
        <v>248</v>
      </c>
      <c r="Q148" t="s">
        <v>792</v>
      </c>
      <c r="R148" s="13">
        <v>93.888000000000005</v>
      </c>
      <c r="S148">
        <v>4</v>
      </c>
      <c r="T148" s="14">
        <v>0.2</v>
      </c>
      <c r="U148" s="13">
        <v>12.909599999999999</v>
      </c>
    </row>
    <row r="149" spans="1:21" ht="15" customHeight="1" x14ac:dyDescent="0.3">
      <c r="A149">
        <v>148</v>
      </c>
      <c r="B149" t="s">
        <v>793</v>
      </c>
      <c r="C149" s="12">
        <v>42709</v>
      </c>
      <c r="D149" s="12">
        <v>42713</v>
      </c>
      <c r="E149" t="s">
        <v>233</v>
      </c>
      <c r="F149" t="s">
        <v>794</v>
      </c>
      <c r="G149" t="s">
        <v>795</v>
      </c>
      <c r="H149" t="s">
        <v>224</v>
      </c>
      <c r="I149" t="s">
        <v>210</v>
      </c>
      <c r="J149" t="s">
        <v>796</v>
      </c>
      <c r="K149" t="s">
        <v>297</v>
      </c>
      <c r="L149">
        <v>53132</v>
      </c>
      <c r="M149" t="s">
        <v>288</v>
      </c>
      <c r="N149" t="s">
        <v>797</v>
      </c>
      <c r="O149" t="s">
        <v>254</v>
      </c>
      <c r="P149" t="s">
        <v>255</v>
      </c>
      <c r="Q149" t="s">
        <v>798</v>
      </c>
      <c r="R149" s="13">
        <v>384.45</v>
      </c>
      <c r="S149">
        <v>11</v>
      </c>
      <c r="T149" s="14">
        <v>0</v>
      </c>
      <c r="U149" s="13">
        <v>103.8015</v>
      </c>
    </row>
    <row r="150" spans="1:21" ht="15" customHeight="1" x14ac:dyDescent="0.3">
      <c r="A150">
        <v>149</v>
      </c>
      <c r="B150" t="s">
        <v>793</v>
      </c>
      <c r="C150" s="12">
        <v>42709</v>
      </c>
      <c r="D150" s="12">
        <v>42713</v>
      </c>
      <c r="E150" t="s">
        <v>233</v>
      </c>
      <c r="F150" t="s">
        <v>794</v>
      </c>
      <c r="G150" t="s">
        <v>795</v>
      </c>
      <c r="H150" t="s">
        <v>224</v>
      </c>
      <c r="I150" t="s">
        <v>210</v>
      </c>
      <c r="J150" t="s">
        <v>796</v>
      </c>
      <c r="K150" t="s">
        <v>297</v>
      </c>
      <c r="L150">
        <v>53132</v>
      </c>
      <c r="M150" t="s">
        <v>288</v>
      </c>
      <c r="N150" t="s">
        <v>799</v>
      </c>
      <c r="O150" t="s">
        <v>254</v>
      </c>
      <c r="P150" t="s">
        <v>255</v>
      </c>
      <c r="Q150" t="s">
        <v>800</v>
      </c>
      <c r="R150" s="13">
        <v>149.97</v>
      </c>
      <c r="S150">
        <v>3</v>
      </c>
      <c r="T150" s="14">
        <v>0</v>
      </c>
      <c r="U150" s="13">
        <v>5.9987999999999797</v>
      </c>
    </row>
    <row r="151" spans="1:21" ht="15" customHeight="1" x14ac:dyDescent="0.3">
      <c r="A151">
        <v>150</v>
      </c>
      <c r="B151" t="s">
        <v>793</v>
      </c>
      <c r="C151" s="12">
        <v>42709</v>
      </c>
      <c r="D151" s="12">
        <v>42713</v>
      </c>
      <c r="E151" t="s">
        <v>233</v>
      </c>
      <c r="F151" t="s">
        <v>794</v>
      </c>
      <c r="G151" t="s">
        <v>795</v>
      </c>
      <c r="H151" t="s">
        <v>224</v>
      </c>
      <c r="I151" t="s">
        <v>210</v>
      </c>
      <c r="J151" t="s">
        <v>796</v>
      </c>
      <c r="K151" t="s">
        <v>297</v>
      </c>
      <c r="L151">
        <v>53132</v>
      </c>
      <c r="M151" t="s">
        <v>288</v>
      </c>
      <c r="N151" t="s">
        <v>218</v>
      </c>
      <c r="O151" t="s">
        <v>215</v>
      </c>
      <c r="P151" t="s">
        <v>219</v>
      </c>
      <c r="Q151" t="s">
        <v>220</v>
      </c>
      <c r="R151" s="13">
        <v>1951.84</v>
      </c>
      <c r="S151">
        <v>8</v>
      </c>
      <c r="T151" s="14">
        <v>0</v>
      </c>
      <c r="U151" s="13">
        <v>585.55200000000002</v>
      </c>
    </row>
    <row r="152" spans="1:21" ht="15" customHeight="1" x14ac:dyDescent="0.3">
      <c r="A152">
        <v>151</v>
      </c>
      <c r="B152" t="s">
        <v>793</v>
      </c>
      <c r="C152" s="12">
        <v>42709</v>
      </c>
      <c r="D152" s="12">
        <v>42713</v>
      </c>
      <c r="E152" t="s">
        <v>233</v>
      </c>
      <c r="F152" t="s">
        <v>794</v>
      </c>
      <c r="G152" t="s">
        <v>795</v>
      </c>
      <c r="H152" t="s">
        <v>224</v>
      </c>
      <c r="I152" t="s">
        <v>210</v>
      </c>
      <c r="J152" t="s">
        <v>796</v>
      </c>
      <c r="K152" t="s">
        <v>297</v>
      </c>
      <c r="L152">
        <v>53132</v>
      </c>
      <c r="M152" t="s">
        <v>288</v>
      </c>
      <c r="N152" t="s">
        <v>801</v>
      </c>
      <c r="O152" t="s">
        <v>229</v>
      </c>
      <c r="P152" t="s">
        <v>258</v>
      </c>
      <c r="Q152" t="s">
        <v>802</v>
      </c>
      <c r="R152" s="13">
        <v>171.55</v>
      </c>
      <c r="S152">
        <v>5</v>
      </c>
      <c r="T152" s="14">
        <v>0</v>
      </c>
      <c r="U152" s="13">
        <v>80.628500000000003</v>
      </c>
    </row>
    <row r="153" spans="1:21" ht="15" customHeight="1" x14ac:dyDescent="0.3">
      <c r="A153">
        <v>152</v>
      </c>
      <c r="B153" t="s">
        <v>803</v>
      </c>
      <c r="C153" s="12">
        <v>42442</v>
      </c>
      <c r="D153" s="12">
        <v>42445</v>
      </c>
      <c r="E153" t="s">
        <v>371</v>
      </c>
      <c r="F153" t="s">
        <v>804</v>
      </c>
      <c r="G153" t="s">
        <v>805</v>
      </c>
      <c r="H153" t="s">
        <v>285</v>
      </c>
      <c r="I153" t="s">
        <v>210</v>
      </c>
      <c r="J153" t="s">
        <v>806</v>
      </c>
      <c r="K153" t="s">
        <v>493</v>
      </c>
      <c r="L153">
        <v>85254</v>
      </c>
      <c r="M153" t="s">
        <v>227</v>
      </c>
      <c r="N153" t="s">
        <v>807</v>
      </c>
      <c r="O153" t="s">
        <v>229</v>
      </c>
      <c r="P153" t="s">
        <v>261</v>
      </c>
      <c r="Q153" t="s">
        <v>808</v>
      </c>
      <c r="R153" s="13">
        <v>157.91999999999999</v>
      </c>
      <c r="S153">
        <v>5</v>
      </c>
      <c r="T153" s="14">
        <v>0.2</v>
      </c>
      <c r="U153" s="13">
        <v>17.765999999999998</v>
      </c>
    </row>
    <row r="154" spans="1:21" ht="15" customHeight="1" x14ac:dyDescent="0.3">
      <c r="A154">
        <v>153</v>
      </c>
      <c r="B154" t="s">
        <v>803</v>
      </c>
      <c r="C154" s="12">
        <v>42442</v>
      </c>
      <c r="D154" s="12">
        <v>42445</v>
      </c>
      <c r="E154" t="s">
        <v>371</v>
      </c>
      <c r="F154" t="s">
        <v>804</v>
      </c>
      <c r="G154" t="s">
        <v>805</v>
      </c>
      <c r="H154" t="s">
        <v>285</v>
      </c>
      <c r="I154" t="s">
        <v>210</v>
      </c>
      <c r="J154" t="s">
        <v>806</v>
      </c>
      <c r="K154" t="s">
        <v>493</v>
      </c>
      <c r="L154">
        <v>85254</v>
      </c>
      <c r="M154" t="s">
        <v>227</v>
      </c>
      <c r="N154" t="s">
        <v>809</v>
      </c>
      <c r="O154" t="s">
        <v>254</v>
      </c>
      <c r="P154" t="s">
        <v>255</v>
      </c>
      <c r="Q154" t="s">
        <v>810</v>
      </c>
      <c r="R154" s="13">
        <v>203.184</v>
      </c>
      <c r="S154">
        <v>2</v>
      </c>
      <c r="T154" s="14">
        <v>0.2</v>
      </c>
      <c r="U154" s="13">
        <v>15.238799999999999</v>
      </c>
    </row>
    <row r="155" spans="1:21" ht="15" customHeight="1" x14ac:dyDescent="0.3">
      <c r="A155">
        <v>154</v>
      </c>
      <c r="B155" t="s">
        <v>811</v>
      </c>
      <c r="C155" s="12">
        <v>42155</v>
      </c>
      <c r="D155" s="12">
        <v>42157</v>
      </c>
      <c r="E155" t="s">
        <v>371</v>
      </c>
      <c r="F155" t="s">
        <v>812</v>
      </c>
      <c r="G155" t="s">
        <v>813</v>
      </c>
      <c r="H155" t="s">
        <v>224</v>
      </c>
      <c r="I155" t="s">
        <v>210</v>
      </c>
      <c r="J155" t="s">
        <v>814</v>
      </c>
      <c r="K155" t="s">
        <v>226</v>
      </c>
      <c r="L155">
        <v>95123</v>
      </c>
      <c r="M155" t="s">
        <v>227</v>
      </c>
      <c r="N155" t="s">
        <v>815</v>
      </c>
      <c r="O155" t="s">
        <v>229</v>
      </c>
      <c r="P155" t="s">
        <v>273</v>
      </c>
      <c r="Q155" t="s">
        <v>816</v>
      </c>
      <c r="R155" s="13">
        <v>58.38</v>
      </c>
      <c r="S155">
        <v>7</v>
      </c>
      <c r="T155" s="14">
        <v>0</v>
      </c>
      <c r="U155" s="13">
        <v>26.271000000000001</v>
      </c>
    </row>
    <row r="156" spans="1:21" ht="15" customHeight="1" x14ac:dyDescent="0.3">
      <c r="A156">
        <v>155</v>
      </c>
      <c r="B156" t="s">
        <v>811</v>
      </c>
      <c r="C156" s="12">
        <v>42155</v>
      </c>
      <c r="D156" s="12">
        <v>42157</v>
      </c>
      <c r="E156" t="s">
        <v>371</v>
      </c>
      <c r="F156" t="s">
        <v>812</v>
      </c>
      <c r="G156" t="s">
        <v>813</v>
      </c>
      <c r="H156" t="s">
        <v>224</v>
      </c>
      <c r="I156" t="s">
        <v>210</v>
      </c>
      <c r="J156" t="s">
        <v>814</v>
      </c>
      <c r="K156" t="s">
        <v>226</v>
      </c>
      <c r="L156">
        <v>95123</v>
      </c>
      <c r="M156" t="s">
        <v>227</v>
      </c>
      <c r="N156" t="s">
        <v>817</v>
      </c>
      <c r="O156" t="s">
        <v>229</v>
      </c>
      <c r="P156" t="s">
        <v>273</v>
      </c>
      <c r="Q156" t="s">
        <v>818</v>
      </c>
      <c r="R156" s="13">
        <v>105.52</v>
      </c>
      <c r="S156">
        <v>4</v>
      </c>
      <c r="T156" s="14">
        <v>0</v>
      </c>
      <c r="U156" s="13">
        <v>48.539200000000001</v>
      </c>
    </row>
    <row r="157" spans="1:21" ht="15" customHeight="1" x14ac:dyDescent="0.3">
      <c r="A157">
        <v>156</v>
      </c>
      <c r="B157" t="s">
        <v>811</v>
      </c>
      <c r="C157" s="12">
        <v>42155</v>
      </c>
      <c r="D157" s="12">
        <v>42157</v>
      </c>
      <c r="E157" t="s">
        <v>371</v>
      </c>
      <c r="F157" t="s">
        <v>812</v>
      </c>
      <c r="G157" t="s">
        <v>813</v>
      </c>
      <c r="H157" t="s">
        <v>224</v>
      </c>
      <c r="I157" t="s">
        <v>210</v>
      </c>
      <c r="J157" t="s">
        <v>814</v>
      </c>
      <c r="K157" t="s">
        <v>226</v>
      </c>
      <c r="L157">
        <v>95123</v>
      </c>
      <c r="M157" t="s">
        <v>227</v>
      </c>
      <c r="N157" t="s">
        <v>819</v>
      </c>
      <c r="O157" t="s">
        <v>229</v>
      </c>
      <c r="P157" t="s">
        <v>242</v>
      </c>
      <c r="Q157" t="s">
        <v>820</v>
      </c>
      <c r="R157" s="13">
        <v>80.88</v>
      </c>
      <c r="S157">
        <v>6</v>
      </c>
      <c r="T157" s="14">
        <v>0</v>
      </c>
      <c r="U157" s="13">
        <v>21.0288</v>
      </c>
    </row>
    <row r="158" spans="1:21" ht="15" customHeight="1" x14ac:dyDescent="0.3">
      <c r="A158">
        <v>157</v>
      </c>
      <c r="B158" t="s">
        <v>821</v>
      </c>
      <c r="C158" s="12">
        <v>42152</v>
      </c>
      <c r="D158" s="12">
        <v>42158</v>
      </c>
      <c r="E158" t="s">
        <v>233</v>
      </c>
      <c r="F158" t="s">
        <v>822</v>
      </c>
      <c r="G158" t="s">
        <v>823</v>
      </c>
      <c r="H158" t="s">
        <v>285</v>
      </c>
      <c r="I158" t="s">
        <v>210</v>
      </c>
      <c r="J158" t="s">
        <v>278</v>
      </c>
      <c r="K158" t="s">
        <v>279</v>
      </c>
      <c r="L158">
        <v>98105</v>
      </c>
      <c r="M158" t="s">
        <v>227</v>
      </c>
      <c r="N158" t="s">
        <v>824</v>
      </c>
      <c r="O158" t="s">
        <v>229</v>
      </c>
      <c r="P158" t="s">
        <v>251</v>
      </c>
      <c r="Q158" t="s">
        <v>825</v>
      </c>
      <c r="R158" s="13">
        <v>6.63</v>
      </c>
      <c r="S158">
        <v>3</v>
      </c>
      <c r="T158" s="14">
        <v>0</v>
      </c>
      <c r="U158" s="13">
        <v>1.7901</v>
      </c>
    </row>
    <row r="159" spans="1:21" ht="15" customHeight="1" x14ac:dyDescent="0.3">
      <c r="A159">
        <v>158</v>
      </c>
      <c r="B159" t="s">
        <v>826</v>
      </c>
      <c r="C159" s="12">
        <v>41699</v>
      </c>
      <c r="D159" s="12">
        <v>41704</v>
      </c>
      <c r="E159" t="s">
        <v>206</v>
      </c>
      <c r="F159" t="s">
        <v>827</v>
      </c>
      <c r="G159" t="s">
        <v>828</v>
      </c>
      <c r="H159" t="s">
        <v>209</v>
      </c>
      <c r="I159" t="s">
        <v>210</v>
      </c>
      <c r="J159" t="s">
        <v>278</v>
      </c>
      <c r="K159" t="s">
        <v>279</v>
      </c>
      <c r="L159">
        <v>98115</v>
      </c>
      <c r="M159" t="s">
        <v>227</v>
      </c>
      <c r="N159" t="s">
        <v>716</v>
      </c>
      <c r="O159" t="s">
        <v>215</v>
      </c>
      <c r="P159" t="s">
        <v>219</v>
      </c>
      <c r="Q159" t="s">
        <v>717</v>
      </c>
      <c r="R159" s="13">
        <v>457.56799999999998</v>
      </c>
      <c r="S159">
        <v>2</v>
      </c>
      <c r="T159" s="14">
        <v>0.2</v>
      </c>
      <c r="U159" s="13">
        <v>51.476399999999899</v>
      </c>
    </row>
    <row r="160" spans="1:21" ht="15" customHeight="1" x14ac:dyDescent="0.3">
      <c r="A160">
        <v>159</v>
      </c>
      <c r="B160" t="s">
        <v>829</v>
      </c>
      <c r="C160" s="12">
        <v>42694</v>
      </c>
      <c r="D160" s="12">
        <v>42698</v>
      </c>
      <c r="E160" t="s">
        <v>233</v>
      </c>
      <c r="F160" t="s">
        <v>830</v>
      </c>
      <c r="G160" t="s">
        <v>831</v>
      </c>
      <c r="H160" t="s">
        <v>209</v>
      </c>
      <c r="I160" t="s">
        <v>210</v>
      </c>
      <c r="J160" t="s">
        <v>832</v>
      </c>
      <c r="K160" t="s">
        <v>833</v>
      </c>
      <c r="L160">
        <v>73034</v>
      </c>
      <c r="M160" t="s">
        <v>288</v>
      </c>
      <c r="N160" t="s">
        <v>834</v>
      </c>
      <c r="O160" t="s">
        <v>229</v>
      </c>
      <c r="P160" t="s">
        <v>230</v>
      </c>
      <c r="Q160" t="s">
        <v>835</v>
      </c>
      <c r="R160" s="13">
        <v>14.62</v>
      </c>
      <c r="S160">
        <v>2</v>
      </c>
      <c r="T160" s="14">
        <v>0</v>
      </c>
      <c r="U160" s="13">
        <v>6.8714000000000004</v>
      </c>
    </row>
    <row r="161" spans="1:21" ht="15" customHeight="1" x14ac:dyDescent="0.3">
      <c r="A161">
        <v>160</v>
      </c>
      <c r="B161" t="s">
        <v>829</v>
      </c>
      <c r="C161" s="12">
        <v>42694</v>
      </c>
      <c r="D161" s="12">
        <v>42698</v>
      </c>
      <c r="E161" t="s">
        <v>233</v>
      </c>
      <c r="F161" t="s">
        <v>830</v>
      </c>
      <c r="G161" t="s">
        <v>831</v>
      </c>
      <c r="H161" t="s">
        <v>209</v>
      </c>
      <c r="I161" t="s">
        <v>210</v>
      </c>
      <c r="J161" t="s">
        <v>832</v>
      </c>
      <c r="K161" t="s">
        <v>833</v>
      </c>
      <c r="L161">
        <v>73034</v>
      </c>
      <c r="M161" t="s">
        <v>288</v>
      </c>
      <c r="N161" t="s">
        <v>836</v>
      </c>
      <c r="O161" t="s">
        <v>254</v>
      </c>
      <c r="P161" t="s">
        <v>255</v>
      </c>
      <c r="Q161" t="s">
        <v>837</v>
      </c>
      <c r="R161" s="13">
        <v>944.93</v>
      </c>
      <c r="S161">
        <v>7</v>
      </c>
      <c r="T161" s="14">
        <v>0</v>
      </c>
      <c r="U161" s="13">
        <v>236.23249999999999</v>
      </c>
    </row>
    <row r="162" spans="1:21" ht="15" customHeight="1" x14ac:dyDescent="0.3">
      <c r="A162">
        <v>161</v>
      </c>
      <c r="B162" t="s">
        <v>838</v>
      </c>
      <c r="C162" s="12">
        <v>42501</v>
      </c>
      <c r="D162" s="12">
        <v>42502</v>
      </c>
      <c r="E162" t="s">
        <v>371</v>
      </c>
      <c r="F162" t="s">
        <v>839</v>
      </c>
      <c r="G162" t="s">
        <v>840</v>
      </c>
      <c r="H162" t="s">
        <v>209</v>
      </c>
      <c r="I162" t="s">
        <v>210</v>
      </c>
      <c r="J162" t="s">
        <v>225</v>
      </c>
      <c r="K162" t="s">
        <v>226</v>
      </c>
      <c r="L162">
        <v>90045</v>
      </c>
      <c r="M162" t="s">
        <v>227</v>
      </c>
      <c r="N162" t="s">
        <v>841</v>
      </c>
      <c r="O162" t="s">
        <v>229</v>
      </c>
      <c r="P162" t="s">
        <v>273</v>
      </c>
      <c r="Q162" t="s">
        <v>842</v>
      </c>
      <c r="R162" s="13">
        <v>5.98</v>
      </c>
      <c r="S162">
        <v>1</v>
      </c>
      <c r="T162" s="14">
        <v>0</v>
      </c>
      <c r="U162" s="13">
        <v>2.6909999999999998</v>
      </c>
    </row>
    <row r="163" spans="1:21" ht="15" customHeight="1" x14ac:dyDescent="0.3">
      <c r="A163">
        <v>162</v>
      </c>
      <c r="B163" t="s">
        <v>843</v>
      </c>
      <c r="C163" s="12">
        <v>42366</v>
      </c>
      <c r="D163" s="12">
        <v>42369</v>
      </c>
      <c r="E163" t="s">
        <v>206</v>
      </c>
      <c r="F163" t="s">
        <v>844</v>
      </c>
      <c r="G163" t="s">
        <v>845</v>
      </c>
      <c r="H163" t="s">
        <v>209</v>
      </c>
      <c r="I163" t="s">
        <v>210</v>
      </c>
      <c r="J163" t="s">
        <v>329</v>
      </c>
      <c r="K163" t="s">
        <v>330</v>
      </c>
      <c r="L163">
        <v>19134</v>
      </c>
      <c r="M163" t="s">
        <v>331</v>
      </c>
      <c r="N163" t="s">
        <v>846</v>
      </c>
      <c r="O163" t="s">
        <v>254</v>
      </c>
      <c r="P163" t="s">
        <v>344</v>
      </c>
      <c r="Q163" t="s">
        <v>847</v>
      </c>
      <c r="R163" s="13">
        <v>54.384</v>
      </c>
      <c r="S163">
        <v>2</v>
      </c>
      <c r="T163" s="14">
        <v>0.2</v>
      </c>
      <c r="U163" s="13">
        <v>1.3595999999999999</v>
      </c>
    </row>
    <row r="164" spans="1:21" ht="15" customHeight="1" x14ac:dyDescent="0.3">
      <c r="A164">
        <v>163</v>
      </c>
      <c r="B164" t="s">
        <v>848</v>
      </c>
      <c r="C164" s="12">
        <v>42690</v>
      </c>
      <c r="D164" s="12">
        <v>42694</v>
      </c>
      <c r="E164" t="s">
        <v>233</v>
      </c>
      <c r="F164" t="s">
        <v>849</v>
      </c>
      <c r="G164" t="s">
        <v>850</v>
      </c>
      <c r="H164" t="s">
        <v>209</v>
      </c>
      <c r="I164" t="s">
        <v>210</v>
      </c>
      <c r="J164" t="s">
        <v>851</v>
      </c>
      <c r="K164" t="s">
        <v>852</v>
      </c>
      <c r="L164">
        <v>88220</v>
      </c>
      <c r="M164" t="s">
        <v>227</v>
      </c>
      <c r="N164" t="s">
        <v>853</v>
      </c>
      <c r="O164" t="s">
        <v>229</v>
      </c>
      <c r="P164" t="s">
        <v>356</v>
      </c>
      <c r="Q164" t="s">
        <v>854</v>
      </c>
      <c r="R164" s="13">
        <v>28.4</v>
      </c>
      <c r="S164">
        <v>5</v>
      </c>
      <c r="T164" s="14">
        <v>0</v>
      </c>
      <c r="U164" s="13">
        <v>13.348000000000001</v>
      </c>
    </row>
    <row r="165" spans="1:21" ht="15" customHeight="1" x14ac:dyDescent="0.3">
      <c r="A165">
        <v>164</v>
      </c>
      <c r="B165" t="s">
        <v>855</v>
      </c>
      <c r="C165" s="12">
        <v>42681</v>
      </c>
      <c r="D165" s="12">
        <v>42685</v>
      </c>
      <c r="E165" t="s">
        <v>233</v>
      </c>
      <c r="F165" t="s">
        <v>856</v>
      </c>
      <c r="G165" t="s">
        <v>857</v>
      </c>
      <c r="H165" t="s">
        <v>209</v>
      </c>
      <c r="I165" t="s">
        <v>210</v>
      </c>
      <c r="J165" t="s">
        <v>278</v>
      </c>
      <c r="K165" t="s">
        <v>279</v>
      </c>
      <c r="L165">
        <v>98115</v>
      </c>
      <c r="M165" t="s">
        <v>227</v>
      </c>
      <c r="N165" t="s">
        <v>858</v>
      </c>
      <c r="O165" t="s">
        <v>229</v>
      </c>
      <c r="P165" t="s">
        <v>258</v>
      </c>
      <c r="Q165" t="s">
        <v>859</v>
      </c>
      <c r="R165" s="13">
        <v>27.68</v>
      </c>
      <c r="S165">
        <v>2</v>
      </c>
      <c r="T165" s="14">
        <v>0.2</v>
      </c>
      <c r="U165" s="13">
        <v>9.6880000000000006</v>
      </c>
    </row>
    <row r="166" spans="1:21" ht="15" customHeight="1" x14ac:dyDescent="0.3">
      <c r="A166">
        <v>165</v>
      </c>
      <c r="B166" t="s">
        <v>860</v>
      </c>
      <c r="C166" s="12">
        <v>41890</v>
      </c>
      <c r="D166" s="12">
        <v>41894</v>
      </c>
      <c r="E166" t="s">
        <v>233</v>
      </c>
      <c r="F166" t="s">
        <v>861</v>
      </c>
      <c r="G166" t="s">
        <v>862</v>
      </c>
      <c r="H166" t="s">
        <v>209</v>
      </c>
      <c r="I166" t="s">
        <v>210</v>
      </c>
      <c r="J166" t="s">
        <v>863</v>
      </c>
      <c r="K166" t="s">
        <v>287</v>
      </c>
      <c r="L166">
        <v>78207</v>
      </c>
      <c r="M166" t="s">
        <v>288</v>
      </c>
      <c r="N166" t="s">
        <v>864</v>
      </c>
      <c r="O166" t="s">
        <v>229</v>
      </c>
      <c r="P166" t="s">
        <v>251</v>
      </c>
      <c r="Q166" t="s">
        <v>865</v>
      </c>
      <c r="R166" s="13">
        <v>9.9359999999999999</v>
      </c>
      <c r="S166">
        <v>3</v>
      </c>
      <c r="T166" s="14">
        <v>0.2</v>
      </c>
      <c r="U166" s="13">
        <v>2.7324000000000002</v>
      </c>
    </row>
    <row r="167" spans="1:21" ht="15" customHeight="1" x14ac:dyDescent="0.3">
      <c r="A167">
        <v>166</v>
      </c>
      <c r="B167" t="s">
        <v>860</v>
      </c>
      <c r="C167" s="12">
        <v>41890</v>
      </c>
      <c r="D167" s="12">
        <v>41894</v>
      </c>
      <c r="E167" t="s">
        <v>233</v>
      </c>
      <c r="F167" t="s">
        <v>861</v>
      </c>
      <c r="G167" t="s">
        <v>862</v>
      </c>
      <c r="H167" t="s">
        <v>209</v>
      </c>
      <c r="I167" t="s">
        <v>210</v>
      </c>
      <c r="J167" t="s">
        <v>863</v>
      </c>
      <c r="K167" t="s">
        <v>287</v>
      </c>
      <c r="L167">
        <v>78207</v>
      </c>
      <c r="M167" t="s">
        <v>288</v>
      </c>
      <c r="N167" t="s">
        <v>866</v>
      </c>
      <c r="O167" t="s">
        <v>254</v>
      </c>
      <c r="P167" t="s">
        <v>867</v>
      </c>
      <c r="Q167" t="s">
        <v>868</v>
      </c>
      <c r="R167" s="13">
        <v>8159.9520000000002</v>
      </c>
      <c r="S167">
        <v>8</v>
      </c>
      <c r="T167" s="14">
        <v>0.4</v>
      </c>
      <c r="U167" s="13">
        <v>-1359.992</v>
      </c>
    </row>
    <row r="168" spans="1:21" ht="15" customHeight="1" x14ac:dyDescent="0.3">
      <c r="A168">
        <v>167</v>
      </c>
      <c r="B168" t="s">
        <v>860</v>
      </c>
      <c r="C168" s="12">
        <v>41890</v>
      </c>
      <c r="D168" s="12">
        <v>41894</v>
      </c>
      <c r="E168" t="s">
        <v>233</v>
      </c>
      <c r="F168" t="s">
        <v>861</v>
      </c>
      <c r="G168" t="s">
        <v>862</v>
      </c>
      <c r="H168" t="s">
        <v>209</v>
      </c>
      <c r="I168" t="s">
        <v>210</v>
      </c>
      <c r="J168" t="s">
        <v>863</v>
      </c>
      <c r="K168" t="s">
        <v>287</v>
      </c>
      <c r="L168">
        <v>78207</v>
      </c>
      <c r="M168" t="s">
        <v>288</v>
      </c>
      <c r="N168" t="s">
        <v>869</v>
      </c>
      <c r="O168" t="s">
        <v>229</v>
      </c>
      <c r="P168" t="s">
        <v>242</v>
      </c>
      <c r="Q168" t="s">
        <v>870</v>
      </c>
      <c r="R168" s="13">
        <v>275.928</v>
      </c>
      <c r="S168">
        <v>3</v>
      </c>
      <c r="T168" s="14">
        <v>0.2</v>
      </c>
      <c r="U168" s="13">
        <v>-58.634700000000002</v>
      </c>
    </row>
    <row r="169" spans="1:21" ht="15" customHeight="1" x14ac:dyDescent="0.3">
      <c r="A169">
        <v>168</v>
      </c>
      <c r="B169" t="s">
        <v>860</v>
      </c>
      <c r="C169" s="12">
        <v>41890</v>
      </c>
      <c r="D169" s="12">
        <v>41894</v>
      </c>
      <c r="E169" t="s">
        <v>233</v>
      </c>
      <c r="F169" t="s">
        <v>861</v>
      </c>
      <c r="G169" t="s">
        <v>862</v>
      </c>
      <c r="H169" t="s">
        <v>209</v>
      </c>
      <c r="I169" t="s">
        <v>210</v>
      </c>
      <c r="J169" t="s">
        <v>863</v>
      </c>
      <c r="K169" t="s">
        <v>287</v>
      </c>
      <c r="L169">
        <v>78207</v>
      </c>
      <c r="M169" t="s">
        <v>288</v>
      </c>
      <c r="N169" t="s">
        <v>871</v>
      </c>
      <c r="O169" t="s">
        <v>215</v>
      </c>
      <c r="P169" t="s">
        <v>219</v>
      </c>
      <c r="Q169" t="s">
        <v>872</v>
      </c>
      <c r="R169" s="13">
        <v>1740.06</v>
      </c>
      <c r="S169">
        <v>9</v>
      </c>
      <c r="T169" s="14">
        <v>0.3</v>
      </c>
      <c r="U169" s="13">
        <v>-24.858000000000199</v>
      </c>
    </row>
    <row r="170" spans="1:21" ht="15" customHeight="1" x14ac:dyDescent="0.3">
      <c r="A170">
        <v>169</v>
      </c>
      <c r="B170" t="s">
        <v>860</v>
      </c>
      <c r="C170" s="12">
        <v>41890</v>
      </c>
      <c r="D170" s="12">
        <v>41894</v>
      </c>
      <c r="E170" t="s">
        <v>233</v>
      </c>
      <c r="F170" t="s">
        <v>861</v>
      </c>
      <c r="G170" t="s">
        <v>862</v>
      </c>
      <c r="H170" t="s">
        <v>209</v>
      </c>
      <c r="I170" t="s">
        <v>210</v>
      </c>
      <c r="J170" t="s">
        <v>863</v>
      </c>
      <c r="K170" t="s">
        <v>287</v>
      </c>
      <c r="L170">
        <v>78207</v>
      </c>
      <c r="M170" t="s">
        <v>288</v>
      </c>
      <c r="N170" t="s">
        <v>873</v>
      </c>
      <c r="O170" t="s">
        <v>229</v>
      </c>
      <c r="P170" t="s">
        <v>251</v>
      </c>
      <c r="Q170" t="s">
        <v>874</v>
      </c>
      <c r="R170" s="13">
        <v>32.064</v>
      </c>
      <c r="S170">
        <v>6</v>
      </c>
      <c r="T170" s="14">
        <v>0.2</v>
      </c>
      <c r="U170" s="13">
        <v>6.8136000000000001</v>
      </c>
    </row>
    <row r="171" spans="1:21" ht="15" customHeight="1" x14ac:dyDescent="0.3">
      <c r="A171">
        <v>170</v>
      </c>
      <c r="B171" t="s">
        <v>860</v>
      </c>
      <c r="C171" s="12">
        <v>41890</v>
      </c>
      <c r="D171" s="12">
        <v>41894</v>
      </c>
      <c r="E171" t="s">
        <v>233</v>
      </c>
      <c r="F171" t="s">
        <v>861</v>
      </c>
      <c r="G171" t="s">
        <v>862</v>
      </c>
      <c r="H171" t="s">
        <v>209</v>
      </c>
      <c r="I171" t="s">
        <v>210</v>
      </c>
      <c r="J171" t="s">
        <v>863</v>
      </c>
      <c r="K171" t="s">
        <v>287</v>
      </c>
      <c r="L171">
        <v>78207</v>
      </c>
      <c r="M171" t="s">
        <v>288</v>
      </c>
      <c r="N171" t="s">
        <v>875</v>
      </c>
      <c r="O171" t="s">
        <v>229</v>
      </c>
      <c r="P171" t="s">
        <v>261</v>
      </c>
      <c r="Q171" t="s">
        <v>876</v>
      </c>
      <c r="R171" s="13">
        <v>177.98</v>
      </c>
      <c r="S171">
        <v>5</v>
      </c>
      <c r="T171" s="14">
        <v>0.8</v>
      </c>
      <c r="U171" s="13">
        <v>-453.84899999999999</v>
      </c>
    </row>
    <row r="172" spans="1:21" ht="15" customHeight="1" x14ac:dyDescent="0.3">
      <c r="A172">
        <v>171</v>
      </c>
      <c r="B172" t="s">
        <v>860</v>
      </c>
      <c r="C172" s="12">
        <v>41890</v>
      </c>
      <c r="D172" s="12">
        <v>41894</v>
      </c>
      <c r="E172" t="s">
        <v>233</v>
      </c>
      <c r="F172" t="s">
        <v>861</v>
      </c>
      <c r="G172" t="s">
        <v>862</v>
      </c>
      <c r="H172" t="s">
        <v>209</v>
      </c>
      <c r="I172" t="s">
        <v>210</v>
      </c>
      <c r="J172" t="s">
        <v>863</v>
      </c>
      <c r="K172" t="s">
        <v>287</v>
      </c>
      <c r="L172">
        <v>78207</v>
      </c>
      <c r="M172" t="s">
        <v>288</v>
      </c>
      <c r="N172" t="s">
        <v>877</v>
      </c>
      <c r="O172" t="s">
        <v>254</v>
      </c>
      <c r="P172" t="s">
        <v>255</v>
      </c>
      <c r="Q172" t="s">
        <v>878</v>
      </c>
      <c r="R172" s="13">
        <v>143.976</v>
      </c>
      <c r="S172">
        <v>3</v>
      </c>
      <c r="T172" s="14">
        <v>0.2</v>
      </c>
      <c r="U172" s="13">
        <v>8.9985000000000106</v>
      </c>
    </row>
    <row r="173" spans="1:21" ht="15" customHeight="1" x14ac:dyDescent="0.3">
      <c r="A173">
        <v>172</v>
      </c>
      <c r="B173" t="s">
        <v>879</v>
      </c>
      <c r="C173" s="12">
        <v>41856</v>
      </c>
      <c r="D173" s="12">
        <v>41860</v>
      </c>
      <c r="E173" t="s">
        <v>233</v>
      </c>
      <c r="F173" t="s">
        <v>880</v>
      </c>
      <c r="G173" t="s">
        <v>881</v>
      </c>
      <c r="H173" t="s">
        <v>209</v>
      </c>
      <c r="I173" t="s">
        <v>210</v>
      </c>
      <c r="J173" t="s">
        <v>225</v>
      </c>
      <c r="K173" t="s">
        <v>226</v>
      </c>
      <c r="L173">
        <v>90004</v>
      </c>
      <c r="M173" t="s">
        <v>227</v>
      </c>
      <c r="N173" t="s">
        <v>882</v>
      </c>
      <c r="O173" t="s">
        <v>229</v>
      </c>
      <c r="P173" t="s">
        <v>273</v>
      </c>
      <c r="Q173" t="s">
        <v>883</v>
      </c>
      <c r="R173" s="13">
        <v>20.94</v>
      </c>
      <c r="S173">
        <v>3</v>
      </c>
      <c r="T173" s="14">
        <v>0</v>
      </c>
      <c r="U173" s="13">
        <v>9.8417999999999992</v>
      </c>
    </row>
    <row r="174" spans="1:21" ht="15" customHeight="1" x14ac:dyDescent="0.3">
      <c r="A174">
        <v>173</v>
      </c>
      <c r="B174" t="s">
        <v>879</v>
      </c>
      <c r="C174" s="12">
        <v>41856</v>
      </c>
      <c r="D174" s="12">
        <v>41860</v>
      </c>
      <c r="E174" t="s">
        <v>233</v>
      </c>
      <c r="F174" t="s">
        <v>880</v>
      </c>
      <c r="G174" t="s">
        <v>881</v>
      </c>
      <c r="H174" t="s">
        <v>209</v>
      </c>
      <c r="I174" t="s">
        <v>210</v>
      </c>
      <c r="J174" t="s">
        <v>225</v>
      </c>
      <c r="K174" t="s">
        <v>226</v>
      </c>
      <c r="L174">
        <v>90004</v>
      </c>
      <c r="M174" t="s">
        <v>227</v>
      </c>
      <c r="N174" t="s">
        <v>884</v>
      </c>
      <c r="O174" t="s">
        <v>229</v>
      </c>
      <c r="P174" t="s">
        <v>273</v>
      </c>
      <c r="Q174" t="s">
        <v>885</v>
      </c>
      <c r="R174" s="13">
        <v>110.96</v>
      </c>
      <c r="S174">
        <v>2</v>
      </c>
      <c r="T174" s="14">
        <v>0</v>
      </c>
      <c r="U174" s="13">
        <v>53.260800000000003</v>
      </c>
    </row>
    <row r="175" spans="1:21" ht="15" customHeight="1" x14ac:dyDescent="0.3">
      <c r="A175">
        <v>174</v>
      </c>
      <c r="B175" t="s">
        <v>879</v>
      </c>
      <c r="C175" s="12">
        <v>41856</v>
      </c>
      <c r="D175" s="12">
        <v>41860</v>
      </c>
      <c r="E175" t="s">
        <v>233</v>
      </c>
      <c r="F175" t="s">
        <v>880</v>
      </c>
      <c r="G175" t="s">
        <v>881</v>
      </c>
      <c r="H175" t="s">
        <v>209</v>
      </c>
      <c r="I175" t="s">
        <v>210</v>
      </c>
      <c r="J175" t="s">
        <v>225</v>
      </c>
      <c r="K175" t="s">
        <v>226</v>
      </c>
      <c r="L175">
        <v>90004</v>
      </c>
      <c r="M175" t="s">
        <v>227</v>
      </c>
      <c r="N175" t="s">
        <v>886</v>
      </c>
      <c r="O175" t="s">
        <v>215</v>
      </c>
      <c r="P175" t="s">
        <v>219</v>
      </c>
      <c r="Q175" t="s">
        <v>887</v>
      </c>
      <c r="R175" s="13">
        <v>340.14400000000001</v>
      </c>
      <c r="S175">
        <v>7</v>
      </c>
      <c r="T175" s="14">
        <v>0.2</v>
      </c>
      <c r="U175" s="13">
        <v>21.259</v>
      </c>
    </row>
    <row r="176" spans="1:21" ht="15" customHeight="1" x14ac:dyDescent="0.3">
      <c r="A176">
        <v>175</v>
      </c>
      <c r="B176" t="s">
        <v>888</v>
      </c>
      <c r="C176" s="12">
        <v>41896</v>
      </c>
      <c r="D176" s="12">
        <v>41901</v>
      </c>
      <c r="E176" t="s">
        <v>233</v>
      </c>
      <c r="F176" t="s">
        <v>889</v>
      </c>
      <c r="G176" t="s">
        <v>890</v>
      </c>
      <c r="H176" t="s">
        <v>224</v>
      </c>
      <c r="I176" t="s">
        <v>210</v>
      </c>
      <c r="J176" t="s">
        <v>486</v>
      </c>
      <c r="K176" t="s">
        <v>394</v>
      </c>
      <c r="L176">
        <v>60623</v>
      </c>
      <c r="M176" t="s">
        <v>288</v>
      </c>
      <c r="N176" t="s">
        <v>891</v>
      </c>
      <c r="O176" t="s">
        <v>229</v>
      </c>
      <c r="P176" t="s">
        <v>261</v>
      </c>
      <c r="Q176" t="s">
        <v>892</v>
      </c>
      <c r="R176" s="13">
        <v>52.448</v>
      </c>
      <c r="S176">
        <v>2</v>
      </c>
      <c r="T176" s="14">
        <v>0.8</v>
      </c>
      <c r="U176" s="13">
        <v>-131.12</v>
      </c>
    </row>
    <row r="177" spans="1:21" ht="15" customHeight="1" x14ac:dyDescent="0.3">
      <c r="A177">
        <v>176</v>
      </c>
      <c r="B177" t="s">
        <v>888</v>
      </c>
      <c r="C177" s="12">
        <v>41896</v>
      </c>
      <c r="D177" s="12">
        <v>41901</v>
      </c>
      <c r="E177" t="s">
        <v>233</v>
      </c>
      <c r="F177" t="s">
        <v>889</v>
      </c>
      <c r="G177" t="s">
        <v>890</v>
      </c>
      <c r="H177" t="s">
        <v>224</v>
      </c>
      <c r="I177" t="s">
        <v>210</v>
      </c>
      <c r="J177" t="s">
        <v>486</v>
      </c>
      <c r="K177" t="s">
        <v>394</v>
      </c>
      <c r="L177">
        <v>60623</v>
      </c>
      <c r="M177" t="s">
        <v>288</v>
      </c>
      <c r="N177" t="s">
        <v>893</v>
      </c>
      <c r="O177" t="s">
        <v>229</v>
      </c>
      <c r="P177" t="s">
        <v>230</v>
      </c>
      <c r="Q177" t="s">
        <v>894</v>
      </c>
      <c r="R177" s="13">
        <v>20.16</v>
      </c>
      <c r="S177">
        <v>4</v>
      </c>
      <c r="T177" s="14">
        <v>0.2</v>
      </c>
      <c r="U177" s="13">
        <v>6.5519999999999996</v>
      </c>
    </row>
    <row r="178" spans="1:21" ht="15" customHeight="1" x14ac:dyDescent="0.3">
      <c r="A178">
        <v>177</v>
      </c>
      <c r="B178" t="s">
        <v>895</v>
      </c>
      <c r="C178" s="12">
        <v>42846</v>
      </c>
      <c r="D178" s="12">
        <v>42850</v>
      </c>
      <c r="E178" t="s">
        <v>206</v>
      </c>
      <c r="F178" t="s">
        <v>896</v>
      </c>
      <c r="G178" t="s">
        <v>897</v>
      </c>
      <c r="H178" t="s">
        <v>209</v>
      </c>
      <c r="I178" t="s">
        <v>210</v>
      </c>
      <c r="J178" t="s">
        <v>367</v>
      </c>
      <c r="K178" t="s">
        <v>287</v>
      </c>
      <c r="L178">
        <v>77036</v>
      </c>
      <c r="M178" t="s">
        <v>288</v>
      </c>
      <c r="N178" t="s">
        <v>898</v>
      </c>
      <c r="O178" t="s">
        <v>229</v>
      </c>
      <c r="P178" t="s">
        <v>261</v>
      </c>
      <c r="Q178" t="s">
        <v>899</v>
      </c>
      <c r="R178" s="13">
        <v>97.263999999999996</v>
      </c>
      <c r="S178">
        <v>4</v>
      </c>
      <c r="T178" s="14">
        <v>0.8</v>
      </c>
      <c r="U178" s="13">
        <v>-243.16</v>
      </c>
    </row>
    <row r="179" spans="1:21" ht="15" customHeight="1" x14ac:dyDescent="0.3">
      <c r="A179">
        <v>178</v>
      </c>
      <c r="B179" t="s">
        <v>900</v>
      </c>
      <c r="C179" s="12">
        <v>42329</v>
      </c>
      <c r="D179" s="12">
        <v>42331</v>
      </c>
      <c r="E179" t="s">
        <v>206</v>
      </c>
      <c r="F179" t="s">
        <v>515</v>
      </c>
      <c r="G179" t="s">
        <v>516</v>
      </c>
      <c r="H179" t="s">
        <v>209</v>
      </c>
      <c r="I179" t="s">
        <v>210</v>
      </c>
      <c r="J179" t="s">
        <v>790</v>
      </c>
      <c r="K179" t="s">
        <v>681</v>
      </c>
      <c r="L179">
        <v>43055</v>
      </c>
      <c r="M179" t="s">
        <v>331</v>
      </c>
      <c r="N179" t="s">
        <v>901</v>
      </c>
      <c r="O179" t="s">
        <v>215</v>
      </c>
      <c r="P179" t="s">
        <v>219</v>
      </c>
      <c r="Q179" t="s">
        <v>902</v>
      </c>
      <c r="R179" s="13">
        <v>396.80200000000002</v>
      </c>
      <c r="S179">
        <v>7</v>
      </c>
      <c r="T179" s="14">
        <v>0.3</v>
      </c>
      <c r="U179" s="13">
        <v>-11.3371999999999</v>
      </c>
    </row>
    <row r="180" spans="1:21" ht="15" customHeight="1" x14ac:dyDescent="0.3">
      <c r="A180">
        <v>179</v>
      </c>
      <c r="B180" t="s">
        <v>900</v>
      </c>
      <c r="C180" s="12">
        <v>42329</v>
      </c>
      <c r="D180" s="12">
        <v>42331</v>
      </c>
      <c r="E180" t="s">
        <v>206</v>
      </c>
      <c r="F180" t="s">
        <v>515</v>
      </c>
      <c r="G180" t="s">
        <v>516</v>
      </c>
      <c r="H180" t="s">
        <v>209</v>
      </c>
      <c r="I180" t="s">
        <v>210</v>
      </c>
      <c r="J180" t="s">
        <v>790</v>
      </c>
      <c r="K180" t="s">
        <v>681</v>
      </c>
      <c r="L180">
        <v>43055</v>
      </c>
      <c r="M180" t="s">
        <v>331</v>
      </c>
      <c r="N180" t="s">
        <v>903</v>
      </c>
      <c r="O180" t="s">
        <v>229</v>
      </c>
      <c r="P180" t="s">
        <v>762</v>
      </c>
      <c r="Q180" t="s">
        <v>904</v>
      </c>
      <c r="R180" s="13">
        <v>15.88</v>
      </c>
      <c r="S180">
        <v>5</v>
      </c>
      <c r="T180" s="14">
        <v>0.2</v>
      </c>
      <c r="U180" s="13">
        <v>-3.7715000000000001</v>
      </c>
    </row>
    <row r="181" spans="1:21" ht="15" customHeight="1" x14ac:dyDescent="0.3">
      <c r="A181">
        <v>180</v>
      </c>
      <c r="B181" t="s">
        <v>905</v>
      </c>
      <c r="C181" s="12">
        <v>42353</v>
      </c>
      <c r="D181" s="12">
        <v>42357</v>
      </c>
      <c r="E181" t="s">
        <v>233</v>
      </c>
      <c r="F181" t="s">
        <v>906</v>
      </c>
      <c r="G181" t="s">
        <v>907</v>
      </c>
      <c r="H181" t="s">
        <v>285</v>
      </c>
      <c r="I181" t="s">
        <v>210</v>
      </c>
      <c r="J181" t="s">
        <v>449</v>
      </c>
      <c r="K181" t="s">
        <v>450</v>
      </c>
      <c r="L181">
        <v>10009</v>
      </c>
      <c r="M181" t="s">
        <v>331</v>
      </c>
      <c r="N181" t="s">
        <v>908</v>
      </c>
      <c r="O181" t="s">
        <v>229</v>
      </c>
      <c r="P181" t="s">
        <v>251</v>
      </c>
      <c r="Q181" t="s">
        <v>909</v>
      </c>
      <c r="R181" s="13">
        <v>3.28</v>
      </c>
      <c r="S181">
        <v>1</v>
      </c>
      <c r="T181" s="14">
        <v>0</v>
      </c>
      <c r="U181" s="13">
        <v>1.4104000000000001</v>
      </c>
    </row>
    <row r="182" spans="1:21" ht="15" customHeight="1" x14ac:dyDescent="0.3">
      <c r="A182">
        <v>181</v>
      </c>
      <c r="B182" t="s">
        <v>910</v>
      </c>
      <c r="C182" s="12">
        <v>41978</v>
      </c>
      <c r="D182" s="12">
        <v>41982</v>
      </c>
      <c r="E182" t="s">
        <v>206</v>
      </c>
      <c r="F182" t="s">
        <v>911</v>
      </c>
      <c r="G182" t="s">
        <v>912</v>
      </c>
      <c r="H182" t="s">
        <v>224</v>
      </c>
      <c r="I182" t="s">
        <v>210</v>
      </c>
      <c r="J182" t="s">
        <v>540</v>
      </c>
      <c r="K182" t="s">
        <v>394</v>
      </c>
      <c r="L182">
        <v>62521</v>
      </c>
      <c r="M182" t="s">
        <v>288</v>
      </c>
      <c r="N182" t="s">
        <v>913</v>
      </c>
      <c r="O182" t="s">
        <v>229</v>
      </c>
      <c r="P182" t="s">
        <v>242</v>
      </c>
      <c r="Q182" t="s">
        <v>914</v>
      </c>
      <c r="R182" s="13">
        <v>24.815999999999999</v>
      </c>
      <c r="S182">
        <v>2</v>
      </c>
      <c r="T182" s="14">
        <v>0.2</v>
      </c>
      <c r="U182" s="13">
        <v>1.8612</v>
      </c>
    </row>
    <row r="183" spans="1:21" ht="15" customHeight="1" x14ac:dyDescent="0.3">
      <c r="A183">
        <v>182</v>
      </c>
      <c r="B183" t="s">
        <v>910</v>
      </c>
      <c r="C183" s="12">
        <v>41978</v>
      </c>
      <c r="D183" s="12">
        <v>41982</v>
      </c>
      <c r="E183" t="s">
        <v>206</v>
      </c>
      <c r="F183" t="s">
        <v>911</v>
      </c>
      <c r="G183" t="s">
        <v>912</v>
      </c>
      <c r="H183" t="s">
        <v>224</v>
      </c>
      <c r="I183" t="s">
        <v>210</v>
      </c>
      <c r="J183" t="s">
        <v>540</v>
      </c>
      <c r="K183" t="s">
        <v>394</v>
      </c>
      <c r="L183">
        <v>62521</v>
      </c>
      <c r="M183" t="s">
        <v>288</v>
      </c>
      <c r="N183" t="s">
        <v>915</v>
      </c>
      <c r="O183" t="s">
        <v>254</v>
      </c>
      <c r="P183" t="s">
        <v>344</v>
      </c>
      <c r="Q183" t="s">
        <v>916</v>
      </c>
      <c r="R183" s="13">
        <v>408.74400000000003</v>
      </c>
      <c r="S183">
        <v>7</v>
      </c>
      <c r="T183" s="14">
        <v>0.2</v>
      </c>
      <c r="U183" s="13">
        <v>76.639499999999998</v>
      </c>
    </row>
    <row r="184" spans="1:21" ht="15" customHeight="1" x14ac:dyDescent="0.3">
      <c r="A184">
        <v>183</v>
      </c>
      <c r="B184" t="s">
        <v>917</v>
      </c>
      <c r="C184" s="12">
        <v>41962</v>
      </c>
      <c r="D184" s="12">
        <v>41967</v>
      </c>
      <c r="E184" t="s">
        <v>206</v>
      </c>
      <c r="F184" t="s">
        <v>918</v>
      </c>
      <c r="G184" t="s">
        <v>919</v>
      </c>
      <c r="H184" t="s">
        <v>285</v>
      </c>
      <c r="I184" t="s">
        <v>210</v>
      </c>
      <c r="J184" t="s">
        <v>920</v>
      </c>
      <c r="K184" t="s">
        <v>921</v>
      </c>
      <c r="L184">
        <v>71203</v>
      </c>
      <c r="M184" t="s">
        <v>213</v>
      </c>
      <c r="N184" t="s">
        <v>922</v>
      </c>
      <c r="O184" t="s">
        <v>254</v>
      </c>
      <c r="P184" t="s">
        <v>255</v>
      </c>
      <c r="Q184" t="s">
        <v>923</v>
      </c>
      <c r="R184" s="13">
        <v>503.96</v>
      </c>
      <c r="S184">
        <v>4</v>
      </c>
      <c r="T184" s="14">
        <v>0</v>
      </c>
      <c r="U184" s="13">
        <v>131.02959999999999</v>
      </c>
    </row>
    <row r="185" spans="1:21" ht="15" customHeight="1" x14ac:dyDescent="0.3">
      <c r="A185">
        <v>184</v>
      </c>
      <c r="B185" t="s">
        <v>917</v>
      </c>
      <c r="C185" s="12">
        <v>41962</v>
      </c>
      <c r="D185" s="12">
        <v>41967</v>
      </c>
      <c r="E185" t="s">
        <v>206</v>
      </c>
      <c r="F185" t="s">
        <v>918</v>
      </c>
      <c r="G185" t="s">
        <v>919</v>
      </c>
      <c r="H185" t="s">
        <v>285</v>
      </c>
      <c r="I185" t="s">
        <v>210</v>
      </c>
      <c r="J185" t="s">
        <v>920</v>
      </c>
      <c r="K185" t="s">
        <v>921</v>
      </c>
      <c r="L185">
        <v>71203</v>
      </c>
      <c r="M185" t="s">
        <v>213</v>
      </c>
      <c r="N185" t="s">
        <v>924</v>
      </c>
      <c r="O185" t="s">
        <v>254</v>
      </c>
      <c r="P185" t="s">
        <v>255</v>
      </c>
      <c r="Q185" t="s">
        <v>925</v>
      </c>
      <c r="R185" s="13">
        <v>149.94999999999999</v>
      </c>
      <c r="S185">
        <v>5</v>
      </c>
      <c r="T185" s="14">
        <v>0</v>
      </c>
      <c r="U185" s="13">
        <v>41.985999999999997</v>
      </c>
    </row>
    <row r="186" spans="1:21" ht="15" customHeight="1" x14ac:dyDescent="0.3">
      <c r="A186">
        <v>185</v>
      </c>
      <c r="B186" t="s">
        <v>917</v>
      </c>
      <c r="C186" s="12">
        <v>41962</v>
      </c>
      <c r="D186" s="12">
        <v>41967</v>
      </c>
      <c r="E186" t="s">
        <v>206</v>
      </c>
      <c r="F186" t="s">
        <v>918</v>
      </c>
      <c r="G186" t="s">
        <v>919</v>
      </c>
      <c r="H186" t="s">
        <v>285</v>
      </c>
      <c r="I186" t="s">
        <v>210</v>
      </c>
      <c r="J186" t="s">
        <v>920</v>
      </c>
      <c r="K186" t="s">
        <v>921</v>
      </c>
      <c r="L186">
        <v>71203</v>
      </c>
      <c r="M186" t="s">
        <v>213</v>
      </c>
      <c r="N186" t="s">
        <v>926</v>
      </c>
      <c r="O186" t="s">
        <v>254</v>
      </c>
      <c r="P186" t="s">
        <v>344</v>
      </c>
      <c r="Q186" t="s">
        <v>927</v>
      </c>
      <c r="R186" s="13">
        <v>29</v>
      </c>
      <c r="S186">
        <v>2</v>
      </c>
      <c r="T186" s="14">
        <v>0</v>
      </c>
      <c r="U186" s="13">
        <v>7.25</v>
      </c>
    </row>
    <row r="187" spans="1:21" ht="15" customHeight="1" x14ac:dyDescent="0.3">
      <c r="A187">
        <v>186</v>
      </c>
      <c r="B187" t="s">
        <v>928</v>
      </c>
      <c r="C187" s="12">
        <v>42702</v>
      </c>
      <c r="D187" s="12">
        <v>42706</v>
      </c>
      <c r="E187" t="s">
        <v>233</v>
      </c>
      <c r="F187" t="s">
        <v>929</v>
      </c>
      <c r="G187" t="s">
        <v>930</v>
      </c>
      <c r="H187" t="s">
        <v>209</v>
      </c>
      <c r="I187" t="s">
        <v>210</v>
      </c>
      <c r="J187" t="s">
        <v>931</v>
      </c>
      <c r="K187" t="s">
        <v>932</v>
      </c>
      <c r="L187">
        <v>6824</v>
      </c>
      <c r="M187" t="s">
        <v>331</v>
      </c>
      <c r="N187" t="s">
        <v>933</v>
      </c>
      <c r="O187" t="s">
        <v>229</v>
      </c>
      <c r="P187" t="s">
        <v>258</v>
      </c>
      <c r="Q187" t="s">
        <v>934</v>
      </c>
      <c r="R187" s="13">
        <v>7.16</v>
      </c>
      <c r="S187">
        <v>2</v>
      </c>
      <c r="T187" s="14">
        <v>0</v>
      </c>
      <c r="U187" s="13">
        <v>3.4367999999999999</v>
      </c>
    </row>
    <row r="188" spans="1:21" ht="15" customHeight="1" x14ac:dyDescent="0.3">
      <c r="A188">
        <v>187</v>
      </c>
      <c r="B188" t="s">
        <v>935</v>
      </c>
      <c r="C188" s="12">
        <v>41877</v>
      </c>
      <c r="D188" s="12">
        <v>41881</v>
      </c>
      <c r="E188" t="s">
        <v>233</v>
      </c>
      <c r="F188" t="s">
        <v>936</v>
      </c>
      <c r="G188" t="s">
        <v>937</v>
      </c>
      <c r="H188" t="s">
        <v>285</v>
      </c>
      <c r="I188" t="s">
        <v>210</v>
      </c>
      <c r="J188" t="s">
        <v>225</v>
      </c>
      <c r="K188" t="s">
        <v>226</v>
      </c>
      <c r="L188">
        <v>90032</v>
      </c>
      <c r="M188" t="s">
        <v>227</v>
      </c>
      <c r="N188" t="s">
        <v>938</v>
      </c>
      <c r="O188" t="s">
        <v>254</v>
      </c>
      <c r="P188" t="s">
        <v>344</v>
      </c>
      <c r="Q188" t="s">
        <v>939</v>
      </c>
      <c r="R188" s="13">
        <v>176.8</v>
      </c>
      <c r="S188">
        <v>8</v>
      </c>
      <c r="T188" s="14">
        <v>0</v>
      </c>
      <c r="U188" s="13">
        <v>22.984000000000002</v>
      </c>
    </row>
    <row r="189" spans="1:21" ht="15" customHeight="1" x14ac:dyDescent="0.3">
      <c r="A189">
        <v>188</v>
      </c>
      <c r="B189" t="s">
        <v>940</v>
      </c>
      <c r="C189" s="12">
        <v>42567</v>
      </c>
      <c r="D189" s="12">
        <v>42573</v>
      </c>
      <c r="E189" t="s">
        <v>233</v>
      </c>
      <c r="F189" t="s">
        <v>941</v>
      </c>
      <c r="G189" t="s">
        <v>942</v>
      </c>
      <c r="H189" t="s">
        <v>224</v>
      </c>
      <c r="I189" t="s">
        <v>210</v>
      </c>
      <c r="J189" t="s">
        <v>943</v>
      </c>
      <c r="K189" t="s">
        <v>287</v>
      </c>
      <c r="L189">
        <v>75051</v>
      </c>
      <c r="M189" t="s">
        <v>288</v>
      </c>
      <c r="N189" t="s">
        <v>944</v>
      </c>
      <c r="O189" t="s">
        <v>229</v>
      </c>
      <c r="P189" t="s">
        <v>242</v>
      </c>
      <c r="Q189" t="s">
        <v>945</v>
      </c>
      <c r="R189" s="13">
        <v>37.223999999999997</v>
      </c>
      <c r="S189">
        <v>3</v>
      </c>
      <c r="T189" s="14">
        <v>0.2</v>
      </c>
      <c r="U189" s="13">
        <v>3.7223999999999999</v>
      </c>
    </row>
    <row r="190" spans="1:21" ht="15" customHeight="1" x14ac:dyDescent="0.3">
      <c r="A190">
        <v>189</v>
      </c>
      <c r="B190" t="s">
        <v>940</v>
      </c>
      <c r="C190" s="12">
        <v>42567</v>
      </c>
      <c r="D190" s="12">
        <v>42573</v>
      </c>
      <c r="E190" t="s">
        <v>233</v>
      </c>
      <c r="F190" t="s">
        <v>941</v>
      </c>
      <c r="G190" t="s">
        <v>942</v>
      </c>
      <c r="H190" t="s">
        <v>224</v>
      </c>
      <c r="I190" t="s">
        <v>210</v>
      </c>
      <c r="J190" t="s">
        <v>943</v>
      </c>
      <c r="K190" t="s">
        <v>287</v>
      </c>
      <c r="L190">
        <v>75051</v>
      </c>
      <c r="M190" t="s">
        <v>288</v>
      </c>
      <c r="N190" t="s">
        <v>815</v>
      </c>
      <c r="O190" t="s">
        <v>229</v>
      </c>
      <c r="P190" t="s">
        <v>273</v>
      </c>
      <c r="Q190" t="s">
        <v>816</v>
      </c>
      <c r="R190" s="13">
        <v>20.015999999999998</v>
      </c>
      <c r="S190">
        <v>3</v>
      </c>
      <c r="T190" s="14">
        <v>0.2</v>
      </c>
      <c r="U190" s="13">
        <v>6.2549999999999999</v>
      </c>
    </row>
    <row r="191" spans="1:21" ht="15" customHeight="1" x14ac:dyDescent="0.3">
      <c r="A191">
        <v>190</v>
      </c>
      <c r="B191" t="s">
        <v>946</v>
      </c>
      <c r="C191" s="12">
        <v>42289</v>
      </c>
      <c r="D191" s="12">
        <v>42291</v>
      </c>
      <c r="E191" t="s">
        <v>371</v>
      </c>
      <c r="F191" t="s">
        <v>947</v>
      </c>
      <c r="G191" t="s">
        <v>948</v>
      </c>
      <c r="H191" t="s">
        <v>285</v>
      </c>
      <c r="I191" t="s">
        <v>210</v>
      </c>
      <c r="J191" t="s">
        <v>449</v>
      </c>
      <c r="K191" t="s">
        <v>450</v>
      </c>
      <c r="L191">
        <v>10035</v>
      </c>
      <c r="M191" t="s">
        <v>331</v>
      </c>
      <c r="N191" t="s">
        <v>949</v>
      </c>
      <c r="O191" t="s">
        <v>215</v>
      </c>
      <c r="P191" t="s">
        <v>216</v>
      </c>
      <c r="Q191" t="s">
        <v>950</v>
      </c>
      <c r="R191" s="13">
        <v>899.13599999999997</v>
      </c>
      <c r="S191">
        <v>4</v>
      </c>
      <c r="T191" s="14">
        <v>0.2</v>
      </c>
      <c r="U191" s="13">
        <v>112.392</v>
      </c>
    </row>
    <row r="192" spans="1:21" ht="15" customHeight="1" x14ac:dyDescent="0.3">
      <c r="A192">
        <v>191</v>
      </c>
      <c r="B192" t="s">
        <v>946</v>
      </c>
      <c r="C192" s="12">
        <v>42289</v>
      </c>
      <c r="D192" s="12">
        <v>42291</v>
      </c>
      <c r="E192" t="s">
        <v>371</v>
      </c>
      <c r="F192" t="s">
        <v>947</v>
      </c>
      <c r="G192" t="s">
        <v>948</v>
      </c>
      <c r="H192" t="s">
        <v>285</v>
      </c>
      <c r="I192" t="s">
        <v>210</v>
      </c>
      <c r="J192" t="s">
        <v>449</v>
      </c>
      <c r="K192" t="s">
        <v>450</v>
      </c>
      <c r="L192">
        <v>10035</v>
      </c>
      <c r="M192" t="s">
        <v>331</v>
      </c>
      <c r="N192" t="s">
        <v>951</v>
      </c>
      <c r="O192" t="s">
        <v>254</v>
      </c>
      <c r="P192" t="s">
        <v>255</v>
      </c>
      <c r="Q192" t="s">
        <v>952</v>
      </c>
      <c r="R192" s="13">
        <v>71.760000000000005</v>
      </c>
      <c r="S192">
        <v>6</v>
      </c>
      <c r="T192" s="14">
        <v>0</v>
      </c>
      <c r="U192" s="13">
        <v>20.0928</v>
      </c>
    </row>
    <row r="193" spans="1:21" ht="15" customHeight="1" x14ac:dyDescent="0.3">
      <c r="A193">
        <v>192</v>
      </c>
      <c r="B193" t="s">
        <v>946</v>
      </c>
      <c r="C193" s="12">
        <v>42289</v>
      </c>
      <c r="D193" s="12">
        <v>42291</v>
      </c>
      <c r="E193" t="s">
        <v>371</v>
      </c>
      <c r="F193" t="s">
        <v>947</v>
      </c>
      <c r="G193" t="s">
        <v>948</v>
      </c>
      <c r="H193" t="s">
        <v>285</v>
      </c>
      <c r="I193" t="s">
        <v>210</v>
      </c>
      <c r="J193" t="s">
        <v>449</v>
      </c>
      <c r="K193" t="s">
        <v>450</v>
      </c>
      <c r="L193">
        <v>10035</v>
      </c>
      <c r="M193" t="s">
        <v>331</v>
      </c>
      <c r="N193" t="s">
        <v>953</v>
      </c>
      <c r="O193" t="s">
        <v>229</v>
      </c>
      <c r="P193" t="s">
        <v>273</v>
      </c>
      <c r="Q193" t="s">
        <v>954</v>
      </c>
      <c r="R193" s="13">
        <v>51.84</v>
      </c>
      <c r="S193">
        <v>8</v>
      </c>
      <c r="T193" s="14">
        <v>0</v>
      </c>
      <c r="U193" s="13">
        <v>24.883199999999999</v>
      </c>
    </row>
    <row r="194" spans="1:21" ht="15" customHeight="1" x14ac:dyDescent="0.3">
      <c r="A194">
        <v>193</v>
      </c>
      <c r="B194" t="s">
        <v>946</v>
      </c>
      <c r="C194" s="12">
        <v>42289</v>
      </c>
      <c r="D194" s="12">
        <v>42291</v>
      </c>
      <c r="E194" t="s">
        <v>371</v>
      </c>
      <c r="F194" t="s">
        <v>947</v>
      </c>
      <c r="G194" t="s">
        <v>948</v>
      </c>
      <c r="H194" t="s">
        <v>285</v>
      </c>
      <c r="I194" t="s">
        <v>210</v>
      </c>
      <c r="J194" t="s">
        <v>449</v>
      </c>
      <c r="K194" t="s">
        <v>450</v>
      </c>
      <c r="L194">
        <v>10035</v>
      </c>
      <c r="M194" t="s">
        <v>331</v>
      </c>
      <c r="N194" t="s">
        <v>384</v>
      </c>
      <c r="O194" t="s">
        <v>215</v>
      </c>
      <c r="P194" t="s">
        <v>216</v>
      </c>
      <c r="Q194" t="s">
        <v>385</v>
      </c>
      <c r="R194" s="13">
        <v>626.35199999999998</v>
      </c>
      <c r="S194">
        <v>3</v>
      </c>
      <c r="T194" s="14">
        <v>0.2</v>
      </c>
      <c r="U194" s="13">
        <v>46.976399999999998</v>
      </c>
    </row>
    <row r="195" spans="1:21" ht="15" customHeight="1" x14ac:dyDescent="0.3">
      <c r="A195">
        <v>194</v>
      </c>
      <c r="B195" t="s">
        <v>946</v>
      </c>
      <c r="C195" s="12">
        <v>42289</v>
      </c>
      <c r="D195" s="12">
        <v>42291</v>
      </c>
      <c r="E195" t="s">
        <v>371</v>
      </c>
      <c r="F195" t="s">
        <v>947</v>
      </c>
      <c r="G195" t="s">
        <v>948</v>
      </c>
      <c r="H195" t="s">
        <v>285</v>
      </c>
      <c r="I195" t="s">
        <v>210</v>
      </c>
      <c r="J195" t="s">
        <v>449</v>
      </c>
      <c r="K195" t="s">
        <v>450</v>
      </c>
      <c r="L195">
        <v>10035</v>
      </c>
      <c r="M195" t="s">
        <v>331</v>
      </c>
      <c r="N195" t="s">
        <v>955</v>
      </c>
      <c r="O195" t="s">
        <v>229</v>
      </c>
      <c r="P195" t="s">
        <v>251</v>
      </c>
      <c r="Q195" t="s">
        <v>956</v>
      </c>
      <c r="R195" s="13">
        <v>19.899999999999999</v>
      </c>
      <c r="S195">
        <v>5</v>
      </c>
      <c r="T195" s="14">
        <v>0</v>
      </c>
      <c r="U195" s="13">
        <v>6.5670000000000002</v>
      </c>
    </row>
    <row r="196" spans="1:21" ht="15" customHeight="1" x14ac:dyDescent="0.3">
      <c r="A196">
        <v>195</v>
      </c>
      <c r="B196" t="s">
        <v>957</v>
      </c>
      <c r="C196" s="12">
        <v>42308</v>
      </c>
      <c r="D196" s="12">
        <v>42314</v>
      </c>
      <c r="E196" t="s">
        <v>233</v>
      </c>
      <c r="F196" t="s">
        <v>958</v>
      </c>
      <c r="G196" t="s">
        <v>959</v>
      </c>
      <c r="H196" t="s">
        <v>224</v>
      </c>
      <c r="I196" t="s">
        <v>210</v>
      </c>
      <c r="J196" t="s">
        <v>960</v>
      </c>
      <c r="K196" t="s">
        <v>226</v>
      </c>
      <c r="L196">
        <v>92374</v>
      </c>
      <c r="M196" t="s">
        <v>227</v>
      </c>
      <c r="N196" t="s">
        <v>355</v>
      </c>
      <c r="O196" t="s">
        <v>229</v>
      </c>
      <c r="P196" t="s">
        <v>356</v>
      </c>
      <c r="Q196" t="s">
        <v>357</v>
      </c>
      <c r="R196" s="13">
        <v>14.28</v>
      </c>
      <c r="S196">
        <v>7</v>
      </c>
      <c r="T196" s="14">
        <v>0</v>
      </c>
      <c r="U196" s="13">
        <v>6.7115999999999998</v>
      </c>
    </row>
    <row r="197" spans="1:21" ht="15" customHeight="1" x14ac:dyDescent="0.3">
      <c r="A197">
        <v>196</v>
      </c>
      <c r="B197" t="s">
        <v>961</v>
      </c>
      <c r="C197" s="12">
        <v>41719</v>
      </c>
      <c r="D197" s="12">
        <v>41723</v>
      </c>
      <c r="E197" t="s">
        <v>233</v>
      </c>
      <c r="F197" t="s">
        <v>962</v>
      </c>
      <c r="G197" t="s">
        <v>963</v>
      </c>
      <c r="H197" t="s">
        <v>209</v>
      </c>
      <c r="I197" t="s">
        <v>210</v>
      </c>
      <c r="J197" t="s">
        <v>964</v>
      </c>
      <c r="K197" t="s">
        <v>681</v>
      </c>
      <c r="L197">
        <v>45011</v>
      </c>
      <c r="M197" t="s">
        <v>331</v>
      </c>
      <c r="N197" t="s">
        <v>965</v>
      </c>
      <c r="O197" t="s">
        <v>229</v>
      </c>
      <c r="P197" t="s">
        <v>251</v>
      </c>
      <c r="Q197" t="s">
        <v>966</v>
      </c>
      <c r="R197" s="13">
        <v>7.4080000000000004</v>
      </c>
      <c r="S197">
        <v>2</v>
      </c>
      <c r="T197" s="14">
        <v>0.2</v>
      </c>
      <c r="U197" s="13">
        <v>1.2038</v>
      </c>
    </row>
    <row r="198" spans="1:21" ht="15" customHeight="1" x14ac:dyDescent="0.3">
      <c r="A198">
        <v>197</v>
      </c>
      <c r="B198" t="s">
        <v>961</v>
      </c>
      <c r="C198" s="12">
        <v>41719</v>
      </c>
      <c r="D198" s="12">
        <v>41723</v>
      </c>
      <c r="E198" t="s">
        <v>233</v>
      </c>
      <c r="F198" t="s">
        <v>962</v>
      </c>
      <c r="G198" t="s">
        <v>963</v>
      </c>
      <c r="H198" t="s">
        <v>209</v>
      </c>
      <c r="I198" t="s">
        <v>210</v>
      </c>
      <c r="J198" t="s">
        <v>964</v>
      </c>
      <c r="K198" t="s">
        <v>681</v>
      </c>
      <c r="L198">
        <v>45011</v>
      </c>
      <c r="M198" t="s">
        <v>331</v>
      </c>
      <c r="N198" t="s">
        <v>967</v>
      </c>
      <c r="O198" t="s">
        <v>229</v>
      </c>
      <c r="P198" t="s">
        <v>251</v>
      </c>
      <c r="Q198" t="s">
        <v>968</v>
      </c>
      <c r="R198" s="13">
        <v>6.048</v>
      </c>
      <c r="S198">
        <v>3</v>
      </c>
      <c r="T198" s="14">
        <v>0.2</v>
      </c>
      <c r="U198" s="13">
        <v>1.5875999999999999</v>
      </c>
    </row>
    <row r="199" spans="1:21" ht="15" customHeight="1" x14ac:dyDescent="0.3">
      <c r="A199">
        <v>198</v>
      </c>
      <c r="B199" t="s">
        <v>969</v>
      </c>
      <c r="C199" s="12">
        <v>43045</v>
      </c>
      <c r="D199" s="12">
        <v>43052</v>
      </c>
      <c r="E199" t="s">
        <v>233</v>
      </c>
      <c r="F199" t="s">
        <v>970</v>
      </c>
      <c r="G199" t="s">
        <v>971</v>
      </c>
      <c r="H199" t="s">
        <v>285</v>
      </c>
      <c r="I199" t="s">
        <v>210</v>
      </c>
      <c r="J199" t="s">
        <v>972</v>
      </c>
      <c r="K199" t="s">
        <v>973</v>
      </c>
      <c r="L199">
        <v>7090</v>
      </c>
      <c r="M199" t="s">
        <v>331</v>
      </c>
      <c r="N199" t="s">
        <v>974</v>
      </c>
      <c r="O199" t="s">
        <v>229</v>
      </c>
      <c r="P199" t="s">
        <v>242</v>
      </c>
      <c r="Q199" t="s">
        <v>975</v>
      </c>
      <c r="R199" s="13">
        <v>46.26</v>
      </c>
      <c r="S199">
        <v>3</v>
      </c>
      <c r="T199" s="14">
        <v>0</v>
      </c>
      <c r="U199" s="13">
        <v>12.0276</v>
      </c>
    </row>
    <row r="200" spans="1:21" ht="15" customHeight="1" x14ac:dyDescent="0.3">
      <c r="A200">
        <v>199</v>
      </c>
      <c r="B200" t="s">
        <v>976</v>
      </c>
      <c r="C200" s="12">
        <v>42922</v>
      </c>
      <c r="D200" s="12">
        <v>42929</v>
      </c>
      <c r="E200" t="s">
        <v>233</v>
      </c>
      <c r="F200" t="s">
        <v>977</v>
      </c>
      <c r="G200" t="s">
        <v>978</v>
      </c>
      <c r="H200" t="s">
        <v>224</v>
      </c>
      <c r="I200" t="s">
        <v>210</v>
      </c>
      <c r="J200" t="s">
        <v>329</v>
      </c>
      <c r="K200" t="s">
        <v>330</v>
      </c>
      <c r="L200">
        <v>19120</v>
      </c>
      <c r="M200" t="s">
        <v>331</v>
      </c>
      <c r="N200" t="s">
        <v>979</v>
      </c>
      <c r="O200" t="s">
        <v>229</v>
      </c>
      <c r="P200" t="s">
        <v>258</v>
      </c>
      <c r="Q200" t="s">
        <v>980</v>
      </c>
      <c r="R200" s="13">
        <v>2.9460000000000002</v>
      </c>
      <c r="S200">
        <v>2</v>
      </c>
      <c r="T200" s="14">
        <v>0.7</v>
      </c>
      <c r="U200" s="13">
        <v>-2.2585999999999999</v>
      </c>
    </row>
    <row r="201" spans="1:21" ht="15" customHeight="1" x14ac:dyDescent="0.3">
      <c r="A201">
        <v>200</v>
      </c>
      <c r="B201" t="s">
        <v>976</v>
      </c>
      <c r="C201" s="12">
        <v>42922</v>
      </c>
      <c r="D201" s="12">
        <v>42929</v>
      </c>
      <c r="E201" t="s">
        <v>233</v>
      </c>
      <c r="F201" t="s">
        <v>977</v>
      </c>
      <c r="G201" t="s">
        <v>978</v>
      </c>
      <c r="H201" t="s">
        <v>224</v>
      </c>
      <c r="I201" t="s">
        <v>210</v>
      </c>
      <c r="J201" t="s">
        <v>329</v>
      </c>
      <c r="K201" t="s">
        <v>330</v>
      </c>
      <c r="L201">
        <v>19120</v>
      </c>
      <c r="M201" t="s">
        <v>331</v>
      </c>
      <c r="N201" t="s">
        <v>981</v>
      </c>
      <c r="O201" t="s">
        <v>229</v>
      </c>
      <c r="P201" t="s">
        <v>273</v>
      </c>
      <c r="Q201" t="s">
        <v>982</v>
      </c>
      <c r="R201" s="13">
        <v>16.056000000000001</v>
      </c>
      <c r="S201">
        <v>3</v>
      </c>
      <c r="T201" s="14">
        <v>0.2</v>
      </c>
      <c r="U201" s="13">
        <v>5.8202999999999996</v>
      </c>
    </row>
    <row r="202" spans="1:21" ht="15" customHeight="1" x14ac:dyDescent="0.3">
      <c r="A202">
        <v>201</v>
      </c>
      <c r="B202" t="s">
        <v>983</v>
      </c>
      <c r="C202" s="12">
        <v>42910</v>
      </c>
      <c r="D202" s="12">
        <v>42915</v>
      </c>
      <c r="E202" t="s">
        <v>233</v>
      </c>
      <c r="F202" t="s">
        <v>984</v>
      </c>
      <c r="G202" t="s">
        <v>985</v>
      </c>
      <c r="H202" t="s">
        <v>209</v>
      </c>
      <c r="I202" t="s">
        <v>210</v>
      </c>
      <c r="J202" t="s">
        <v>986</v>
      </c>
      <c r="K202" t="s">
        <v>681</v>
      </c>
      <c r="L202">
        <v>44312</v>
      </c>
      <c r="M202" t="s">
        <v>331</v>
      </c>
      <c r="N202" t="s">
        <v>987</v>
      </c>
      <c r="O202" t="s">
        <v>229</v>
      </c>
      <c r="P202" t="s">
        <v>273</v>
      </c>
      <c r="Q202" t="s">
        <v>988</v>
      </c>
      <c r="R202" s="13">
        <v>21.744</v>
      </c>
      <c r="S202">
        <v>3</v>
      </c>
      <c r="T202" s="14">
        <v>0.2</v>
      </c>
      <c r="U202" s="13">
        <v>6.7949999999999999</v>
      </c>
    </row>
    <row r="203" spans="1:21" ht="15" customHeight="1" x14ac:dyDescent="0.3">
      <c r="A203">
        <v>202</v>
      </c>
      <c r="B203" t="s">
        <v>989</v>
      </c>
      <c r="C203" s="12">
        <v>41854</v>
      </c>
      <c r="D203" s="12">
        <v>41856</v>
      </c>
      <c r="E203" t="s">
        <v>371</v>
      </c>
      <c r="F203" t="s">
        <v>990</v>
      </c>
      <c r="G203" t="s">
        <v>991</v>
      </c>
      <c r="H203" t="s">
        <v>209</v>
      </c>
      <c r="I203" t="s">
        <v>210</v>
      </c>
      <c r="J203" t="s">
        <v>992</v>
      </c>
      <c r="K203" t="s">
        <v>640</v>
      </c>
      <c r="L203">
        <v>80219</v>
      </c>
      <c r="M203" t="s">
        <v>227</v>
      </c>
      <c r="N203" t="s">
        <v>993</v>
      </c>
      <c r="O203" t="s">
        <v>215</v>
      </c>
      <c r="P203" t="s">
        <v>239</v>
      </c>
      <c r="Q203" t="s">
        <v>994</v>
      </c>
      <c r="R203" s="13">
        <v>218.75</v>
      </c>
      <c r="S203">
        <v>2</v>
      </c>
      <c r="T203" s="14">
        <v>0.5</v>
      </c>
      <c r="U203" s="13">
        <v>-161.875</v>
      </c>
    </row>
    <row r="204" spans="1:21" ht="15" customHeight="1" x14ac:dyDescent="0.3">
      <c r="A204">
        <v>203</v>
      </c>
      <c r="B204" t="s">
        <v>989</v>
      </c>
      <c r="C204" s="12">
        <v>41854</v>
      </c>
      <c r="D204" s="12">
        <v>41856</v>
      </c>
      <c r="E204" t="s">
        <v>371</v>
      </c>
      <c r="F204" t="s">
        <v>990</v>
      </c>
      <c r="G204" t="s">
        <v>991</v>
      </c>
      <c r="H204" t="s">
        <v>209</v>
      </c>
      <c r="I204" t="s">
        <v>210</v>
      </c>
      <c r="J204" t="s">
        <v>992</v>
      </c>
      <c r="K204" t="s">
        <v>640</v>
      </c>
      <c r="L204">
        <v>80219</v>
      </c>
      <c r="M204" t="s">
        <v>227</v>
      </c>
      <c r="N204" t="s">
        <v>995</v>
      </c>
      <c r="O204" t="s">
        <v>229</v>
      </c>
      <c r="P204" t="s">
        <v>261</v>
      </c>
      <c r="Q204" t="s">
        <v>996</v>
      </c>
      <c r="R204" s="13">
        <v>2.6</v>
      </c>
      <c r="S204">
        <v>1</v>
      </c>
      <c r="T204" s="14">
        <v>0.2</v>
      </c>
      <c r="U204" s="13">
        <v>0.29249999999999998</v>
      </c>
    </row>
    <row r="205" spans="1:21" ht="15" customHeight="1" x14ac:dyDescent="0.3">
      <c r="A205">
        <v>204</v>
      </c>
      <c r="B205" t="s">
        <v>997</v>
      </c>
      <c r="C205" s="12">
        <v>43086</v>
      </c>
      <c r="D205" s="12">
        <v>43090</v>
      </c>
      <c r="E205" t="s">
        <v>206</v>
      </c>
      <c r="F205" t="s">
        <v>998</v>
      </c>
      <c r="G205" t="s">
        <v>999</v>
      </c>
      <c r="H205" t="s">
        <v>209</v>
      </c>
      <c r="I205" t="s">
        <v>210</v>
      </c>
      <c r="J205" t="s">
        <v>1000</v>
      </c>
      <c r="K205" t="s">
        <v>287</v>
      </c>
      <c r="L205">
        <v>75220</v>
      </c>
      <c r="M205" t="s">
        <v>288</v>
      </c>
      <c r="N205" t="s">
        <v>1001</v>
      </c>
      <c r="O205" t="s">
        <v>229</v>
      </c>
      <c r="P205" t="s">
        <v>261</v>
      </c>
      <c r="Q205" t="s">
        <v>1002</v>
      </c>
      <c r="R205" s="13">
        <v>66.284000000000006</v>
      </c>
      <c r="S205">
        <v>2</v>
      </c>
      <c r="T205" s="14">
        <v>0.8</v>
      </c>
      <c r="U205" s="13">
        <v>-178.96680000000001</v>
      </c>
    </row>
    <row r="206" spans="1:21" ht="15" customHeight="1" x14ac:dyDescent="0.3">
      <c r="A206">
        <v>205</v>
      </c>
      <c r="B206" t="s">
        <v>1003</v>
      </c>
      <c r="C206" s="12">
        <v>42889</v>
      </c>
      <c r="D206" s="12">
        <v>42893</v>
      </c>
      <c r="E206" t="s">
        <v>233</v>
      </c>
      <c r="F206" t="s">
        <v>1004</v>
      </c>
      <c r="G206" t="s">
        <v>1005</v>
      </c>
      <c r="H206" t="s">
        <v>224</v>
      </c>
      <c r="I206" t="s">
        <v>210</v>
      </c>
      <c r="J206" t="s">
        <v>796</v>
      </c>
      <c r="K206" t="s">
        <v>518</v>
      </c>
      <c r="L206">
        <v>37064</v>
      </c>
      <c r="M206" t="s">
        <v>213</v>
      </c>
      <c r="N206" t="s">
        <v>1006</v>
      </c>
      <c r="O206" t="s">
        <v>215</v>
      </c>
      <c r="P206" t="s">
        <v>248</v>
      </c>
      <c r="Q206" t="s">
        <v>1007</v>
      </c>
      <c r="R206" s="13">
        <v>35.167999999999999</v>
      </c>
      <c r="S206">
        <v>7</v>
      </c>
      <c r="T206" s="14">
        <v>0.2</v>
      </c>
      <c r="U206" s="13">
        <v>9.6712000000000007</v>
      </c>
    </row>
    <row r="207" spans="1:21" ht="15" customHeight="1" x14ac:dyDescent="0.3">
      <c r="A207">
        <v>206</v>
      </c>
      <c r="B207" t="s">
        <v>1008</v>
      </c>
      <c r="C207" s="12">
        <v>43078</v>
      </c>
      <c r="D207" s="12">
        <v>43083</v>
      </c>
      <c r="E207" t="s">
        <v>233</v>
      </c>
      <c r="F207" t="s">
        <v>1009</v>
      </c>
      <c r="G207" t="s">
        <v>1010</v>
      </c>
      <c r="H207" t="s">
        <v>209</v>
      </c>
      <c r="I207" t="s">
        <v>210</v>
      </c>
      <c r="J207" t="s">
        <v>1011</v>
      </c>
      <c r="K207" t="s">
        <v>226</v>
      </c>
      <c r="L207">
        <v>90604</v>
      </c>
      <c r="M207" t="s">
        <v>227</v>
      </c>
      <c r="N207" t="s">
        <v>1012</v>
      </c>
      <c r="O207" t="s">
        <v>254</v>
      </c>
      <c r="P207" t="s">
        <v>255</v>
      </c>
      <c r="Q207" t="s">
        <v>1013</v>
      </c>
      <c r="R207" s="13">
        <v>444.76799999999997</v>
      </c>
      <c r="S207">
        <v>4</v>
      </c>
      <c r="T207" s="14">
        <v>0.2</v>
      </c>
      <c r="U207" s="13">
        <v>44.476799999999997</v>
      </c>
    </row>
    <row r="208" spans="1:21" ht="15" customHeight="1" x14ac:dyDescent="0.3">
      <c r="A208">
        <v>207</v>
      </c>
      <c r="B208" t="s">
        <v>1014</v>
      </c>
      <c r="C208" s="12">
        <v>43070</v>
      </c>
      <c r="D208" s="12">
        <v>43076</v>
      </c>
      <c r="E208" t="s">
        <v>233</v>
      </c>
      <c r="F208" t="s">
        <v>1015</v>
      </c>
      <c r="G208" t="s">
        <v>1016</v>
      </c>
      <c r="H208" t="s">
        <v>209</v>
      </c>
      <c r="I208" t="s">
        <v>210</v>
      </c>
      <c r="J208" t="s">
        <v>1017</v>
      </c>
      <c r="K208" t="s">
        <v>421</v>
      </c>
      <c r="L208">
        <v>48601</v>
      </c>
      <c r="M208" t="s">
        <v>288</v>
      </c>
      <c r="N208" t="s">
        <v>1018</v>
      </c>
      <c r="O208" t="s">
        <v>229</v>
      </c>
      <c r="P208" t="s">
        <v>242</v>
      </c>
      <c r="Q208" t="s">
        <v>1019</v>
      </c>
      <c r="R208" s="13">
        <v>83.92</v>
      </c>
      <c r="S208">
        <v>4</v>
      </c>
      <c r="T208" s="14">
        <v>0</v>
      </c>
      <c r="U208" s="13">
        <v>5.8743999999999899</v>
      </c>
    </row>
    <row r="209" spans="1:21" ht="15" customHeight="1" x14ac:dyDescent="0.3">
      <c r="A209">
        <v>208</v>
      </c>
      <c r="B209" t="s">
        <v>1014</v>
      </c>
      <c r="C209" s="12">
        <v>43070</v>
      </c>
      <c r="D209" s="12">
        <v>43076</v>
      </c>
      <c r="E209" t="s">
        <v>233</v>
      </c>
      <c r="F209" t="s">
        <v>1015</v>
      </c>
      <c r="G209" t="s">
        <v>1016</v>
      </c>
      <c r="H209" t="s">
        <v>209</v>
      </c>
      <c r="I209" t="s">
        <v>210</v>
      </c>
      <c r="J209" t="s">
        <v>1017</v>
      </c>
      <c r="K209" t="s">
        <v>421</v>
      </c>
      <c r="L209">
        <v>48601</v>
      </c>
      <c r="M209" t="s">
        <v>288</v>
      </c>
      <c r="N209" t="s">
        <v>1020</v>
      </c>
      <c r="O209" t="s">
        <v>254</v>
      </c>
      <c r="P209" t="s">
        <v>255</v>
      </c>
      <c r="Q209" t="s">
        <v>1021</v>
      </c>
      <c r="R209" s="13">
        <v>131.97999999999999</v>
      </c>
      <c r="S209">
        <v>2</v>
      </c>
      <c r="T209" s="14">
        <v>0</v>
      </c>
      <c r="U209" s="13">
        <v>35.634599999999999</v>
      </c>
    </row>
    <row r="210" spans="1:21" ht="15" customHeight="1" x14ac:dyDescent="0.3">
      <c r="A210">
        <v>209</v>
      </c>
      <c r="B210" t="s">
        <v>1014</v>
      </c>
      <c r="C210" s="12">
        <v>43070</v>
      </c>
      <c r="D210" s="12">
        <v>43076</v>
      </c>
      <c r="E210" t="s">
        <v>233</v>
      </c>
      <c r="F210" t="s">
        <v>1015</v>
      </c>
      <c r="G210" t="s">
        <v>1016</v>
      </c>
      <c r="H210" t="s">
        <v>209</v>
      </c>
      <c r="I210" t="s">
        <v>210</v>
      </c>
      <c r="J210" t="s">
        <v>1017</v>
      </c>
      <c r="K210" t="s">
        <v>421</v>
      </c>
      <c r="L210">
        <v>48601</v>
      </c>
      <c r="M210" t="s">
        <v>288</v>
      </c>
      <c r="N210" t="s">
        <v>728</v>
      </c>
      <c r="O210" t="s">
        <v>229</v>
      </c>
      <c r="P210" t="s">
        <v>258</v>
      </c>
      <c r="Q210" t="s">
        <v>729</v>
      </c>
      <c r="R210" s="13">
        <v>15.92</v>
      </c>
      <c r="S210">
        <v>4</v>
      </c>
      <c r="T210" s="14">
        <v>0</v>
      </c>
      <c r="U210" s="13">
        <v>7.4824000000000002</v>
      </c>
    </row>
    <row r="211" spans="1:21" ht="15" customHeight="1" x14ac:dyDescent="0.3">
      <c r="A211">
        <v>210</v>
      </c>
      <c r="B211" t="s">
        <v>1014</v>
      </c>
      <c r="C211" s="12">
        <v>43070</v>
      </c>
      <c r="D211" s="12">
        <v>43076</v>
      </c>
      <c r="E211" t="s">
        <v>233</v>
      </c>
      <c r="F211" t="s">
        <v>1015</v>
      </c>
      <c r="G211" t="s">
        <v>1016</v>
      </c>
      <c r="H211" t="s">
        <v>209</v>
      </c>
      <c r="I211" t="s">
        <v>210</v>
      </c>
      <c r="J211" t="s">
        <v>1017</v>
      </c>
      <c r="K211" t="s">
        <v>421</v>
      </c>
      <c r="L211">
        <v>48601</v>
      </c>
      <c r="M211" t="s">
        <v>288</v>
      </c>
      <c r="N211" t="s">
        <v>1022</v>
      </c>
      <c r="O211" t="s">
        <v>229</v>
      </c>
      <c r="P211" t="s">
        <v>452</v>
      </c>
      <c r="Q211" t="s">
        <v>1023</v>
      </c>
      <c r="R211" s="13">
        <v>52.29</v>
      </c>
      <c r="S211">
        <v>9</v>
      </c>
      <c r="T211" s="14">
        <v>0</v>
      </c>
      <c r="U211" s="13">
        <v>16.209900000000001</v>
      </c>
    </row>
    <row r="212" spans="1:21" ht="15" customHeight="1" x14ac:dyDescent="0.3">
      <c r="A212">
        <v>211</v>
      </c>
      <c r="B212" t="s">
        <v>1014</v>
      </c>
      <c r="C212" s="12">
        <v>43070</v>
      </c>
      <c r="D212" s="12">
        <v>43076</v>
      </c>
      <c r="E212" t="s">
        <v>233</v>
      </c>
      <c r="F212" t="s">
        <v>1015</v>
      </c>
      <c r="G212" t="s">
        <v>1016</v>
      </c>
      <c r="H212" t="s">
        <v>209</v>
      </c>
      <c r="I212" t="s">
        <v>210</v>
      </c>
      <c r="J212" t="s">
        <v>1017</v>
      </c>
      <c r="K212" t="s">
        <v>421</v>
      </c>
      <c r="L212">
        <v>48601</v>
      </c>
      <c r="M212" t="s">
        <v>288</v>
      </c>
      <c r="N212" t="s">
        <v>1024</v>
      </c>
      <c r="O212" t="s">
        <v>229</v>
      </c>
      <c r="P212" t="s">
        <v>242</v>
      </c>
      <c r="Q212" t="s">
        <v>1025</v>
      </c>
      <c r="R212" s="13">
        <v>91.99</v>
      </c>
      <c r="S212">
        <v>1</v>
      </c>
      <c r="T212" s="14">
        <v>0</v>
      </c>
      <c r="U212" s="13">
        <v>3.67959999999999</v>
      </c>
    </row>
    <row r="213" spans="1:21" ht="15" customHeight="1" x14ac:dyDescent="0.3">
      <c r="A213">
        <v>212</v>
      </c>
      <c r="B213" t="s">
        <v>1026</v>
      </c>
      <c r="C213" s="12">
        <v>42044</v>
      </c>
      <c r="D213" s="12">
        <v>42048</v>
      </c>
      <c r="E213" t="s">
        <v>206</v>
      </c>
      <c r="F213" t="s">
        <v>1027</v>
      </c>
      <c r="G213" t="s">
        <v>1028</v>
      </c>
      <c r="H213" t="s">
        <v>224</v>
      </c>
      <c r="I213" t="s">
        <v>210</v>
      </c>
      <c r="J213" t="s">
        <v>1000</v>
      </c>
      <c r="K213" t="s">
        <v>287</v>
      </c>
      <c r="L213">
        <v>75220</v>
      </c>
      <c r="M213" t="s">
        <v>288</v>
      </c>
      <c r="N213" t="s">
        <v>1029</v>
      </c>
      <c r="O213" t="s">
        <v>254</v>
      </c>
      <c r="P213" t="s">
        <v>344</v>
      </c>
      <c r="Q213" t="s">
        <v>1030</v>
      </c>
      <c r="R213" s="13">
        <v>20.8</v>
      </c>
      <c r="S213">
        <v>2</v>
      </c>
      <c r="T213" s="14">
        <v>0.2</v>
      </c>
      <c r="U213" s="13">
        <v>6.5</v>
      </c>
    </row>
    <row r="214" spans="1:21" ht="15" customHeight="1" x14ac:dyDescent="0.3">
      <c r="A214">
        <v>213</v>
      </c>
      <c r="B214" t="s">
        <v>1031</v>
      </c>
      <c r="C214" s="12">
        <v>42006</v>
      </c>
      <c r="D214" s="12">
        <v>42013</v>
      </c>
      <c r="E214" t="s">
        <v>233</v>
      </c>
      <c r="F214" t="s">
        <v>1032</v>
      </c>
      <c r="G214" t="s">
        <v>1033</v>
      </c>
      <c r="H214" t="s">
        <v>224</v>
      </c>
      <c r="I214" t="s">
        <v>210</v>
      </c>
      <c r="J214" t="s">
        <v>1034</v>
      </c>
      <c r="K214" t="s">
        <v>681</v>
      </c>
      <c r="L214">
        <v>44256</v>
      </c>
      <c r="M214" t="s">
        <v>331</v>
      </c>
      <c r="N214" t="s">
        <v>1035</v>
      </c>
      <c r="O214" t="s">
        <v>229</v>
      </c>
      <c r="P214" t="s">
        <v>230</v>
      </c>
      <c r="Q214" t="s">
        <v>1036</v>
      </c>
      <c r="R214" s="13">
        <v>23.68</v>
      </c>
      <c r="S214">
        <v>2</v>
      </c>
      <c r="T214" s="14">
        <v>0.2</v>
      </c>
      <c r="U214" s="13">
        <v>8.8800000000000008</v>
      </c>
    </row>
    <row r="215" spans="1:21" ht="15" customHeight="1" x14ac:dyDescent="0.3">
      <c r="A215">
        <v>214</v>
      </c>
      <c r="B215" t="s">
        <v>1031</v>
      </c>
      <c r="C215" s="12">
        <v>42006</v>
      </c>
      <c r="D215" s="12">
        <v>42013</v>
      </c>
      <c r="E215" t="s">
        <v>233</v>
      </c>
      <c r="F215" t="s">
        <v>1032</v>
      </c>
      <c r="G215" t="s">
        <v>1033</v>
      </c>
      <c r="H215" t="s">
        <v>224</v>
      </c>
      <c r="I215" t="s">
        <v>210</v>
      </c>
      <c r="J215" t="s">
        <v>1034</v>
      </c>
      <c r="K215" t="s">
        <v>681</v>
      </c>
      <c r="L215">
        <v>44256</v>
      </c>
      <c r="M215" t="s">
        <v>331</v>
      </c>
      <c r="N215" t="s">
        <v>1037</v>
      </c>
      <c r="O215" t="s">
        <v>215</v>
      </c>
      <c r="P215" t="s">
        <v>216</v>
      </c>
      <c r="Q215" t="s">
        <v>1038</v>
      </c>
      <c r="R215" s="13">
        <v>452.45</v>
      </c>
      <c r="S215">
        <v>5</v>
      </c>
      <c r="T215" s="14">
        <v>0.5</v>
      </c>
      <c r="U215" s="13">
        <v>-244.32300000000001</v>
      </c>
    </row>
    <row r="216" spans="1:21" ht="15" customHeight="1" x14ac:dyDescent="0.3">
      <c r="A216">
        <v>215</v>
      </c>
      <c r="B216" t="s">
        <v>1031</v>
      </c>
      <c r="C216" s="12">
        <v>42006</v>
      </c>
      <c r="D216" s="12">
        <v>42013</v>
      </c>
      <c r="E216" t="s">
        <v>233</v>
      </c>
      <c r="F216" t="s">
        <v>1032</v>
      </c>
      <c r="G216" t="s">
        <v>1033</v>
      </c>
      <c r="H216" t="s">
        <v>224</v>
      </c>
      <c r="I216" t="s">
        <v>210</v>
      </c>
      <c r="J216" t="s">
        <v>1034</v>
      </c>
      <c r="K216" t="s">
        <v>681</v>
      </c>
      <c r="L216">
        <v>44256</v>
      </c>
      <c r="M216" t="s">
        <v>331</v>
      </c>
      <c r="N216" t="s">
        <v>653</v>
      </c>
      <c r="O216" t="s">
        <v>254</v>
      </c>
      <c r="P216" t="s">
        <v>255</v>
      </c>
      <c r="Q216" t="s">
        <v>654</v>
      </c>
      <c r="R216" s="13">
        <v>62.981999999999999</v>
      </c>
      <c r="S216">
        <v>3</v>
      </c>
      <c r="T216" s="14">
        <v>0.4</v>
      </c>
      <c r="U216" s="13">
        <v>-14.6958</v>
      </c>
    </row>
    <row r="217" spans="1:21" ht="15" customHeight="1" x14ac:dyDescent="0.3">
      <c r="A217">
        <v>216</v>
      </c>
      <c r="B217" t="s">
        <v>1031</v>
      </c>
      <c r="C217" s="12">
        <v>42006</v>
      </c>
      <c r="D217" s="12">
        <v>42013</v>
      </c>
      <c r="E217" t="s">
        <v>233</v>
      </c>
      <c r="F217" t="s">
        <v>1032</v>
      </c>
      <c r="G217" t="s">
        <v>1033</v>
      </c>
      <c r="H217" t="s">
        <v>224</v>
      </c>
      <c r="I217" t="s">
        <v>210</v>
      </c>
      <c r="J217" t="s">
        <v>1034</v>
      </c>
      <c r="K217" t="s">
        <v>681</v>
      </c>
      <c r="L217">
        <v>44256</v>
      </c>
      <c r="M217" t="s">
        <v>331</v>
      </c>
      <c r="N217" t="s">
        <v>1039</v>
      </c>
      <c r="O217" t="s">
        <v>254</v>
      </c>
      <c r="P217" t="s">
        <v>867</v>
      </c>
      <c r="Q217" t="s">
        <v>1040</v>
      </c>
      <c r="R217" s="13">
        <v>1188</v>
      </c>
      <c r="S217">
        <v>9</v>
      </c>
      <c r="T217" s="14">
        <v>0.7</v>
      </c>
      <c r="U217" s="13">
        <v>-950.4</v>
      </c>
    </row>
    <row r="218" spans="1:21" ht="15" customHeight="1" x14ac:dyDescent="0.3">
      <c r="A218">
        <v>217</v>
      </c>
      <c r="B218" t="s">
        <v>1031</v>
      </c>
      <c r="C218" s="12">
        <v>42006</v>
      </c>
      <c r="D218" s="12">
        <v>42013</v>
      </c>
      <c r="E218" t="s">
        <v>233</v>
      </c>
      <c r="F218" t="s">
        <v>1032</v>
      </c>
      <c r="G218" t="s">
        <v>1033</v>
      </c>
      <c r="H218" t="s">
        <v>224</v>
      </c>
      <c r="I218" t="s">
        <v>210</v>
      </c>
      <c r="J218" t="s">
        <v>1034</v>
      </c>
      <c r="K218" t="s">
        <v>681</v>
      </c>
      <c r="L218">
        <v>44256</v>
      </c>
      <c r="M218" t="s">
        <v>331</v>
      </c>
      <c r="N218" t="s">
        <v>1041</v>
      </c>
      <c r="O218" t="s">
        <v>254</v>
      </c>
      <c r="P218" t="s">
        <v>344</v>
      </c>
      <c r="Q218" t="s">
        <v>1042</v>
      </c>
      <c r="R218" s="13">
        <v>89.584000000000003</v>
      </c>
      <c r="S218">
        <v>2</v>
      </c>
      <c r="T218" s="14">
        <v>0.2</v>
      </c>
      <c r="U218" s="13">
        <v>4.4792000000000103</v>
      </c>
    </row>
    <row r="219" spans="1:21" ht="15" customHeight="1" x14ac:dyDescent="0.3">
      <c r="A219">
        <v>218</v>
      </c>
      <c r="B219" t="s">
        <v>1043</v>
      </c>
      <c r="C219" s="12">
        <v>42671</v>
      </c>
      <c r="D219" s="12">
        <v>42675</v>
      </c>
      <c r="E219" t="s">
        <v>233</v>
      </c>
      <c r="F219" t="s">
        <v>1044</v>
      </c>
      <c r="G219" t="s">
        <v>1045</v>
      </c>
      <c r="H219" t="s">
        <v>209</v>
      </c>
      <c r="I219" t="s">
        <v>210</v>
      </c>
      <c r="J219" t="s">
        <v>225</v>
      </c>
      <c r="K219" t="s">
        <v>226</v>
      </c>
      <c r="L219">
        <v>90032</v>
      </c>
      <c r="M219" t="s">
        <v>227</v>
      </c>
      <c r="N219" t="s">
        <v>944</v>
      </c>
      <c r="O219" t="s">
        <v>229</v>
      </c>
      <c r="P219" t="s">
        <v>242</v>
      </c>
      <c r="Q219" t="s">
        <v>945</v>
      </c>
      <c r="R219" s="13">
        <v>93.06</v>
      </c>
      <c r="S219">
        <v>6</v>
      </c>
      <c r="T219" s="14">
        <v>0</v>
      </c>
      <c r="U219" s="13">
        <v>26.056799999999999</v>
      </c>
    </row>
    <row r="220" spans="1:21" ht="15" customHeight="1" x14ac:dyDescent="0.3">
      <c r="A220">
        <v>219</v>
      </c>
      <c r="B220" t="s">
        <v>1043</v>
      </c>
      <c r="C220" s="12">
        <v>42671</v>
      </c>
      <c r="D220" s="12">
        <v>42675</v>
      </c>
      <c r="E220" t="s">
        <v>233</v>
      </c>
      <c r="F220" t="s">
        <v>1044</v>
      </c>
      <c r="G220" t="s">
        <v>1045</v>
      </c>
      <c r="H220" t="s">
        <v>209</v>
      </c>
      <c r="I220" t="s">
        <v>210</v>
      </c>
      <c r="J220" t="s">
        <v>225</v>
      </c>
      <c r="K220" t="s">
        <v>226</v>
      </c>
      <c r="L220">
        <v>90032</v>
      </c>
      <c r="M220" t="s">
        <v>227</v>
      </c>
      <c r="N220" t="s">
        <v>1046</v>
      </c>
      <c r="O220" t="s">
        <v>254</v>
      </c>
      <c r="P220" t="s">
        <v>255</v>
      </c>
      <c r="Q220" t="s">
        <v>1047</v>
      </c>
      <c r="R220" s="13">
        <v>302.37599999999998</v>
      </c>
      <c r="S220">
        <v>3</v>
      </c>
      <c r="T220" s="14">
        <v>0.2</v>
      </c>
      <c r="U220" s="13">
        <v>22.6782</v>
      </c>
    </row>
    <row r="221" spans="1:21" ht="15" customHeight="1" x14ac:dyDescent="0.3">
      <c r="A221">
        <v>220</v>
      </c>
      <c r="B221" t="s">
        <v>1048</v>
      </c>
      <c r="C221" s="12">
        <v>42362</v>
      </c>
      <c r="D221" s="12">
        <v>42365</v>
      </c>
      <c r="E221" t="s">
        <v>371</v>
      </c>
      <c r="F221" t="s">
        <v>1049</v>
      </c>
      <c r="G221" t="s">
        <v>1050</v>
      </c>
      <c r="H221" t="s">
        <v>209</v>
      </c>
      <c r="I221" t="s">
        <v>210</v>
      </c>
      <c r="J221" t="s">
        <v>1051</v>
      </c>
      <c r="K221" t="s">
        <v>681</v>
      </c>
      <c r="L221">
        <v>43017</v>
      </c>
      <c r="M221" t="s">
        <v>331</v>
      </c>
      <c r="N221" t="s">
        <v>1052</v>
      </c>
      <c r="O221" t="s">
        <v>229</v>
      </c>
      <c r="P221" t="s">
        <v>452</v>
      </c>
      <c r="Q221" t="s">
        <v>1053</v>
      </c>
      <c r="R221" s="13">
        <v>5.5839999999999996</v>
      </c>
      <c r="S221">
        <v>2</v>
      </c>
      <c r="T221" s="14">
        <v>0.2</v>
      </c>
      <c r="U221" s="13">
        <v>1.8148</v>
      </c>
    </row>
    <row r="222" spans="1:21" ht="15" customHeight="1" x14ac:dyDescent="0.3">
      <c r="A222">
        <v>221</v>
      </c>
      <c r="B222" t="s">
        <v>1048</v>
      </c>
      <c r="C222" s="12">
        <v>42362</v>
      </c>
      <c r="D222" s="12">
        <v>42365</v>
      </c>
      <c r="E222" t="s">
        <v>371</v>
      </c>
      <c r="F222" t="s">
        <v>1049</v>
      </c>
      <c r="G222" t="s">
        <v>1050</v>
      </c>
      <c r="H222" t="s">
        <v>209</v>
      </c>
      <c r="I222" t="s">
        <v>210</v>
      </c>
      <c r="J222" t="s">
        <v>1051</v>
      </c>
      <c r="K222" t="s">
        <v>681</v>
      </c>
      <c r="L222">
        <v>43017</v>
      </c>
      <c r="M222" t="s">
        <v>331</v>
      </c>
      <c r="N222" t="s">
        <v>1054</v>
      </c>
      <c r="O222" t="s">
        <v>229</v>
      </c>
      <c r="P222" t="s">
        <v>273</v>
      </c>
      <c r="Q222" t="s">
        <v>1055</v>
      </c>
      <c r="R222" s="13">
        <v>22.704000000000001</v>
      </c>
      <c r="S222">
        <v>6</v>
      </c>
      <c r="T222" s="14">
        <v>0.2</v>
      </c>
      <c r="U222" s="13">
        <v>8.2302</v>
      </c>
    </row>
    <row r="223" spans="1:21" ht="15" customHeight="1" x14ac:dyDescent="0.3">
      <c r="A223">
        <v>222</v>
      </c>
      <c r="B223" t="s">
        <v>1048</v>
      </c>
      <c r="C223" s="12">
        <v>42362</v>
      </c>
      <c r="D223" s="12">
        <v>42365</v>
      </c>
      <c r="E223" t="s">
        <v>371</v>
      </c>
      <c r="F223" t="s">
        <v>1049</v>
      </c>
      <c r="G223" t="s">
        <v>1050</v>
      </c>
      <c r="H223" t="s">
        <v>209</v>
      </c>
      <c r="I223" t="s">
        <v>210</v>
      </c>
      <c r="J223" t="s">
        <v>1051</v>
      </c>
      <c r="K223" t="s">
        <v>681</v>
      </c>
      <c r="L223">
        <v>43017</v>
      </c>
      <c r="M223" t="s">
        <v>331</v>
      </c>
      <c r="N223" t="s">
        <v>597</v>
      </c>
      <c r="O223" t="s">
        <v>229</v>
      </c>
      <c r="P223" t="s">
        <v>258</v>
      </c>
      <c r="Q223" t="s">
        <v>598</v>
      </c>
      <c r="R223" s="13">
        <v>19.776</v>
      </c>
      <c r="S223">
        <v>4</v>
      </c>
      <c r="T223" s="14">
        <v>0.7</v>
      </c>
      <c r="U223" s="13">
        <v>-13.8432</v>
      </c>
    </row>
    <row r="224" spans="1:21" ht="15" customHeight="1" x14ac:dyDescent="0.3">
      <c r="A224">
        <v>223</v>
      </c>
      <c r="B224" t="s">
        <v>1048</v>
      </c>
      <c r="C224" s="12">
        <v>42362</v>
      </c>
      <c r="D224" s="12">
        <v>42365</v>
      </c>
      <c r="E224" t="s">
        <v>371</v>
      </c>
      <c r="F224" t="s">
        <v>1049</v>
      </c>
      <c r="G224" t="s">
        <v>1050</v>
      </c>
      <c r="H224" t="s">
        <v>209</v>
      </c>
      <c r="I224" t="s">
        <v>210</v>
      </c>
      <c r="J224" t="s">
        <v>1051</v>
      </c>
      <c r="K224" t="s">
        <v>681</v>
      </c>
      <c r="L224">
        <v>43017</v>
      </c>
      <c r="M224" t="s">
        <v>331</v>
      </c>
      <c r="N224" t="s">
        <v>1056</v>
      </c>
      <c r="O224" t="s">
        <v>215</v>
      </c>
      <c r="P224" t="s">
        <v>248</v>
      </c>
      <c r="Q224" t="s">
        <v>1057</v>
      </c>
      <c r="R224" s="13">
        <v>72.703999999999994</v>
      </c>
      <c r="S224">
        <v>4</v>
      </c>
      <c r="T224" s="14">
        <v>0.2</v>
      </c>
      <c r="U224" s="13">
        <v>19.084800000000001</v>
      </c>
    </row>
    <row r="225" spans="1:21" ht="15" customHeight="1" x14ac:dyDescent="0.3">
      <c r="A225">
        <v>224</v>
      </c>
      <c r="B225" t="s">
        <v>1048</v>
      </c>
      <c r="C225" s="12">
        <v>42362</v>
      </c>
      <c r="D225" s="12">
        <v>42365</v>
      </c>
      <c r="E225" t="s">
        <v>371</v>
      </c>
      <c r="F225" t="s">
        <v>1049</v>
      </c>
      <c r="G225" t="s">
        <v>1050</v>
      </c>
      <c r="H225" t="s">
        <v>209</v>
      </c>
      <c r="I225" t="s">
        <v>210</v>
      </c>
      <c r="J225" t="s">
        <v>1051</v>
      </c>
      <c r="K225" t="s">
        <v>681</v>
      </c>
      <c r="L225">
        <v>43017</v>
      </c>
      <c r="M225" t="s">
        <v>331</v>
      </c>
      <c r="N225" t="s">
        <v>1058</v>
      </c>
      <c r="O225" t="s">
        <v>254</v>
      </c>
      <c r="P225" t="s">
        <v>867</v>
      </c>
      <c r="Q225" t="s">
        <v>1059</v>
      </c>
      <c r="R225" s="13">
        <v>479.988</v>
      </c>
      <c r="S225">
        <v>4</v>
      </c>
      <c r="T225" s="14">
        <v>0.7</v>
      </c>
      <c r="U225" s="13">
        <v>-383.99040000000002</v>
      </c>
    </row>
    <row r="226" spans="1:21" ht="15" customHeight="1" x14ac:dyDescent="0.3">
      <c r="A226">
        <v>225</v>
      </c>
      <c r="B226" t="s">
        <v>1048</v>
      </c>
      <c r="C226" s="12">
        <v>42362</v>
      </c>
      <c r="D226" s="12">
        <v>42365</v>
      </c>
      <c r="E226" t="s">
        <v>371</v>
      </c>
      <c r="F226" t="s">
        <v>1049</v>
      </c>
      <c r="G226" t="s">
        <v>1050</v>
      </c>
      <c r="H226" t="s">
        <v>209</v>
      </c>
      <c r="I226" t="s">
        <v>210</v>
      </c>
      <c r="J226" t="s">
        <v>1051</v>
      </c>
      <c r="K226" t="s">
        <v>681</v>
      </c>
      <c r="L226">
        <v>43017</v>
      </c>
      <c r="M226" t="s">
        <v>331</v>
      </c>
      <c r="N226" t="s">
        <v>1060</v>
      </c>
      <c r="O226" t="s">
        <v>229</v>
      </c>
      <c r="P226" t="s">
        <v>251</v>
      </c>
      <c r="Q226" t="s">
        <v>1061</v>
      </c>
      <c r="R226" s="13">
        <v>27.167999999999999</v>
      </c>
      <c r="S226">
        <v>2</v>
      </c>
      <c r="T226" s="14">
        <v>0.2</v>
      </c>
      <c r="U226" s="13">
        <v>2.7168000000000001</v>
      </c>
    </row>
    <row r="227" spans="1:21" ht="15" customHeight="1" x14ac:dyDescent="0.3">
      <c r="A227">
        <v>226</v>
      </c>
      <c r="B227" t="s">
        <v>1062</v>
      </c>
      <c r="C227" s="12">
        <v>42225</v>
      </c>
      <c r="D227" s="12">
        <v>42232</v>
      </c>
      <c r="E227" t="s">
        <v>233</v>
      </c>
      <c r="F227" t="s">
        <v>1063</v>
      </c>
      <c r="G227" t="s">
        <v>1064</v>
      </c>
      <c r="H227" t="s">
        <v>224</v>
      </c>
      <c r="I227" t="s">
        <v>210</v>
      </c>
      <c r="J227" t="s">
        <v>1065</v>
      </c>
      <c r="K227" t="s">
        <v>421</v>
      </c>
      <c r="L227">
        <v>48227</v>
      </c>
      <c r="M227" t="s">
        <v>288</v>
      </c>
      <c r="N227" t="s">
        <v>1066</v>
      </c>
      <c r="O227" t="s">
        <v>229</v>
      </c>
      <c r="P227" t="s">
        <v>251</v>
      </c>
      <c r="Q227" t="s">
        <v>1067</v>
      </c>
      <c r="R227" s="13">
        <v>2.2000000000000002</v>
      </c>
      <c r="S227">
        <v>1</v>
      </c>
      <c r="T227" s="14">
        <v>0</v>
      </c>
      <c r="U227" s="13">
        <v>0.96799999999999997</v>
      </c>
    </row>
    <row r="228" spans="1:21" ht="15" customHeight="1" x14ac:dyDescent="0.3">
      <c r="A228">
        <v>227</v>
      </c>
      <c r="B228" t="s">
        <v>1062</v>
      </c>
      <c r="C228" s="12">
        <v>42225</v>
      </c>
      <c r="D228" s="12">
        <v>42232</v>
      </c>
      <c r="E228" t="s">
        <v>233</v>
      </c>
      <c r="F228" t="s">
        <v>1063</v>
      </c>
      <c r="G228" t="s">
        <v>1064</v>
      </c>
      <c r="H228" t="s">
        <v>224</v>
      </c>
      <c r="I228" t="s">
        <v>210</v>
      </c>
      <c r="J228" t="s">
        <v>1065</v>
      </c>
      <c r="K228" t="s">
        <v>421</v>
      </c>
      <c r="L228">
        <v>48227</v>
      </c>
      <c r="M228" t="s">
        <v>288</v>
      </c>
      <c r="N228" t="s">
        <v>1068</v>
      </c>
      <c r="O228" t="s">
        <v>215</v>
      </c>
      <c r="P228" t="s">
        <v>239</v>
      </c>
      <c r="Q228" t="s">
        <v>1069</v>
      </c>
      <c r="R228" s="13">
        <v>622.45000000000005</v>
      </c>
      <c r="S228">
        <v>5</v>
      </c>
      <c r="T228" s="14">
        <v>0</v>
      </c>
      <c r="U228" s="13">
        <v>136.93899999999999</v>
      </c>
    </row>
    <row r="229" spans="1:21" ht="15" customHeight="1" x14ac:dyDescent="0.3">
      <c r="A229">
        <v>228</v>
      </c>
      <c r="B229" t="s">
        <v>1062</v>
      </c>
      <c r="C229" s="12">
        <v>42225</v>
      </c>
      <c r="D229" s="12">
        <v>42232</v>
      </c>
      <c r="E229" t="s">
        <v>233</v>
      </c>
      <c r="F229" t="s">
        <v>1063</v>
      </c>
      <c r="G229" t="s">
        <v>1064</v>
      </c>
      <c r="H229" t="s">
        <v>224</v>
      </c>
      <c r="I229" t="s">
        <v>210</v>
      </c>
      <c r="J229" t="s">
        <v>1065</v>
      </c>
      <c r="K229" t="s">
        <v>421</v>
      </c>
      <c r="L229">
        <v>48227</v>
      </c>
      <c r="M229" t="s">
        <v>288</v>
      </c>
      <c r="N229" t="s">
        <v>1070</v>
      </c>
      <c r="O229" t="s">
        <v>229</v>
      </c>
      <c r="P229" t="s">
        <v>242</v>
      </c>
      <c r="Q229" t="s">
        <v>1071</v>
      </c>
      <c r="R229" s="13">
        <v>21.98</v>
      </c>
      <c r="S229">
        <v>1</v>
      </c>
      <c r="T229" s="14">
        <v>0</v>
      </c>
      <c r="U229" s="13">
        <v>0.219799999999999</v>
      </c>
    </row>
    <row r="230" spans="1:21" ht="15" customHeight="1" x14ac:dyDescent="0.3">
      <c r="A230">
        <v>229</v>
      </c>
      <c r="B230" t="s">
        <v>1072</v>
      </c>
      <c r="C230" s="12">
        <v>42063</v>
      </c>
      <c r="D230" s="12">
        <v>42067</v>
      </c>
      <c r="E230" t="s">
        <v>233</v>
      </c>
      <c r="F230" t="s">
        <v>1073</v>
      </c>
      <c r="G230" t="s">
        <v>1074</v>
      </c>
      <c r="H230" t="s">
        <v>209</v>
      </c>
      <c r="I230" t="s">
        <v>210</v>
      </c>
      <c r="J230" t="s">
        <v>565</v>
      </c>
      <c r="K230" t="s">
        <v>518</v>
      </c>
      <c r="L230">
        <v>38401</v>
      </c>
      <c r="M230" t="s">
        <v>213</v>
      </c>
      <c r="N230" t="s">
        <v>1075</v>
      </c>
      <c r="O230" t="s">
        <v>215</v>
      </c>
      <c r="P230" t="s">
        <v>219</v>
      </c>
      <c r="Q230" t="s">
        <v>1076</v>
      </c>
      <c r="R230" s="13">
        <v>161.56800000000001</v>
      </c>
      <c r="S230">
        <v>2</v>
      </c>
      <c r="T230" s="14">
        <v>0.2</v>
      </c>
      <c r="U230" s="13">
        <v>-28.2744</v>
      </c>
    </row>
    <row r="231" spans="1:21" ht="15" customHeight="1" x14ac:dyDescent="0.3">
      <c r="A231">
        <v>230</v>
      </c>
      <c r="B231" t="s">
        <v>1072</v>
      </c>
      <c r="C231" s="12">
        <v>42063</v>
      </c>
      <c r="D231" s="12">
        <v>42067</v>
      </c>
      <c r="E231" t="s">
        <v>233</v>
      </c>
      <c r="F231" t="s">
        <v>1073</v>
      </c>
      <c r="G231" t="s">
        <v>1074</v>
      </c>
      <c r="H231" t="s">
        <v>209</v>
      </c>
      <c r="I231" t="s">
        <v>210</v>
      </c>
      <c r="J231" t="s">
        <v>565</v>
      </c>
      <c r="K231" t="s">
        <v>518</v>
      </c>
      <c r="L231">
        <v>38401</v>
      </c>
      <c r="M231" t="s">
        <v>213</v>
      </c>
      <c r="N231" t="s">
        <v>1077</v>
      </c>
      <c r="O231" t="s">
        <v>215</v>
      </c>
      <c r="P231" t="s">
        <v>219</v>
      </c>
      <c r="Q231" t="s">
        <v>1078</v>
      </c>
      <c r="R231" s="13">
        <v>389.69600000000003</v>
      </c>
      <c r="S231">
        <v>8</v>
      </c>
      <c r="T231" s="14">
        <v>0.2</v>
      </c>
      <c r="U231" s="13">
        <v>43.840800000000002</v>
      </c>
    </row>
    <row r="232" spans="1:21" ht="15" customHeight="1" x14ac:dyDescent="0.3">
      <c r="A232">
        <v>231</v>
      </c>
      <c r="B232" t="s">
        <v>1079</v>
      </c>
      <c r="C232" s="12">
        <v>41895</v>
      </c>
      <c r="D232" s="12">
        <v>41899</v>
      </c>
      <c r="E232" t="s">
        <v>233</v>
      </c>
      <c r="F232" t="s">
        <v>1080</v>
      </c>
      <c r="G232" t="s">
        <v>1081</v>
      </c>
      <c r="H232" t="s">
        <v>224</v>
      </c>
      <c r="I232" t="s">
        <v>210</v>
      </c>
      <c r="J232" t="s">
        <v>650</v>
      </c>
      <c r="K232" t="s">
        <v>271</v>
      </c>
      <c r="L232">
        <v>28205</v>
      </c>
      <c r="M232" t="s">
        <v>213</v>
      </c>
      <c r="N232" t="s">
        <v>1082</v>
      </c>
      <c r="O232" t="s">
        <v>229</v>
      </c>
      <c r="P232" t="s">
        <v>258</v>
      </c>
      <c r="Q232" t="s">
        <v>1083</v>
      </c>
      <c r="R232" s="13">
        <v>18.648</v>
      </c>
      <c r="S232">
        <v>7</v>
      </c>
      <c r="T232" s="14">
        <v>0.7</v>
      </c>
      <c r="U232" s="13">
        <v>-12.432</v>
      </c>
    </row>
    <row r="233" spans="1:21" ht="15" customHeight="1" x14ac:dyDescent="0.3">
      <c r="A233">
        <v>232</v>
      </c>
      <c r="B233" t="s">
        <v>1084</v>
      </c>
      <c r="C233" s="12">
        <v>42832</v>
      </c>
      <c r="D233" s="12">
        <v>42837</v>
      </c>
      <c r="E233" t="s">
        <v>233</v>
      </c>
      <c r="F233" t="s">
        <v>560</v>
      </c>
      <c r="G233" t="s">
        <v>561</v>
      </c>
      <c r="H233" t="s">
        <v>285</v>
      </c>
      <c r="I233" t="s">
        <v>210</v>
      </c>
      <c r="J233" t="s">
        <v>1085</v>
      </c>
      <c r="K233" t="s">
        <v>237</v>
      </c>
      <c r="L233">
        <v>33614</v>
      </c>
      <c r="M233" t="s">
        <v>213</v>
      </c>
      <c r="N233" t="s">
        <v>1086</v>
      </c>
      <c r="O233" t="s">
        <v>215</v>
      </c>
      <c r="P233" t="s">
        <v>239</v>
      </c>
      <c r="Q233" t="s">
        <v>1087</v>
      </c>
      <c r="R233" s="13">
        <v>233.86</v>
      </c>
      <c r="S233">
        <v>2</v>
      </c>
      <c r="T233" s="14">
        <v>0.45</v>
      </c>
      <c r="U233" s="13">
        <v>-102.048</v>
      </c>
    </row>
    <row r="234" spans="1:21" ht="15" customHeight="1" x14ac:dyDescent="0.3">
      <c r="A234">
        <v>233</v>
      </c>
      <c r="B234" t="s">
        <v>1084</v>
      </c>
      <c r="C234" s="12">
        <v>42832</v>
      </c>
      <c r="D234" s="12">
        <v>42837</v>
      </c>
      <c r="E234" t="s">
        <v>233</v>
      </c>
      <c r="F234" t="s">
        <v>560</v>
      </c>
      <c r="G234" t="s">
        <v>561</v>
      </c>
      <c r="H234" t="s">
        <v>285</v>
      </c>
      <c r="I234" t="s">
        <v>210</v>
      </c>
      <c r="J234" t="s">
        <v>1085</v>
      </c>
      <c r="K234" t="s">
        <v>237</v>
      </c>
      <c r="L234">
        <v>33614</v>
      </c>
      <c r="M234" t="s">
        <v>213</v>
      </c>
      <c r="N234" t="s">
        <v>1088</v>
      </c>
      <c r="O234" t="s">
        <v>215</v>
      </c>
      <c r="P234" t="s">
        <v>239</v>
      </c>
      <c r="Q234" t="s">
        <v>1089</v>
      </c>
      <c r="R234" s="13">
        <v>620.61450000000002</v>
      </c>
      <c r="S234">
        <v>3</v>
      </c>
      <c r="T234" s="14">
        <v>0.45</v>
      </c>
      <c r="U234" s="13">
        <v>-248.2458</v>
      </c>
    </row>
    <row r="235" spans="1:21" ht="15" customHeight="1" x14ac:dyDescent="0.3">
      <c r="A235">
        <v>234</v>
      </c>
      <c r="B235" t="s">
        <v>1084</v>
      </c>
      <c r="C235" s="12">
        <v>42832</v>
      </c>
      <c r="D235" s="12">
        <v>42837</v>
      </c>
      <c r="E235" t="s">
        <v>233</v>
      </c>
      <c r="F235" t="s">
        <v>560</v>
      </c>
      <c r="G235" t="s">
        <v>561</v>
      </c>
      <c r="H235" t="s">
        <v>285</v>
      </c>
      <c r="I235" t="s">
        <v>210</v>
      </c>
      <c r="J235" t="s">
        <v>1085</v>
      </c>
      <c r="K235" t="s">
        <v>237</v>
      </c>
      <c r="L235">
        <v>33614</v>
      </c>
      <c r="M235" t="s">
        <v>213</v>
      </c>
      <c r="N235" t="s">
        <v>1082</v>
      </c>
      <c r="O235" t="s">
        <v>229</v>
      </c>
      <c r="P235" t="s">
        <v>258</v>
      </c>
      <c r="Q235" t="s">
        <v>1083</v>
      </c>
      <c r="R235" s="13">
        <v>5.3280000000000003</v>
      </c>
      <c r="S235">
        <v>2</v>
      </c>
      <c r="T235" s="14">
        <v>0.7</v>
      </c>
      <c r="U235" s="13">
        <v>-3.552</v>
      </c>
    </row>
    <row r="236" spans="1:21" ht="15" customHeight="1" x14ac:dyDescent="0.3">
      <c r="A236">
        <v>235</v>
      </c>
      <c r="B236" t="s">
        <v>1084</v>
      </c>
      <c r="C236" s="12">
        <v>42832</v>
      </c>
      <c r="D236" s="12">
        <v>42837</v>
      </c>
      <c r="E236" t="s">
        <v>233</v>
      </c>
      <c r="F236" t="s">
        <v>560</v>
      </c>
      <c r="G236" t="s">
        <v>561</v>
      </c>
      <c r="H236" t="s">
        <v>285</v>
      </c>
      <c r="I236" t="s">
        <v>210</v>
      </c>
      <c r="J236" t="s">
        <v>1085</v>
      </c>
      <c r="K236" t="s">
        <v>237</v>
      </c>
      <c r="L236">
        <v>33614</v>
      </c>
      <c r="M236" t="s">
        <v>213</v>
      </c>
      <c r="N236" t="s">
        <v>1090</v>
      </c>
      <c r="O236" t="s">
        <v>215</v>
      </c>
      <c r="P236" t="s">
        <v>248</v>
      </c>
      <c r="Q236" t="s">
        <v>1091</v>
      </c>
      <c r="R236" s="13">
        <v>258.072</v>
      </c>
      <c r="S236">
        <v>3</v>
      </c>
      <c r="T236" s="14">
        <v>0.2</v>
      </c>
      <c r="U236" s="13">
        <v>0</v>
      </c>
    </row>
    <row r="237" spans="1:21" ht="15" customHeight="1" x14ac:dyDescent="0.3">
      <c r="A237">
        <v>236</v>
      </c>
      <c r="B237" t="s">
        <v>1084</v>
      </c>
      <c r="C237" s="12">
        <v>42832</v>
      </c>
      <c r="D237" s="12">
        <v>42837</v>
      </c>
      <c r="E237" t="s">
        <v>233</v>
      </c>
      <c r="F237" t="s">
        <v>560</v>
      </c>
      <c r="G237" t="s">
        <v>561</v>
      </c>
      <c r="H237" t="s">
        <v>285</v>
      </c>
      <c r="I237" t="s">
        <v>210</v>
      </c>
      <c r="J237" t="s">
        <v>1085</v>
      </c>
      <c r="K237" t="s">
        <v>237</v>
      </c>
      <c r="L237">
        <v>33614</v>
      </c>
      <c r="M237" t="s">
        <v>213</v>
      </c>
      <c r="N237" t="s">
        <v>1092</v>
      </c>
      <c r="O237" t="s">
        <v>254</v>
      </c>
      <c r="P237" t="s">
        <v>344</v>
      </c>
      <c r="Q237" t="s">
        <v>1093</v>
      </c>
      <c r="R237" s="13">
        <v>617.976</v>
      </c>
      <c r="S237">
        <v>3</v>
      </c>
      <c r="T237" s="14">
        <v>0.2</v>
      </c>
      <c r="U237" s="13">
        <v>-7.7247000000000998</v>
      </c>
    </row>
    <row r="238" spans="1:21" ht="15" customHeight="1" x14ac:dyDescent="0.3">
      <c r="A238">
        <v>237</v>
      </c>
      <c r="B238" t="s">
        <v>1094</v>
      </c>
      <c r="C238" s="12">
        <v>43051</v>
      </c>
      <c r="D238" s="12">
        <v>43055</v>
      </c>
      <c r="E238" t="s">
        <v>233</v>
      </c>
      <c r="F238" t="s">
        <v>1095</v>
      </c>
      <c r="G238" t="s">
        <v>1096</v>
      </c>
      <c r="H238" t="s">
        <v>224</v>
      </c>
      <c r="I238" t="s">
        <v>210</v>
      </c>
      <c r="J238" t="s">
        <v>1097</v>
      </c>
      <c r="K238" t="s">
        <v>226</v>
      </c>
      <c r="L238">
        <v>95051</v>
      </c>
      <c r="M238" t="s">
        <v>227</v>
      </c>
      <c r="N238" t="s">
        <v>1098</v>
      </c>
      <c r="O238" t="s">
        <v>229</v>
      </c>
      <c r="P238" t="s">
        <v>273</v>
      </c>
      <c r="Q238" t="s">
        <v>1099</v>
      </c>
      <c r="R238" s="13">
        <v>10.56</v>
      </c>
      <c r="S238">
        <v>2</v>
      </c>
      <c r="T238" s="14">
        <v>0</v>
      </c>
      <c r="U238" s="13">
        <v>4.7519999999999998</v>
      </c>
    </row>
    <row r="239" spans="1:21" ht="15" customHeight="1" x14ac:dyDescent="0.3">
      <c r="A239">
        <v>238</v>
      </c>
      <c r="B239" t="s">
        <v>1100</v>
      </c>
      <c r="C239" s="12">
        <v>42525</v>
      </c>
      <c r="D239" s="12">
        <v>42530</v>
      </c>
      <c r="E239" t="s">
        <v>206</v>
      </c>
      <c r="F239" t="s">
        <v>1101</v>
      </c>
      <c r="G239" t="s">
        <v>1102</v>
      </c>
      <c r="H239" t="s">
        <v>209</v>
      </c>
      <c r="I239" t="s">
        <v>210</v>
      </c>
      <c r="J239" t="s">
        <v>486</v>
      </c>
      <c r="K239" t="s">
        <v>394</v>
      </c>
      <c r="L239">
        <v>60610</v>
      </c>
      <c r="M239" t="s">
        <v>288</v>
      </c>
      <c r="N239" t="s">
        <v>1103</v>
      </c>
      <c r="O239" t="s">
        <v>229</v>
      </c>
      <c r="P239" t="s">
        <v>273</v>
      </c>
      <c r="Q239" t="s">
        <v>1104</v>
      </c>
      <c r="R239" s="13">
        <v>25.92</v>
      </c>
      <c r="S239">
        <v>5</v>
      </c>
      <c r="T239" s="14">
        <v>0.2</v>
      </c>
      <c r="U239" s="13">
        <v>9.3960000000000008</v>
      </c>
    </row>
    <row r="240" spans="1:21" ht="15" customHeight="1" x14ac:dyDescent="0.3">
      <c r="A240">
        <v>239</v>
      </c>
      <c r="B240" t="s">
        <v>1100</v>
      </c>
      <c r="C240" s="12">
        <v>42525</v>
      </c>
      <c r="D240" s="12">
        <v>42530</v>
      </c>
      <c r="E240" t="s">
        <v>206</v>
      </c>
      <c r="F240" t="s">
        <v>1101</v>
      </c>
      <c r="G240" t="s">
        <v>1102</v>
      </c>
      <c r="H240" t="s">
        <v>209</v>
      </c>
      <c r="I240" t="s">
        <v>210</v>
      </c>
      <c r="J240" t="s">
        <v>486</v>
      </c>
      <c r="K240" t="s">
        <v>394</v>
      </c>
      <c r="L240">
        <v>60610</v>
      </c>
      <c r="M240" t="s">
        <v>288</v>
      </c>
      <c r="N240" t="s">
        <v>1105</v>
      </c>
      <c r="O240" t="s">
        <v>215</v>
      </c>
      <c r="P240" t="s">
        <v>248</v>
      </c>
      <c r="Q240" t="s">
        <v>1106</v>
      </c>
      <c r="R240" s="13">
        <v>419.68</v>
      </c>
      <c r="S240">
        <v>5</v>
      </c>
      <c r="T240" s="14">
        <v>0.6</v>
      </c>
      <c r="U240" s="13">
        <v>-356.72800000000001</v>
      </c>
    </row>
    <row r="241" spans="1:21" ht="15" customHeight="1" x14ac:dyDescent="0.3">
      <c r="A241">
        <v>240</v>
      </c>
      <c r="B241" t="s">
        <v>1100</v>
      </c>
      <c r="C241" s="12">
        <v>42525</v>
      </c>
      <c r="D241" s="12">
        <v>42530</v>
      </c>
      <c r="E241" t="s">
        <v>206</v>
      </c>
      <c r="F241" t="s">
        <v>1101</v>
      </c>
      <c r="G241" t="s">
        <v>1102</v>
      </c>
      <c r="H241" t="s">
        <v>209</v>
      </c>
      <c r="I241" t="s">
        <v>210</v>
      </c>
      <c r="J241" t="s">
        <v>486</v>
      </c>
      <c r="K241" t="s">
        <v>394</v>
      </c>
      <c r="L241">
        <v>60610</v>
      </c>
      <c r="M241" t="s">
        <v>288</v>
      </c>
      <c r="N241" t="s">
        <v>1107</v>
      </c>
      <c r="O241" t="s">
        <v>215</v>
      </c>
      <c r="P241" t="s">
        <v>248</v>
      </c>
      <c r="Q241" t="s">
        <v>1108</v>
      </c>
      <c r="R241" s="13">
        <v>11.688000000000001</v>
      </c>
      <c r="S241">
        <v>3</v>
      </c>
      <c r="T241" s="14">
        <v>0.6</v>
      </c>
      <c r="U241" s="13">
        <v>-4.6752000000000002</v>
      </c>
    </row>
    <row r="242" spans="1:21" ht="15" customHeight="1" x14ac:dyDescent="0.3">
      <c r="A242">
        <v>241</v>
      </c>
      <c r="B242" t="s">
        <v>1100</v>
      </c>
      <c r="C242" s="12">
        <v>42525</v>
      </c>
      <c r="D242" s="12">
        <v>42530</v>
      </c>
      <c r="E242" t="s">
        <v>206</v>
      </c>
      <c r="F242" t="s">
        <v>1101</v>
      </c>
      <c r="G242" t="s">
        <v>1102</v>
      </c>
      <c r="H242" t="s">
        <v>209</v>
      </c>
      <c r="I242" t="s">
        <v>210</v>
      </c>
      <c r="J242" t="s">
        <v>486</v>
      </c>
      <c r="K242" t="s">
        <v>394</v>
      </c>
      <c r="L242">
        <v>60610</v>
      </c>
      <c r="M242" t="s">
        <v>288</v>
      </c>
      <c r="N242" t="s">
        <v>1109</v>
      </c>
      <c r="O242" t="s">
        <v>254</v>
      </c>
      <c r="P242" t="s">
        <v>255</v>
      </c>
      <c r="Q242" t="s">
        <v>1110</v>
      </c>
      <c r="R242" s="13">
        <v>31.984000000000002</v>
      </c>
      <c r="S242">
        <v>2</v>
      </c>
      <c r="T242" s="14">
        <v>0.2</v>
      </c>
      <c r="U242" s="13">
        <v>11.1944</v>
      </c>
    </row>
    <row r="243" spans="1:21" ht="15" customHeight="1" x14ac:dyDescent="0.3">
      <c r="A243">
        <v>242</v>
      </c>
      <c r="B243" t="s">
        <v>1100</v>
      </c>
      <c r="C243" s="12">
        <v>42525</v>
      </c>
      <c r="D243" s="12">
        <v>42530</v>
      </c>
      <c r="E243" t="s">
        <v>206</v>
      </c>
      <c r="F243" t="s">
        <v>1101</v>
      </c>
      <c r="G243" t="s">
        <v>1102</v>
      </c>
      <c r="H243" t="s">
        <v>209</v>
      </c>
      <c r="I243" t="s">
        <v>210</v>
      </c>
      <c r="J243" t="s">
        <v>486</v>
      </c>
      <c r="K243" t="s">
        <v>394</v>
      </c>
      <c r="L243">
        <v>60610</v>
      </c>
      <c r="M243" t="s">
        <v>288</v>
      </c>
      <c r="N243" t="s">
        <v>1111</v>
      </c>
      <c r="O243" t="s">
        <v>215</v>
      </c>
      <c r="P243" t="s">
        <v>239</v>
      </c>
      <c r="Q243" t="s">
        <v>1112</v>
      </c>
      <c r="R243" s="13">
        <v>177.22499999999999</v>
      </c>
      <c r="S243">
        <v>5</v>
      </c>
      <c r="T243" s="14">
        <v>0.5</v>
      </c>
      <c r="U243" s="13">
        <v>-120.51300000000001</v>
      </c>
    </row>
    <row r="244" spans="1:21" ht="15" customHeight="1" x14ac:dyDescent="0.3">
      <c r="A244">
        <v>243</v>
      </c>
      <c r="B244" t="s">
        <v>1100</v>
      </c>
      <c r="C244" s="12">
        <v>42525</v>
      </c>
      <c r="D244" s="12">
        <v>42530</v>
      </c>
      <c r="E244" t="s">
        <v>206</v>
      </c>
      <c r="F244" t="s">
        <v>1101</v>
      </c>
      <c r="G244" t="s">
        <v>1102</v>
      </c>
      <c r="H244" t="s">
        <v>209</v>
      </c>
      <c r="I244" t="s">
        <v>210</v>
      </c>
      <c r="J244" t="s">
        <v>486</v>
      </c>
      <c r="K244" t="s">
        <v>394</v>
      </c>
      <c r="L244">
        <v>60610</v>
      </c>
      <c r="M244" t="s">
        <v>288</v>
      </c>
      <c r="N244" t="s">
        <v>1113</v>
      </c>
      <c r="O244" t="s">
        <v>215</v>
      </c>
      <c r="P244" t="s">
        <v>248</v>
      </c>
      <c r="Q244" t="s">
        <v>1114</v>
      </c>
      <c r="R244" s="13">
        <v>4.0439999999999996</v>
      </c>
      <c r="S244">
        <v>3</v>
      </c>
      <c r="T244" s="14">
        <v>0.6</v>
      </c>
      <c r="U244" s="13">
        <v>-2.8308</v>
      </c>
    </row>
    <row r="245" spans="1:21" ht="15" customHeight="1" x14ac:dyDescent="0.3">
      <c r="A245">
        <v>244</v>
      </c>
      <c r="B245" t="s">
        <v>1100</v>
      </c>
      <c r="C245" s="12">
        <v>42525</v>
      </c>
      <c r="D245" s="12">
        <v>42530</v>
      </c>
      <c r="E245" t="s">
        <v>206</v>
      </c>
      <c r="F245" t="s">
        <v>1101</v>
      </c>
      <c r="G245" t="s">
        <v>1102</v>
      </c>
      <c r="H245" t="s">
        <v>209</v>
      </c>
      <c r="I245" t="s">
        <v>210</v>
      </c>
      <c r="J245" t="s">
        <v>486</v>
      </c>
      <c r="K245" t="s">
        <v>394</v>
      </c>
      <c r="L245">
        <v>60610</v>
      </c>
      <c r="M245" t="s">
        <v>288</v>
      </c>
      <c r="N245" t="s">
        <v>965</v>
      </c>
      <c r="O245" t="s">
        <v>229</v>
      </c>
      <c r="P245" t="s">
        <v>251</v>
      </c>
      <c r="Q245" t="s">
        <v>966</v>
      </c>
      <c r="R245" s="13">
        <v>7.4080000000000004</v>
      </c>
      <c r="S245">
        <v>2</v>
      </c>
      <c r="T245" s="14">
        <v>0.2</v>
      </c>
      <c r="U245" s="13">
        <v>1.2038</v>
      </c>
    </row>
    <row r="246" spans="1:21" ht="15" customHeight="1" x14ac:dyDescent="0.3">
      <c r="A246">
        <v>245</v>
      </c>
      <c r="B246" t="s">
        <v>1115</v>
      </c>
      <c r="C246" s="12">
        <v>41791</v>
      </c>
      <c r="D246" s="12">
        <v>41796</v>
      </c>
      <c r="E246" t="s">
        <v>206</v>
      </c>
      <c r="F246" t="s">
        <v>1116</v>
      </c>
      <c r="G246" t="s">
        <v>1117</v>
      </c>
      <c r="H246" t="s">
        <v>285</v>
      </c>
      <c r="I246" t="s">
        <v>210</v>
      </c>
      <c r="J246" t="s">
        <v>1118</v>
      </c>
      <c r="K246" t="s">
        <v>412</v>
      </c>
      <c r="L246">
        <v>55044</v>
      </c>
      <c r="M246" t="s">
        <v>288</v>
      </c>
      <c r="N246" t="s">
        <v>716</v>
      </c>
      <c r="O246" t="s">
        <v>215</v>
      </c>
      <c r="P246" t="s">
        <v>219</v>
      </c>
      <c r="Q246" t="s">
        <v>717</v>
      </c>
      <c r="R246" s="13">
        <v>2001.86</v>
      </c>
      <c r="S246">
        <v>7</v>
      </c>
      <c r="T246" s="14">
        <v>0</v>
      </c>
      <c r="U246" s="13">
        <v>580.5394</v>
      </c>
    </row>
    <row r="247" spans="1:21" ht="15" customHeight="1" x14ac:dyDescent="0.3">
      <c r="A247">
        <v>246</v>
      </c>
      <c r="B247" t="s">
        <v>1115</v>
      </c>
      <c r="C247" s="12">
        <v>41791</v>
      </c>
      <c r="D247" s="12">
        <v>41796</v>
      </c>
      <c r="E247" t="s">
        <v>206</v>
      </c>
      <c r="F247" t="s">
        <v>1116</v>
      </c>
      <c r="G247" t="s">
        <v>1117</v>
      </c>
      <c r="H247" t="s">
        <v>285</v>
      </c>
      <c r="I247" t="s">
        <v>210</v>
      </c>
      <c r="J247" t="s">
        <v>1118</v>
      </c>
      <c r="K247" t="s">
        <v>412</v>
      </c>
      <c r="L247">
        <v>55044</v>
      </c>
      <c r="M247" t="s">
        <v>288</v>
      </c>
      <c r="N247" t="s">
        <v>1119</v>
      </c>
      <c r="O247" t="s">
        <v>229</v>
      </c>
      <c r="P247" t="s">
        <v>242</v>
      </c>
      <c r="Q247" t="s">
        <v>1120</v>
      </c>
      <c r="R247" s="13">
        <v>166.72</v>
      </c>
      <c r="S247">
        <v>2</v>
      </c>
      <c r="T247" s="14">
        <v>0</v>
      </c>
      <c r="U247" s="13">
        <v>41.68</v>
      </c>
    </row>
    <row r="248" spans="1:21" ht="15" customHeight="1" x14ac:dyDescent="0.3">
      <c r="A248">
        <v>247</v>
      </c>
      <c r="B248" t="s">
        <v>1115</v>
      </c>
      <c r="C248" s="12">
        <v>41791</v>
      </c>
      <c r="D248" s="12">
        <v>41796</v>
      </c>
      <c r="E248" t="s">
        <v>206</v>
      </c>
      <c r="F248" t="s">
        <v>1116</v>
      </c>
      <c r="G248" t="s">
        <v>1117</v>
      </c>
      <c r="H248" t="s">
        <v>285</v>
      </c>
      <c r="I248" t="s">
        <v>210</v>
      </c>
      <c r="J248" t="s">
        <v>1118</v>
      </c>
      <c r="K248" t="s">
        <v>412</v>
      </c>
      <c r="L248">
        <v>55044</v>
      </c>
      <c r="M248" t="s">
        <v>288</v>
      </c>
      <c r="N248" t="s">
        <v>1121</v>
      </c>
      <c r="O248" t="s">
        <v>229</v>
      </c>
      <c r="P248" t="s">
        <v>273</v>
      </c>
      <c r="Q248" t="s">
        <v>1122</v>
      </c>
      <c r="R248" s="13">
        <v>47.88</v>
      </c>
      <c r="S248">
        <v>6</v>
      </c>
      <c r="T248" s="14">
        <v>0</v>
      </c>
      <c r="U248" s="13">
        <v>23.94</v>
      </c>
    </row>
    <row r="249" spans="1:21" ht="15" customHeight="1" x14ac:dyDescent="0.3">
      <c r="A249">
        <v>248</v>
      </c>
      <c r="B249" t="s">
        <v>1115</v>
      </c>
      <c r="C249" s="12">
        <v>41791</v>
      </c>
      <c r="D249" s="12">
        <v>41796</v>
      </c>
      <c r="E249" t="s">
        <v>206</v>
      </c>
      <c r="F249" t="s">
        <v>1116</v>
      </c>
      <c r="G249" t="s">
        <v>1117</v>
      </c>
      <c r="H249" t="s">
        <v>285</v>
      </c>
      <c r="I249" t="s">
        <v>210</v>
      </c>
      <c r="J249" t="s">
        <v>1118</v>
      </c>
      <c r="K249" t="s">
        <v>412</v>
      </c>
      <c r="L249">
        <v>55044</v>
      </c>
      <c r="M249" t="s">
        <v>288</v>
      </c>
      <c r="N249" t="s">
        <v>1123</v>
      </c>
      <c r="O249" t="s">
        <v>229</v>
      </c>
      <c r="P249" t="s">
        <v>261</v>
      </c>
      <c r="Q249" t="s">
        <v>1124</v>
      </c>
      <c r="R249" s="13">
        <v>1503.25</v>
      </c>
      <c r="S249">
        <v>5</v>
      </c>
      <c r="T249" s="14">
        <v>0</v>
      </c>
      <c r="U249" s="13">
        <v>496.07249999999999</v>
      </c>
    </row>
    <row r="250" spans="1:21" ht="15" customHeight="1" x14ac:dyDescent="0.3">
      <c r="A250">
        <v>249</v>
      </c>
      <c r="B250" t="s">
        <v>1115</v>
      </c>
      <c r="C250" s="12">
        <v>41791</v>
      </c>
      <c r="D250" s="12">
        <v>41796</v>
      </c>
      <c r="E250" t="s">
        <v>206</v>
      </c>
      <c r="F250" t="s">
        <v>1116</v>
      </c>
      <c r="G250" t="s">
        <v>1117</v>
      </c>
      <c r="H250" t="s">
        <v>285</v>
      </c>
      <c r="I250" t="s">
        <v>210</v>
      </c>
      <c r="J250" t="s">
        <v>1118</v>
      </c>
      <c r="K250" t="s">
        <v>412</v>
      </c>
      <c r="L250">
        <v>55044</v>
      </c>
      <c r="M250" t="s">
        <v>288</v>
      </c>
      <c r="N250" t="s">
        <v>953</v>
      </c>
      <c r="O250" t="s">
        <v>229</v>
      </c>
      <c r="P250" t="s">
        <v>273</v>
      </c>
      <c r="Q250" t="s">
        <v>954</v>
      </c>
      <c r="R250" s="13">
        <v>25.92</v>
      </c>
      <c r="S250">
        <v>4</v>
      </c>
      <c r="T250" s="14">
        <v>0</v>
      </c>
      <c r="U250" s="13">
        <v>12.441599999999999</v>
      </c>
    </row>
    <row r="251" spans="1:21" ht="15" customHeight="1" x14ac:dyDescent="0.3">
      <c r="A251">
        <v>250</v>
      </c>
      <c r="B251" t="s">
        <v>1125</v>
      </c>
      <c r="C251" s="12">
        <v>42714</v>
      </c>
      <c r="D251" s="12">
        <v>42719</v>
      </c>
      <c r="E251" t="s">
        <v>206</v>
      </c>
      <c r="F251" t="s">
        <v>1126</v>
      </c>
      <c r="G251" t="s">
        <v>1127</v>
      </c>
      <c r="H251" t="s">
        <v>209</v>
      </c>
      <c r="I251" t="s">
        <v>210</v>
      </c>
      <c r="J251" t="s">
        <v>310</v>
      </c>
      <c r="K251" t="s">
        <v>226</v>
      </c>
      <c r="L251">
        <v>94109</v>
      </c>
      <c r="M251" t="s">
        <v>227</v>
      </c>
      <c r="N251" t="s">
        <v>1128</v>
      </c>
      <c r="O251" t="s">
        <v>215</v>
      </c>
      <c r="P251" t="s">
        <v>219</v>
      </c>
      <c r="Q251" t="s">
        <v>1129</v>
      </c>
      <c r="R251" s="13">
        <v>321.56799999999998</v>
      </c>
      <c r="S251">
        <v>2</v>
      </c>
      <c r="T251" s="14">
        <v>0.2</v>
      </c>
      <c r="U251" s="13">
        <v>28.1372</v>
      </c>
    </row>
    <row r="252" spans="1:21" ht="15" customHeight="1" x14ac:dyDescent="0.3">
      <c r="A252">
        <v>251</v>
      </c>
      <c r="B252" t="s">
        <v>1130</v>
      </c>
      <c r="C252" s="12">
        <v>42624</v>
      </c>
      <c r="D252" s="12">
        <v>42630</v>
      </c>
      <c r="E252" t="s">
        <v>233</v>
      </c>
      <c r="F252" t="s">
        <v>1131</v>
      </c>
      <c r="G252" t="s">
        <v>1132</v>
      </c>
      <c r="H252" t="s">
        <v>209</v>
      </c>
      <c r="I252" t="s">
        <v>210</v>
      </c>
      <c r="J252" t="s">
        <v>1133</v>
      </c>
      <c r="K252" t="s">
        <v>226</v>
      </c>
      <c r="L252">
        <v>92037</v>
      </c>
      <c r="M252" t="s">
        <v>227</v>
      </c>
      <c r="N252" t="s">
        <v>1134</v>
      </c>
      <c r="O252" t="s">
        <v>229</v>
      </c>
      <c r="P252" t="s">
        <v>273</v>
      </c>
      <c r="Q252" t="s">
        <v>1135</v>
      </c>
      <c r="R252" s="13">
        <v>7.61</v>
      </c>
      <c r="S252">
        <v>1</v>
      </c>
      <c r="T252" s="14">
        <v>0</v>
      </c>
      <c r="U252" s="13">
        <v>3.5767000000000002</v>
      </c>
    </row>
    <row r="253" spans="1:21" ht="15" customHeight="1" x14ac:dyDescent="0.3">
      <c r="A253">
        <v>252</v>
      </c>
      <c r="B253" t="s">
        <v>1130</v>
      </c>
      <c r="C253" s="12">
        <v>42624</v>
      </c>
      <c r="D253" s="12">
        <v>42630</v>
      </c>
      <c r="E253" t="s">
        <v>233</v>
      </c>
      <c r="F253" t="s">
        <v>1131</v>
      </c>
      <c r="G253" t="s">
        <v>1132</v>
      </c>
      <c r="H253" t="s">
        <v>209</v>
      </c>
      <c r="I253" t="s">
        <v>210</v>
      </c>
      <c r="J253" t="s">
        <v>1133</v>
      </c>
      <c r="K253" t="s">
        <v>226</v>
      </c>
      <c r="L253">
        <v>92037</v>
      </c>
      <c r="M253" t="s">
        <v>227</v>
      </c>
      <c r="N253" t="s">
        <v>1092</v>
      </c>
      <c r="O253" t="s">
        <v>254</v>
      </c>
      <c r="P253" t="s">
        <v>344</v>
      </c>
      <c r="Q253" t="s">
        <v>1093</v>
      </c>
      <c r="R253" s="13">
        <v>3347.37</v>
      </c>
      <c r="S253">
        <v>13</v>
      </c>
      <c r="T253" s="14">
        <v>0</v>
      </c>
      <c r="U253" s="13">
        <v>636.00030000000004</v>
      </c>
    </row>
    <row r="254" spans="1:21" ht="15" customHeight="1" x14ac:dyDescent="0.3">
      <c r="A254">
        <v>253</v>
      </c>
      <c r="B254" t="s">
        <v>1136</v>
      </c>
      <c r="C254" s="12">
        <v>42714</v>
      </c>
      <c r="D254" s="12">
        <v>42717</v>
      </c>
      <c r="E254" t="s">
        <v>371</v>
      </c>
      <c r="F254" t="s">
        <v>1137</v>
      </c>
      <c r="G254" t="s">
        <v>1138</v>
      </c>
      <c r="H254" t="s">
        <v>209</v>
      </c>
      <c r="I254" t="s">
        <v>210</v>
      </c>
      <c r="J254" t="s">
        <v>449</v>
      </c>
      <c r="K254" t="s">
        <v>450</v>
      </c>
      <c r="L254">
        <v>10024</v>
      </c>
      <c r="M254" t="s">
        <v>331</v>
      </c>
      <c r="N254" t="s">
        <v>1139</v>
      </c>
      <c r="O254" t="s">
        <v>229</v>
      </c>
      <c r="P254" t="s">
        <v>242</v>
      </c>
      <c r="Q254" t="s">
        <v>1140</v>
      </c>
      <c r="R254" s="13">
        <v>80.58</v>
      </c>
      <c r="S254">
        <v>6</v>
      </c>
      <c r="T254" s="14">
        <v>0</v>
      </c>
      <c r="U254" s="13">
        <v>22.5624</v>
      </c>
    </row>
    <row r="255" spans="1:21" ht="15" customHeight="1" x14ac:dyDescent="0.3">
      <c r="A255">
        <v>254</v>
      </c>
      <c r="B255" t="s">
        <v>1136</v>
      </c>
      <c r="C255" s="12">
        <v>42714</v>
      </c>
      <c r="D255" s="12">
        <v>42717</v>
      </c>
      <c r="E255" t="s">
        <v>371</v>
      </c>
      <c r="F255" t="s">
        <v>1137</v>
      </c>
      <c r="G255" t="s">
        <v>1138</v>
      </c>
      <c r="H255" t="s">
        <v>209</v>
      </c>
      <c r="I255" t="s">
        <v>210</v>
      </c>
      <c r="J255" t="s">
        <v>449</v>
      </c>
      <c r="K255" t="s">
        <v>450</v>
      </c>
      <c r="L255">
        <v>10024</v>
      </c>
      <c r="M255" t="s">
        <v>331</v>
      </c>
      <c r="N255" t="s">
        <v>1141</v>
      </c>
      <c r="O255" t="s">
        <v>229</v>
      </c>
      <c r="P255" t="s">
        <v>356</v>
      </c>
      <c r="Q255" t="s">
        <v>1142</v>
      </c>
      <c r="R255" s="13">
        <v>361.92</v>
      </c>
      <c r="S255">
        <v>4</v>
      </c>
      <c r="T255" s="14">
        <v>0</v>
      </c>
      <c r="U255" s="13">
        <v>162.864</v>
      </c>
    </row>
    <row r="256" spans="1:21" ht="15" customHeight="1" x14ac:dyDescent="0.3">
      <c r="A256">
        <v>255</v>
      </c>
      <c r="B256" t="s">
        <v>1143</v>
      </c>
      <c r="C256" s="12">
        <v>42336</v>
      </c>
      <c r="D256" s="12">
        <v>42342</v>
      </c>
      <c r="E256" t="s">
        <v>233</v>
      </c>
      <c r="F256" t="s">
        <v>1144</v>
      </c>
      <c r="G256" t="s">
        <v>1145</v>
      </c>
      <c r="H256" t="s">
        <v>224</v>
      </c>
      <c r="I256" t="s">
        <v>210</v>
      </c>
      <c r="J256" t="s">
        <v>486</v>
      </c>
      <c r="K256" t="s">
        <v>394</v>
      </c>
      <c r="L256">
        <v>60623</v>
      </c>
      <c r="M256" t="s">
        <v>288</v>
      </c>
      <c r="N256" t="s">
        <v>1113</v>
      </c>
      <c r="O256" t="s">
        <v>215</v>
      </c>
      <c r="P256" t="s">
        <v>248</v>
      </c>
      <c r="Q256" t="s">
        <v>1114</v>
      </c>
      <c r="R256" s="13">
        <v>12.132</v>
      </c>
      <c r="S256">
        <v>9</v>
      </c>
      <c r="T256" s="14">
        <v>0.6</v>
      </c>
      <c r="U256" s="13">
        <v>-8.4923999999999999</v>
      </c>
    </row>
    <row r="257" spans="1:21" ht="15" customHeight="1" x14ac:dyDescent="0.3">
      <c r="A257">
        <v>256</v>
      </c>
      <c r="B257" t="s">
        <v>1143</v>
      </c>
      <c r="C257" s="12">
        <v>42336</v>
      </c>
      <c r="D257" s="12">
        <v>42342</v>
      </c>
      <c r="E257" t="s">
        <v>233</v>
      </c>
      <c r="F257" t="s">
        <v>1144</v>
      </c>
      <c r="G257" t="s">
        <v>1145</v>
      </c>
      <c r="H257" t="s">
        <v>224</v>
      </c>
      <c r="I257" t="s">
        <v>210</v>
      </c>
      <c r="J257" t="s">
        <v>486</v>
      </c>
      <c r="K257" t="s">
        <v>394</v>
      </c>
      <c r="L257">
        <v>60623</v>
      </c>
      <c r="M257" t="s">
        <v>288</v>
      </c>
      <c r="N257" t="s">
        <v>1146</v>
      </c>
      <c r="O257" t="s">
        <v>229</v>
      </c>
      <c r="P257" t="s">
        <v>242</v>
      </c>
      <c r="Q257" t="s">
        <v>1147</v>
      </c>
      <c r="R257" s="13">
        <v>82.367999999999995</v>
      </c>
      <c r="S257">
        <v>2</v>
      </c>
      <c r="T257" s="14">
        <v>0.2</v>
      </c>
      <c r="U257" s="13">
        <v>-19.5624</v>
      </c>
    </row>
    <row r="258" spans="1:21" ht="15" customHeight="1" x14ac:dyDescent="0.3">
      <c r="A258">
        <v>257</v>
      </c>
      <c r="B258" t="s">
        <v>1143</v>
      </c>
      <c r="C258" s="12">
        <v>42336</v>
      </c>
      <c r="D258" s="12">
        <v>42342</v>
      </c>
      <c r="E258" t="s">
        <v>233</v>
      </c>
      <c r="F258" t="s">
        <v>1144</v>
      </c>
      <c r="G258" t="s">
        <v>1145</v>
      </c>
      <c r="H258" t="s">
        <v>224</v>
      </c>
      <c r="I258" t="s">
        <v>210</v>
      </c>
      <c r="J258" t="s">
        <v>486</v>
      </c>
      <c r="K258" t="s">
        <v>394</v>
      </c>
      <c r="L258">
        <v>60623</v>
      </c>
      <c r="M258" t="s">
        <v>288</v>
      </c>
      <c r="N258" t="s">
        <v>819</v>
      </c>
      <c r="O258" t="s">
        <v>229</v>
      </c>
      <c r="P258" t="s">
        <v>242</v>
      </c>
      <c r="Q258" t="s">
        <v>820</v>
      </c>
      <c r="R258" s="13">
        <v>53.92</v>
      </c>
      <c r="S258">
        <v>5</v>
      </c>
      <c r="T258" s="14">
        <v>0.2</v>
      </c>
      <c r="U258" s="13">
        <v>4.0439999999999996</v>
      </c>
    </row>
    <row r="259" spans="1:21" ht="15" customHeight="1" x14ac:dyDescent="0.3">
      <c r="A259">
        <v>258</v>
      </c>
      <c r="B259" t="s">
        <v>1143</v>
      </c>
      <c r="C259" s="12">
        <v>42336</v>
      </c>
      <c r="D259" s="12">
        <v>42342</v>
      </c>
      <c r="E259" t="s">
        <v>233</v>
      </c>
      <c r="F259" t="s">
        <v>1144</v>
      </c>
      <c r="G259" t="s">
        <v>1145</v>
      </c>
      <c r="H259" t="s">
        <v>224</v>
      </c>
      <c r="I259" t="s">
        <v>210</v>
      </c>
      <c r="J259" t="s">
        <v>486</v>
      </c>
      <c r="K259" t="s">
        <v>394</v>
      </c>
      <c r="L259">
        <v>60623</v>
      </c>
      <c r="M259" t="s">
        <v>288</v>
      </c>
      <c r="N259" t="s">
        <v>1148</v>
      </c>
      <c r="O259" t="s">
        <v>254</v>
      </c>
      <c r="P259" t="s">
        <v>255</v>
      </c>
      <c r="Q259" t="s">
        <v>1149</v>
      </c>
      <c r="R259" s="13">
        <v>647.904</v>
      </c>
      <c r="S259">
        <v>6</v>
      </c>
      <c r="T259" s="14">
        <v>0.2</v>
      </c>
      <c r="U259" s="13">
        <v>56.691600000000001</v>
      </c>
    </row>
    <row r="260" spans="1:21" ht="15" customHeight="1" x14ac:dyDescent="0.3">
      <c r="A260">
        <v>259</v>
      </c>
      <c r="B260" t="s">
        <v>1150</v>
      </c>
      <c r="C260" s="12">
        <v>43070</v>
      </c>
      <c r="D260" s="12">
        <v>43072</v>
      </c>
      <c r="E260" t="s">
        <v>206</v>
      </c>
      <c r="F260" t="s">
        <v>1151</v>
      </c>
      <c r="G260" t="s">
        <v>1152</v>
      </c>
      <c r="H260" t="s">
        <v>209</v>
      </c>
      <c r="I260" t="s">
        <v>210</v>
      </c>
      <c r="J260" t="s">
        <v>449</v>
      </c>
      <c r="K260" t="s">
        <v>450</v>
      </c>
      <c r="L260">
        <v>10009</v>
      </c>
      <c r="M260" t="s">
        <v>331</v>
      </c>
      <c r="N260" t="s">
        <v>1153</v>
      </c>
      <c r="O260" t="s">
        <v>254</v>
      </c>
      <c r="P260" t="s">
        <v>344</v>
      </c>
      <c r="Q260" t="s">
        <v>1154</v>
      </c>
      <c r="R260" s="13">
        <v>20.37</v>
      </c>
      <c r="S260">
        <v>3</v>
      </c>
      <c r="T260" s="14">
        <v>0</v>
      </c>
      <c r="U260" s="13">
        <v>6.9257999999999997</v>
      </c>
    </row>
    <row r="261" spans="1:21" ht="15" customHeight="1" x14ac:dyDescent="0.3">
      <c r="A261">
        <v>260</v>
      </c>
      <c r="B261" t="s">
        <v>1150</v>
      </c>
      <c r="C261" s="12">
        <v>43070</v>
      </c>
      <c r="D261" s="12">
        <v>43072</v>
      </c>
      <c r="E261" t="s">
        <v>206</v>
      </c>
      <c r="F261" t="s">
        <v>1151</v>
      </c>
      <c r="G261" t="s">
        <v>1152</v>
      </c>
      <c r="H261" t="s">
        <v>209</v>
      </c>
      <c r="I261" t="s">
        <v>210</v>
      </c>
      <c r="J261" t="s">
        <v>449</v>
      </c>
      <c r="K261" t="s">
        <v>450</v>
      </c>
      <c r="L261">
        <v>10009</v>
      </c>
      <c r="M261" t="s">
        <v>331</v>
      </c>
      <c r="N261" t="s">
        <v>1155</v>
      </c>
      <c r="O261" t="s">
        <v>229</v>
      </c>
      <c r="P261" t="s">
        <v>242</v>
      </c>
      <c r="Q261" t="s">
        <v>1156</v>
      </c>
      <c r="R261" s="13">
        <v>221.55</v>
      </c>
      <c r="S261">
        <v>3</v>
      </c>
      <c r="T261" s="14">
        <v>0</v>
      </c>
      <c r="U261" s="13">
        <v>6.6465000000000201</v>
      </c>
    </row>
    <row r="262" spans="1:21" ht="15" customHeight="1" x14ac:dyDescent="0.3">
      <c r="A262">
        <v>261</v>
      </c>
      <c r="B262" t="s">
        <v>1150</v>
      </c>
      <c r="C262" s="12">
        <v>43070</v>
      </c>
      <c r="D262" s="12">
        <v>43072</v>
      </c>
      <c r="E262" t="s">
        <v>206</v>
      </c>
      <c r="F262" t="s">
        <v>1151</v>
      </c>
      <c r="G262" t="s">
        <v>1152</v>
      </c>
      <c r="H262" t="s">
        <v>209</v>
      </c>
      <c r="I262" t="s">
        <v>210</v>
      </c>
      <c r="J262" t="s">
        <v>449</v>
      </c>
      <c r="K262" t="s">
        <v>450</v>
      </c>
      <c r="L262">
        <v>10009</v>
      </c>
      <c r="M262" t="s">
        <v>331</v>
      </c>
      <c r="N262" t="s">
        <v>1157</v>
      </c>
      <c r="O262" t="s">
        <v>229</v>
      </c>
      <c r="P262" t="s">
        <v>258</v>
      </c>
      <c r="Q262" t="s">
        <v>1158</v>
      </c>
      <c r="R262" s="13">
        <v>17.52</v>
      </c>
      <c r="S262">
        <v>5</v>
      </c>
      <c r="T262" s="14">
        <v>0.2</v>
      </c>
      <c r="U262" s="13">
        <v>6.1319999999999997</v>
      </c>
    </row>
    <row r="263" spans="1:21" ht="15" customHeight="1" x14ac:dyDescent="0.3">
      <c r="A263">
        <v>262</v>
      </c>
      <c r="B263" t="s">
        <v>1159</v>
      </c>
      <c r="C263" s="12">
        <v>42894</v>
      </c>
      <c r="D263" s="12">
        <v>42898</v>
      </c>
      <c r="E263" t="s">
        <v>233</v>
      </c>
      <c r="F263" t="s">
        <v>1160</v>
      </c>
      <c r="G263" t="s">
        <v>1161</v>
      </c>
      <c r="H263" t="s">
        <v>224</v>
      </c>
      <c r="I263" t="s">
        <v>210</v>
      </c>
      <c r="J263" t="s">
        <v>786</v>
      </c>
      <c r="K263" t="s">
        <v>287</v>
      </c>
      <c r="L263">
        <v>77506</v>
      </c>
      <c r="M263" t="s">
        <v>288</v>
      </c>
      <c r="N263" t="s">
        <v>1162</v>
      </c>
      <c r="O263" t="s">
        <v>229</v>
      </c>
      <c r="P263" t="s">
        <v>261</v>
      </c>
      <c r="Q263" t="s">
        <v>1163</v>
      </c>
      <c r="R263" s="13">
        <v>1.6240000000000001</v>
      </c>
      <c r="S263">
        <v>2</v>
      </c>
      <c r="T263" s="14">
        <v>0.8</v>
      </c>
      <c r="U263" s="13">
        <v>-4.4660000000000002</v>
      </c>
    </row>
    <row r="264" spans="1:21" ht="15" customHeight="1" x14ac:dyDescent="0.3">
      <c r="A264">
        <v>263</v>
      </c>
      <c r="B264" t="s">
        <v>1164</v>
      </c>
      <c r="C264" s="12">
        <v>41901</v>
      </c>
      <c r="D264" s="12">
        <v>41903</v>
      </c>
      <c r="E264" t="s">
        <v>206</v>
      </c>
      <c r="F264" t="s">
        <v>1165</v>
      </c>
      <c r="G264" t="s">
        <v>1166</v>
      </c>
      <c r="H264" t="s">
        <v>224</v>
      </c>
      <c r="I264" t="s">
        <v>210</v>
      </c>
      <c r="J264" t="s">
        <v>367</v>
      </c>
      <c r="K264" t="s">
        <v>287</v>
      </c>
      <c r="L264">
        <v>77036</v>
      </c>
      <c r="M264" t="s">
        <v>288</v>
      </c>
      <c r="N264" t="s">
        <v>866</v>
      </c>
      <c r="O264" t="s">
        <v>254</v>
      </c>
      <c r="P264" t="s">
        <v>867</v>
      </c>
      <c r="Q264" t="s">
        <v>868</v>
      </c>
      <c r="R264" s="13">
        <v>3059.982</v>
      </c>
      <c r="S264">
        <v>3</v>
      </c>
      <c r="T264" s="14">
        <v>0.4</v>
      </c>
      <c r="U264" s="13">
        <v>-509.99700000000098</v>
      </c>
    </row>
    <row r="265" spans="1:21" ht="15" customHeight="1" x14ac:dyDescent="0.3">
      <c r="A265">
        <v>264</v>
      </c>
      <c r="B265" t="s">
        <v>1164</v>
      </c>
      <c r="C265" s="12">
        <v>41901</v>
      </c>
      <c r="D265" s="12">
        <v>41903</v>
      </c>
      <c r="E265" t="s">
        <v>206</v>
      </c>
      <c r="F265" t="s">
        <v>1165</v>
      </c>
      <c r="G265" t="s">
        <v>1166</v>
      </c>
      <c r="H265" t="s">
        <v>224</v>
      </c>
      <c r="I265" t="s">
        <v>210</v>
      </c>
      <c r="J265" t="s">
        <v>367</v>
      </c>
      <c r="K265" t="s">
        <v>287</v>
      </c>
      <c r="L265">
        <v>77036</v>
      </c>
      <c r="M265" t="s">
        <v>288</v>
      </c>
      <c r="N265" t="s">
        <v>1167</v>
      </c>
      <c r="O265" t="s">
        <v>254</v>
      </c>
      <c r="P265" t="s">
        <v>867</v>
      </c>
      <c r="Q265" t="s">
        <v>1168</v>
      </c>
      <c r="R265" s="13">
        <v>2519.9580000000001</v>
      </c>
      <c r="S265">
        <v>7</v>
      </c>
      <c r="T265" s="14">
        <v>0.4</v>
      </c>
      <c r="U265" s="13">
        <v>-251.9958</v>
      </c>
    </row>
    <row r="266" spans="1:21" ht="15" customHeight="1" x14ac:dyDescent="0.3">
      <c r="A266">
        <v>265</v>
      </c>
      <c r="B266" t="s">
        <v>1169</v>
      </c>
      <c r="C266" s="12">
        <v>42527</v>
      </c>
      <c r="D266" s="12">
        <v>42534</v>
      </c>
      <c r="E266" t="s">
        <v>233</v>
      </c>
      <c r="F266" t="s">
        <v>1170</v>
      </c>
      <c r="G266" t="s">
        <v>1171</v>
      </c>
      <c r="H266" t="s">
        <v>209</v>
      </c>
      <c r="I266" t="s">
        <v>210</v>
      </c>
      <c r="J266" t="s">
        <v>486</v>
      </c>
      <c r="K266" t="s">
        <v>394</v>
      </c>
      <c r="L266">
        <v>60610</v>
      </c>
      <c r="M266" t="s">
        <v>288</v>
      </c>
      <c r="N266" t="s">
        <v>1172</v>
      </c>
      <c r="O266" t="s">
        <v>254</v>
      </c>
      <c r="P266" t="s">
        <v>255</v>
      </c>
      <c r="Q266" t="s">
        <v>1173</v>
      </c>
      <c r="R266" s="13">
        <v>328.22399999999999</v>
      </c>
      <c r="S266">
        <v>4</v>
      </c>
      <c r="T266" s="14">
        <v>0.2</v>
      </c>
      <c r="U266" s="13">
        <v>28.7196</v>
      </c>
    </row>
    <row r="267" spans="1:21" ht="15" customHeight="1" x14ac:dyDescent="0.3">
      <c r="A267">
        <v>266</v>
      </c>
      <c r="B267" t="s">
        <v>1174</v>
      </c>
      <c r="C267" s="12">
        <v>42318</v>
      </c>
      <c r="D267" s="12">
        <v>42323</v>
      </c>
      <c r="E267" t="s">
        <v>233</v>
      </c>
      <c r="F267" t="s">
        <v>1175</v>
      </c>
      <c r="G267" t="s">
        <v>1176</v>
      </c>
      <c r="H267" t="s">
        <v>209</v>
      </c>
      <c r="I267" t="s">
        <v>210</v>
      </c>
      <c r="J267" t="s">
        <v>1177</v>
      </c>
      <c r="K267" t="s">
        <v>226</v>
      </c>
      <c r="L267">
        <v>94513</v>
      </c>
      <c r="M267" t="s">
        <v>227</v>
      </c>
      <c r="N267" t="s">
        <v>1178</v>
      </c>
      <c r="O267" t="s">
        <v>254</v>
      </c>
      <c r="P267" t="s">
        <v>344</v>
      </c>
      <c r="Q267" t="s">
        <v>1179</v>
      </c>
      <c r="R267" s="13">
        <v>79.900000000000006</v>
      </c>
      <c r="S267">
        <v>2</v>
      </c>
      <c r="T267" s="14">
        <v>0</v>
      </c>
      <c r="U267" s="13">
        <v>35.155999999999999</v>
      </c>
    </row>
    <row r="268" spans="1:21" ht="15" customHeight="1" x14ac:dyDescent="0.3">
      <c r="A268">
        <v>267</v>
      </c>
      <c r="B268" t="s">
        <v>1180</v>
      </c>
      <c r="C268" s="12">
        <v>42902</v>
      </c>
      <c r="D268" s="12">
        <v>42906</v>
      </c>
      <c r="E268" t="s">
        <v>233</v>
      </c>
      <c r="F268" t="s">
        <v>1181</v>
      </c>
      <c r="G268" t="s">
        <v>1182</v>
      </c>
      <c r="H268" t="s">
        <v>224</v>
      </c>
      <c r="I268" t="s">
        <v>210</v>
      </c>
      <c r="J268" t="s">
        <v>1183</v>
      </c>
      <c r="K268" t="s">
        <v>271</v>
      </c>
      <c r="L268">
        <v>27514</v>
      </c>
      <c r="M268" t="s">
        <v>213</v>
      </c>
      <c r="N268" t="s">
        <v>1184</v>
      </c>
      <c r="O268" t="s">
        <v>229</v>
      </c>
      <c r="P268" t="s">
        <v>251</v>
      </c>
      <c r="Q268" t="s">
        <v>1185</v>
      </c>
      <c r="R268" s="13">
        <v>14.016</v>
      </c>
      <c r="S268">
        <v>3</v>
      </c>
      <c r="T268" s="14">
        <v>0.2</v>
      </c>
      <c r="U268" s="13">
        <v>4.7304000000000004</v>
      </c>
    </row>
    <row r="269" spans="1:21" ht="15" customHeight="1" x14ac:dyDescent="0.3">
      <c r="A269">
        <v>268</v>
      </c>
      <c r="B269" t="s">
        <v>1186</v>
      </c>
      <c r="C269" s="12">
        <v>42391</v>
      </c>
      <c r="D269" s="12">
        <v>42397</v>
      </c>
      <c r="E269" t="s">
        <v>233</v>
      </c>
      <c r="F269" t="s">
        <v>570</v>
      </c>
      <c r="G269" t="s">
        <v>571</v>
      </c>
      <c r="H269" t="s">
        <v>209</v>
      </c>
      <c r="I269" t="s">
        <v>210</v>
      </c>
      <c r="J269" t="s">
        <v>1187</v>
      </c>
      <c r="K269" t="s">
        <v>973</v>
      </c>
      <c r="L269">
        <v>7960</v>
      </c>
      <c r="M269" t="s">
        <v>331</v>
      </c>
      <c r="N269" t="s">
        <v>1188</v>
      </c>
      <c r="O269" t="s">
        <v>229</v>
      </c>
      <c r="P269" t="s">
        <v>452</v>
      </c>
      <c r="Q269" t="s">
        <v>1189</v>
      </c>
      <c r="R269" s="13">
        <v>7.56</v>
      </c>
      <c r="S269">
        <v>6</v>
      </c>
      <c r="T269" s="14">
        <v>0</v>
      </c>
      <c r="U269" s="13">
        <v>0.3024</v>
      </c>
    </row>
    <row r="270" spans="1:21" ht="15" customHeight="1" x14ac:dyDescent="0.3">
      <c r="A270">
        <v>269</v>
      </c>
      <c r="B270" t="s">
        <v>1190</v>
      </c>
      <c r="C270" s="12">
        <v>43078</v>
      </c>
      <c r="D270" s="12">
        <v>43082</v>
      </c>
      <c r="E270" t="s">
        <v>233</v>
      </c>
      <c r="F270" t="s">
        <v>1191</v>
      </c>
      <c r="G270" t="s">
        <v>1192</v>
      </c>
      <c r="H270" t="s">
        <v>224</v>
      </c>
      <c r="I270" t="s">
        <v>210</v>
      </c>
      <c r="J270" t="s">
        <v>1193</v>
      </c>
      <c r="K270" t="s">
        <v>681</v>
      </c>
      <c r="L270">
        <v>45231</v>
      </c>
      <c r="M270" t="s">
        <v>331</v>
      </c>
      <c r="N270" t="s">
        <v>1194</v>
      </c>
      <c r="O270" t="s">
        <v>229</v>
      </c>
      <c r="P270" t="s">
        <v>242</v>
      </c>
      <c r="Q270" t="s">
        <v>1195</v>
      </c>
      <c r="R270" s="13">
        <v>37.207999999999998</v>
      </c>
      <c r="S270">
        <v>1</v>
      </c>
      <c r="T270" s="14">
        <v>0.2</v>
      </c>
      <c r="U270" s="13">
        <v>-7.4416000000000002</v>
      </c>
    </row>
    <row r="271" spans="1:21" ht="15" customHeight="1" x14ac:dyDescent="0.3">
      <c r="A271">
        <v>270</v>
      </c>
      <c r="B271" t="s">
        <v>1190</v>
      </c>
      <c r="C271" s="12">
        <v>43078</v>
      </c>
      <c r="D271" s="12">
        <v>43082</v>
      </c>
      <c r="E271" t="s">
        <v>233</v>
      </c>
      <c r="F271" t="s">
        <v>1191</v>
      </c>
      <c r="G271" t="s">
        <v>1192</v>
      </c>
      <c r="H271" t="s">
        <v>224</v>
      </c>
      <c r="I271" t="s">
        <v>210</v>
      </c>
      <c r="J271" t="s">
        <v>1193</v>
      </c>
      <c r="K271" t="s">
        <v>681</v>
      </c>
      <c r="L271">
        <v>45231</v>
      </c>
      <c r="M271" t="s">
        <v>331</v>
      </c>
      <c r="N271" t="s">
        <v>1196</v>
      </c>
      <c r="O271" t="s">
        <v>229</v>
      </c>
      <c r="P271" t="s">
        <v>356</v>
      </c>
      <c r="Q271" t="s">
        <v>1197</v>
      </c>
      <c r="R271" s="13">
        <v>57.576000000000001</v>
      </c>
      <c r="S271">
        <v>3</v>
      </c>
      <c r="T271" s="14">
        <v>0.2</v>
      </c>
      <c r="U271" s="13">
        <v>21.591000000000001</v>
      </c>
    </row>
    <row r="272" spans="1:21" ht="15" customHeight="1" x14ac:dyDescent="0.3">
      <c r="A272">
        <v>271</v>
      </c>
      <c r="B272" t="s">
        <v>1198</v>
      </c>
      <c r="C272" s="12">
        <v>43097</v>
      </c>
      <c r="D272" s="12">
        <v>43102</v>
      </c>
      <c r="E272" t="s">
        <v>206</v>
      </c>
      <c r="F272" t="s">
        <v>1199</v>
      </c>
      <c r="G272" t="s">
        <v>1200</v>
      </c>
      <c r="H272" t="s">
        <v>224</v>
      </c>
      <c r="I272" t="s">
        <v>210</v>
      </c>
      <c r="J272" t="s">
        <v>310</v>
      </c>
      <c r="K272" t="s">
        <v>226</v>
      </c>
      <c r="L272">
        <v>94110</v>
      </c>
      <c r="M272" t="s">
        <v>227</v>
      </c>
      <c r="N272" t="s">
        <v>1201</v>
      </c>
      <c r="O272" t="s">
        <v>229</v>
      </c>
      <c r="P272" t="s">
        <v>242</v>
      </c>
      <c r="Q272" t="s">
        <v>1202</v>
      </c>
      <c r="R272" s="13">
        <v>725.84</v>
      </c>
      <c r="S272">
        <v>4</v>
      </c>
      <c r="T272" s="14">
        <v>0</v>
      </c>
      <c r="U272" s="13">
        <v>210.49359999999999</v>
      </c>
    </row>
    <row r="273" spans="1:21" ht="15" customHeight="1" x14ac:dyDescent="0.3">
      <c r="A273">
        <v>272</v>
      </c>
      <c r="B273" t="s">
        <v>1203</v>
      </c>
      <c r="C273" s="12">
        <v>42215</v>
      </c>
      <c r="D273" s="12">
        <v>42216</v>
      </c>
      <c r="E273" t="s">
        <v>371</v>
      </c>
      <c r="F273" t="s">
        <v>784</v>
      </c>
      <c r="G273" t="s">
        <v>785</v>
      </c>
      <c r="H273" t="s">
        <v>209</v>
      </c>
      <c r="I273" t="s">
        <v>210</v>
      </c>
      <c r="J273" t="s">
        <v>310</v>
      </c>
      <c r="K273" t="s">
        <v>226</v>
      </c>
      <c r="L273">
        <v>94109</v>
      </c>
      <c r="M273" t="s">
        <v>227</v>
      </c>
      <c r="N273" t="s">
        <v>1204</v>
      </c>
      <c r="O273" t="s">
        <v>254</v>
      </c>
      <c r="P273" t="s">
        <v>344</v>
      </c>
      <c r="Q273" t="s">
        <v>1205</v>
      </c>
      <c r="R273" s="13">
        <v>209.93</v>
      </c>
      <c r="S273">
        <v>7</v>
      </c>
      <c r="T273" s="14">
        <v>0</v>
      </c>
      <c r="U273" s="13">
        <v>92.369200000000006</v>
      </c>
    </row>
    <row r="274" spans="1:21" ht="15" customHeight="1" x14ac:dyDescent="0.3">
      <c r="A274">
        <v>273</v>
      </c>
      <c r="B274" t="s">
        <v>1203</v>
      </c>
      <c r="C274" s="12">
        <v>42215</v>
      </c>
      <c r="D274" s="12">
        <v>42216</v>
      </c>
      <c r="E274" t="s">
        <v>371</v>
      </c>
      <c r="F274" t="s">
        <v>784</v>
      </c>
      <c r="G274" t="s">
        <v>785</v>
      </c>
      <c r="H274" t="s">
        <v>209</v>
      </c>
      <c r="I274" t="s">
        <v>210</v>
      </c>
      <c r="J274" t="s">
        <v>310</v>
      </c>
      <c r="K274" t="s">
        <v>226</v>
      </c>
      <c r="L274">
        <v>94109</v>
      </c>
      <c r="M274" t="s">
        <v>227</v>
      </c>
      <c r="N274" t="s">
        <v>1206</v>
      </c>
      <c r="O274" t="s">
        <v>215</v>
      </c>
      <c r="P274" t="s">
        <v>248</v>
      </c>
      <c r="Q274" t="s">
        <v>1207</v>
      </c>
      <c r="R274" s="13">
        <v>5.28</v>
      </c>
      <c r="S274">
        <v>3</v>
      </c>
      <c r="T274" s="14">
        <v>0</v>
      </c>
      <c r="U274" s="13">
        <v>2.3231999999999999</v>
      </c>
    </row>
    <row r="275" spans="1:21" ht="15" customHeight="1" x14ac:dyDescent="0.3">
      <c r="A275">
        <v>274</v>
      </c>
      <c r="B275" t="s">
        <v>1203</v>
      </c>
      <c r="C275" s="12">
        <v>42215</v>
      </c>
      <c r="D275" s="12">
        <v>42216</v>
      </c>
      <c r="E275" t="s">
        <v>371</v>
      </c>
      <c r="F275" t="s">
        <v>784</v>
      </c>
      <c r="G275" t="s">
        <v>785</v>
      </c>
      <c r="H275" t="s">
        <v>209</v>
      </c>
      <c r="I275" t="s">
        <v>210</v>
      </c>
      <c r="J275" t="s">
        <v>310</v>
      </c>
      <c r="K275" t="s">
        <v>226</v>
      </c>
      <c r="L275">
        <v>94109</v>
      </c>
      <c r="M275" t="s">
        <v>227</v>
      </c>
      <c r="N275" t="s">
        <v>1208</v>
      </c>
      <c r="O275" t="s">
        <v>229</v>
      </c>
      <c r="P275" t="s">
        <v>258</v>
      </c>
      <c r="Q275" t="s">
        <v>1209</v>
      </c>
      <c r="R275" s="13">
        <v>10.92</v>
      </c>
      <c r="S275">
        <v>3</v>
      </c>
      <c r="T275" s="14">
        <v>0.2</v>
      </c>
      <c r="U275" s="13">
        <v>4.0949999999999998</v>
      </c>
    </row>
    <row r="276" spans="1:21" ht="15" customHeight="1" x14ac:dyDescent="0.3">
      <c r="A276">
        <v>275</v>
      </c>
      <c r="B276" t="s">
        <v>1210</v>
      </c>
      <c r="C276" s="12">
        <v>42994</v>
      </c>
      <c r="D276" s="12">
        <v>42995</v>
      </c>
      <c r="E276" t="s">
        <v>371</v>
      </c>
      <c r="F276" t="s">
        <v>1211</v>
      </c>
      <c r="G276" t="s">
        <v>1212</v>
      </c>
      <c r="H276" t="s">
        <v>224</v>
      </c>
      <c r="I276" t="s">
        <v>210</v>
      </c>
      <c r="J276" t="s">
        <v>1213</v>
      </c>
      <c r="K276" t="s">
        <v>226</v>
      </c>
      <c r="L276">
        <v>90301</v>
      </c>
      <c r="M276" t="s">
        <v>227</v>
      </c>
      <c r="N276" t="s">
        <v>1214</v>
      </c>
      <c r="O276" t="s">
        <v>229</v>
      </c>
      <c r="P276" t="s">
        <v>273</v>
      </c>
      <c r="Q276" t="s">
        <v>1215</v>
      </c>
      <c r="R276" s="13">
        <v>8.82</v>
      </c>
      <c r="S276">
        <v>2</v>
      </c>
      <c r="T276" s="14">
        <v>0</v>
      </c>
      <c r="U276" s="13">
        <v>4.0571999999999999</v>
      </c>
    </row>
    <row r="277" spans="1:21" ht="15" customHeight="1" x14ac:dyDescent="0.3">
      <c r="A277">
        <v>276</v>
      </c>
      <c r="B277" t="s">
        <v>1210</v>
      </c>
      <c r="C277" s="12">
        <v>42994</v>
      </c>
      <c r="D277" s="12">
        <v>42995</v>
      </c>
      <c r="E277" t="s">
        <v>371</v>
      </c>
      <c r="F277" t="s">
        <v>1211</v>
      </c>
      <c r="G277" t="s">
        <v>1212</v>
      </c>
      <c r="H277" t="s">
        <v>224</v>
      </c>
      <c r="I277" t="s">
        <v>210</v>
      </c>
      <c r="J277" t="s">
        <v>1213</v>
      </c>
      <c r="K277" t="s">
        <v>226</v>
      </c>
      <c r="L277">
        <v>90301</v>
      </c>
      <c r="M277" t="s">
        <v>227</v>
      </c>
      <c r="N277" t="s">
        <v>1216</v>
      </c>
      <c r="O277" t="s">
        <v>229</v>
      </c>
      <c r="P277" t="s">
        <v>251</v>
      </c>
      <c r="Q277" t="s">
        <v>1217</v>
      </c>
      <c r="R277" s="13">
        <v>5.98</v>
      </c>
      <c r="S277">
        <v>1</v>
      </c>
      <c r="T277" s="14">
        <v>0</v>
      </c>
      <c r="U277" s="13">
        <v>1.5548</v>
      </c>
    </row>
    <row r="278" spans="1:21" ht="15" customHeight="1" x14ac:dyDescent="0.3">
      <c r="A278">
        <v>277</v>
      </c>
      <c r="B278" t="s">
        <v>1218</v>
      </c>
      <c r="C278" s="12">
        <v>43021</v>
      </c>
      <c r="D278" s="12">
        <v>43025</v>
      </c>
      <c r="E278" t="s">
        <v>233</v>
      </c>
      <c r="F278" t="s">
        <v>1219</v>
      </c>
      <c r="G278" t="s">
        <v>1220</v>
      </c>
      <c r="H278" t="s">
        <v>224</v>
      </c>
      <c r="I278" t="s">
        <v>210</v>
      </c>
      <c r="J278" t="s">
        <v>329</v>
      </c>
      <c r="K278" t="s">
        <v>330</v>
      </c>
      <c r="L278">
        <v>19140</v>
      </c>
      <c r="M278" t="s">
        <v>331</v>
      </c>
      <c r="N278" t="s">
        <v>1221</v>
      </c>
      <c r="O278" t="s">
        <v>229</v>
      </c>
      <c r="P278" t="s">
        <v>273</v>
      </c>
      <c r="Q278" t="s">
        <v>1222</v>
      </c>
      <c r="R278" s="13">
        <v>11.648</v>
      </c>
      <c r="S278">
        <v>2</v>
      </c>
      <c r="T278" s="14">
        <v>0.2</v>
      </c>
      <c r="U278" s="13">
        <v>4.0768000000000004</v>
      </c>
    </row>
    <row r="279" spans="1:21" ht="15" customHeight="1" x14ac:dyDescent="0.3">
      <c r="A279">
        <v>278</v>
      </c>
      <c r="B279" t="s">
        <v>1218</v>
      </c>
      <c r="C279" s="12">
        <v>43021</v>
      </c>
      <c r="D279" s="12">
        <v>43025</v>
      </c>
      <c r="E279" t="s">
        <v>233</v>
      </c>
      <c r="F279" t="s">
        <v>1219</v>
      </c>
      <c r="G279" t="s">
        <v>1220</v>
      </c>
      <c r="H279" t="s">
        <v>224</v>
      </c>
      <c r="I279" t="s">
        <v>210</v>
      </c>
      <c r="J279" t="s">
        <v>329</v>
      </c>
      <c r="K279" t="s">
        <v>330</v>
      </c>
      <c r="L279">
        <v>19140</v>
      </c>
      <c r="M279" t="s">
        <v>331</v>
      </c>
      <c r="N279" t="s">
        <v>1223</v>
      </c>
      <c r="O279" t="s">
        <v>229</v>
      </c>
      <c r="P279" t="s">
        <v>273</v>
      </c>
      <c r="Q279" t="s">
        <v>1224</v>
      </c>
      <c r="R279" s="13">
        <v>18.175999999999998</v>
      </c>
      <c r="S279">
        <v>4</v>
      </c>
      <c r="T279" s="14">
        <v>0.2</v>
      </c>
      <c r="U279" s="13">
        <v>5.9071999999999996</v>
      </c>
    </row>
    <row r="280" spans="1:21" ht="15" customHeight="1" x14ac:dyDescent="0.3">
      <c r="A280">
        <v>279</v>
      </c>
      <c r="B280" t="s">
        <v>1218</v>
      </c>
      <c r="C280" s="12">
        <v>43021</v>
      </c>
      <c r="D280" s="12">
        <v>43025</v>
      </c>
      <c r="E280" t="s">
        <v>233</v>
      </c>
      <c r="F280" t="s">
        <v>1219</v>
      </c>
      <c r="G280" t="s">
        <v>1220</v>
      </c>
      <c r="H280" t="s">
        <v>224</v>
      </c>
      <c r="I280" t="s">
        <v>210</v>
      </c>
      <c r="J280" t="s">
        <v>329</v>
      </c>
      <c r="K280" t="s">
        <v>330</v>
      </c>
      <c r="L280">
        <v>19140</v>
      </c>
      <c r="M280" t="s">
        <v>331</v>
      </c>
      <c r="N280" t="s">
        <v>1225</v>
      </c>
      <c r="O280" t="s">
        <v>229</v>
      </c>
      <c r="P280" t="s">
        <v>242</v>
      </c>
      <c r="Q280" t="s">
        <v>1226</v>
      </c>
      <c r="R280" s="13">
        <v>59.712000000000003</v>
      </c>
      <c r="S280">
        <v>6</v>
      </c>
      <c r="T280" s="14">
        <v>0.2</v>
      </c>
      <c r="U280" s="13">
        <v>5.9711999999999996</v>
      </c>
    </row>
    <row r="281" spans="1:21" ht="15" customHeight="1" x14ac:dyDescent="0.3">
      <c r="A281">
        <v>280</v>
      </c>
      <c r="B281" t="s">
        <v>1218</v>
      </c>
      <c r="C281" s="12">
        <v>43021</v>
      </c>
      <c r="D281" s="12">
        <v>43025</v>
      </c>
      <c r="E281" t="s">
        <v>233</v>
      </c>
      <c r="F281" t="s">
        <v>1219</v>
      </c>
      <c r="G281" t="s">
        <v>1220</v>
      </c>
      <c r="H281" t="s">
        <v>224</v>
      </c>
      <c r="I281" t="s">
        <v>210</v>
      </c>
      <c r="J281" t="s">
        <v>329</v>
      </c>
      <c r="K281" t="s">
        <v>330</v>
      </c>
      <c r="L281">
        <v>19140</v>
      </c>
      <c r="M281" t="s">
        <v>331</v>
      </c>
      <c r="N281" t="s">
        <v>1227</v>
      </c>
      <c r="O281" t="s">
        <v>229</v>
      </c>
      <c r="P281" t="s">
        <v>230</v>
      </c>
      <c r="Q281" t="s">
        <v>1228</v>
      </c>
      <c r="R281" s="13">
        <v>24.84</v>
      </c>
      <c r="S281">
        <v>3</v>
      </c>
      <c r="T281" s="14">
        <v>0.2</v>
      </c>
      <c r="U281" s="13">
        <v>8.6940000000000008</v>
      </c>
    </row>
    <row r="282" spans="1:21" ht="15" customHeight="1" x14ac:dyDescent="0.3">
      <c r="A282">
        <v>281</v>
      </c>
      <c r="B282" t="s">
        <v>1229</v>
      </c>
      <c r="C282" s="12">
        <v>42273</v>
      </c>
      <c r="D282" s="12">
        <v>42275</v>
      </c>
      <c r="E282" t="s">
        <v>206</v>
      </c>
      <c r="F282" t="s">
        <v>702</v>
      </c>
      <c r="G282" t="s">
        <v>703</v>
      </c>
      <c r="H282" t="s">
        <v>209</v>
      </c>
      <c r="I282" t="s">
        <v>210</v>
      </c>
      <c r="J282" t="s">
        <v>367</v>
      </c>
      <c r="K282" t="s">
        <v>287</v>
      </c>
      <c r="L282">
        <v>77070</v>
      </c>
      <c r="M282" t="s">
        <v>288</v>
      </c>
      <c r="N282" t="s">
        <v>1230</v>
      </c>
      <c r="O282" t="s">
        <v>229</v>
      </c>
      <c r="P282" t="s">
        <v>258</v>
      </c>
      <c r="Q282" t="s">
        <v>1231</v>
      </c>
      <c r="R282" s="13">
        <v>2.08</v>
      </c>
      <c r="S282">
        <v>5</v>
      </c>
      <c r="T282" s="14">
        <v>0.8</v>
      </c>
      <c r="U282" s="13">
        <v>-3.4319999999999999</v>
      </c>
    </row>
    <row r="283" spans="1:21" ht="15" customHeight="1" x14ac:dyDescent="0.3">
      <c r="A283">
        <v>282</v>
      </c>
      <c r="B283" t="s">
        <v>1229</v>
      </c>
      <c r="C283" s="12">
        <v>42273</v>
      </c>
      <c r="D283" s="12">
        <v>42275</v>
      </c>
      <c r="E283" t="s">
        <v>206</v>
      </c>
      <c r="F283" t="s">
        <v>702</v>
      </c>
      <c r="G283" t="s">
        <v>703</v>
      </c>
      <c r="H283" t="s">
        <v>209</v>
      </c>
      <c r="I283" t="s">
        <v>210</v>
      </c>
      <c r="J283" t="s">
        <v>367</v>
      </c>
      <c r="K283" t="s">
        <v>287</v>
      </c>
      <c r="L283">
        <v>77070</v>
      </c>
      <c r="M283" t="s">
        <v>288</v>
      </c>
      <c r="N283" t="s">
        <v>1232</v>
      </c>
      <c r="O283" t="s">
        <v>254</v>
      </c>
      <c r="P283" t="s">
        <v>255</v>
      </c>
      <c r="Q283" t="s">
        <v>1233</v>
      </c>
      <c r="R283" s="13">
        <v>1114.4000000000001</v>
      </c>
      <c r="S283">
        <v>7</v>
      </c>
      <c r="T283" s="14">
        <v>0.2</v>
      </c>
      <c r="U283" s="13">
        <v>376.11</v>
      </c>
    </row>
    <row r="284" spans="1:21" ht="15" customHeight="1" x14ac:dyDescent="0.3">
      <c r="A284">
        <v>283</v>
      </c>
      <c r="B284" t="s">
        <v>1234</v>
      </c>
      <c r="C284" s="12">
        <v>42310</v>
      </c>
      <c r="D284" s="12">
        <v>42314</v>
      </c>
      <c r="E284" t="s">
        <v>233</v>
      </c>
      <c r="F284" t="s">
        <v>1235</v>
      </c>
      <c r="G284" t="s">
        <v>1236</v>
      </c>
      <c r="H284" t="s">
        <v>209</v>
      </c>
      <c r="I284" t="s">
        <v>210</v>
      </c>
      <c r="J284" t="s">
        <v>225</v>
      </c>
      <c r="K284" t="s">
        <v>226</v>
      </c>
      <c r="L284">
        <v>90004</v>
      </c>
      <c r="M284" t="s">
        <v>227</v>
      </c>
      <c r="N284" t="s">
        <v>1237</v>
      </c>
      <c r="O284" t="s">
        <v>215</v>
      </c>
      <c r="P284" t="s">
        <v>239</v>
      </c>
      <c r="Q284" t="s">
        <v>1238</v>
      </c>
      <c r="R284" s="13">
        <v>1038.8399999999999</v>
      </c>
      <c r="S284">
        <v>5</v>
      </c>
      <c r="T284" s="14">
        <v>0.2</v>
      </c>
      <c r="U284" s="13">
        <v>51.942</v>
      </c>
    </row>
    <row r="285" spans="1:21" ht="15" customHeight="1" x14ac:dyDescent="0.3">
      <c r="A285">
        <v>284</v>
      </c>
      <c r="B285" t="s">
        <v>1239</v>
      </c>
      <c r="C285" s="12">
        <v>42273</v>
      </c>
      <c r="D285" s="12">
        <v>42279</v>
      </c>
      <c r="E285" t="s">
        <v>233</v>
      </c>
      <c r="F285" t="s">
        <v>347</v>
      </c>
      <c r="G285" t="s">
        <v>348</v>
      </c>
      <c r="H285" t="s">
        <v>209</v>
      </c>
      <c r="I285" t="s">
        <v>210</v>
      </c>
      <c r="J285" t="s">
        <v>602</v>
      </c>
      <c r="K285" t="s">
        <v>603</v>
      </c>
      <c r="L285">
        <v>97206</v>
      </c>
      <c r="M285" t="s">
        <v>227</v>
      </c>
      <c r="N285" t="s">
        <v>1240</v>
      </c>
      <c r="O285" t="s">
        <v>229</v>
      </c>
      <c r="P285" t="s">
        <v>273</v>
      </c>
      <c r="Q285" t="s">
        <v>369</v>
      </c>
      <c r="R285" s="13">
        <v>141.76</v>
      </c>
      <c r="S285">
        <v>5</v>
      </c>
      <c r="T285" s="14">
        <v>0.2</v>
      </c>
      <c r="U285" s="13">
        <v>47.844000000000001</v>
      </c>
    </row>
    <row r="286" spans="1:21" ht="15" customHeight="1" x14ac:dyDescent="0.3">
      <c r="A286">
        <v>285</v>
      </c>
      <c r="B286" t="s">
        <v>1239</v>
      </c>
      <c r="C286" s="12">
        <v>42273</v>
      </c>
      <c r="D286" s="12">
        <v>42279</v>
      </c>
      <c r="E286" t="s">
        <v>233</v>
      </c>
      <c r="F286" t="s">
        <v>347</v>
      </c>
      <c r="G286" t="s">
        <v>348</v>
      </c>
      <c r="H286" t="s">
        <v>209</v>
      </c>
      <c r="I286" t="s">
        <v>210</v>
      </c>
      <c r="J286" t="s">
        <v>602</v>
      </c>
      <c r="K286" t="s">
        <v>603</v>
      </c>
      <c r="L286">
        <v>97206</v>
      </c>
      <c r="M286" t="s">
        <v>227</v>
      </c>
      <c r="N286" t="s">
        <v>1241</v>
      </c>
      <c r="O286" t="s">
        <v>254</v>
      </c>
      <c r="P286" t="s">
        <v>344</v>
      </c>
      <c r="Q286" t="s">
        <v>1242</v>
      </c>
      <c r="R286" s="13">
        <v>239.8</v>
      </c>
      <c r="S286">
        <v>5</v>
      </c>
      <c r="T286" s="14">
        <v>0.2</v>
      </c>
      <c r="U286" s="13">
        <v>47.96</v>
      </c>
    </row>
    <row r="287" spans="1:21" ht="15" customHeight="1" x14ac:dyDescent="0.3">
      <c r="A287">
        <v>286</v>
      </c>
      <c r="B287" t="s">
        <v>1239</v>
      </c>
      <c r="C287" s="12">
        <v>42273</v>
      </c>
      <c r="D287" s="12">
        <v>42279</v>
      </c>
      <c r="E287" t="s">
        <v>233</v>
      </c>
      <c r="F287" t="s">
        <v>347</v>
      </c>
      <c r="G287" t="s">
        <v>348</v>
      </c>
      <c r="H287" t="s">
        <v>209</v>
      </c>
      <c r="I287" t="s">
        <v>210</v>
      </c>
      <c r="J287" t="s">
        <v>602</v>
      </c>
      <c r="K287" t="s">
        <v>603</v>
      </c>
      <c r="L287">
        <v>97206</v>
      </c>
      <c r="M287" t="s">
        <v>227</v>
      </c>
      <c r="N287" t="s">
        <v>1243</v>
      </c>
      <c r="O287" t="s">
        <v>229</v>
      </c>
      <c r="P287" t="s">
        <v>273</v>
      </c>
      <c r="Q287" t="s">
        <v>1244</v>
      </c>
      <c r="R287" s="13">
        <v>31.103999999999999</v>
      </c>
      <c r="S287">
        <v>6</v>
      </c>
      <c r="T287" s="14">
        <v>0.2</v>
      </c>
      <c r="U287" s="13">
        <v>10.8864</v>
      </c>
    </row>
    <row r="288" spans="1:21" ht="15" customHeight="1" x14ac:dyDescent="0.3">
      <c r="A288">
        <v>287</v>
      </c>
      <c r="B288" t="s">
        <v>1245</v>
      </c>
      <c r="C288" s="12">
        <v>42722</v>
      </c>
      <c r="D288" s="12">
        <v>42724</v>
      </c>
      <c r="E288" t="s">
        <v>206</v>
      </c>
      <c r="F288" t="s">
        <v>1246</v>
      </c>
      <c r="G288" t="s">
        <v>1247</v>
      </c>
      <c r="H288" t="s">
        <v>224</v>
      </c>
      <c r="I288" t="s">
        <v>210</v>
      </c>
      <c r="J288" t="s">
        <v>1248</v>
      </c>
      <c r="K288" t="s">
        <v>237</v>
      </c>
      <c r="L288">
        <v>33319</v>
      </c>
      <c r="M288" t="s">
        <v>213</v>
      </c>
      <c r="N288" t="s">
        <v>1249</v>
      </c>
      <c r="O288" t="s">
        <v>229</v>
      </c>
      <c r="P288" t="s">
        <v>258</v>
      </c>
      <c r="Q288" t="s">
        <v>1250</v>
      </c>
      <c r="R288" s="13">
        <v>254.05799999999999</v>
      </c>
      <c r="S288">
        <v>7</v>
      </c>
      <c r="T288" s="14">
        <v>0.7</v>
      </c>
      <c r="U288" s="13">
        <v>-169.37200000000001</v>
      </c>
    </row>
    <row r="289" spans="1:21" ht="15" customHeight="1" x14ac:dyDescent="0.3">
      <c r="A289">
        <v>288</v>
      </c>
      <c r="B289" t="s">
        <v>1245</v>
      </c>
      <c r="C289" s="12">
        <v>42722</v>
      </c>
      <c r="D289" s="12">
        <v>42724</v>
      </c>
      <c r="E289" t="s">
        <v>206</v>
      </c>
      <c r="F289" t="s">
        <v>1246</v>
      </c>
      <c r="G289" t="s">
        <v>1247</v>
      </c>
      <c r="H289" t="s">
        <v>224</v>
      </c>
      <c r="I289" t="s">
        <v>210</v>
      </c>
      <c r="J289" t="s">
        <v>1248</v>
      </c>
      <c r="K289" t="s">
        <v>237</v>
      </c>
      <c r="L289">
        <v>33319</v>
      </c>
      <c r="M289" t="s">
        <v>213</v>
      </c>
      <c r="N289" t="s">
        <v>898</v>
      </c>
      <c r="O289" t="s">
        <v>229</v>
      </c>
      <c r="P289" t="s">
        <v>261</v>
      </c>
      <c r="Q289" t="s">
        <v>899</v>
      </c>
      <c r="R289" s="13">
        <v>194.52799999999999</v>
      </c>
      <c r="S289">
        <v>2</v>
      </c>
      <c r="T289" s="14">
        <v>0.2</v>
      </c>
      <c r="U289" s="13">
        <v>24.315999999999999</v>
      </c>
    </row>
    <row r="290" spans="1:21" ht="15" customHeight="1" x14ac:dyDescent="0.3">
      <c r="A290">
        <v>289</v>
      </c>
      <c r="B290" t="s">
        <v>1245</v>
      </c>
      <c r="C290" s="12">
        <v>42722</v>
      </c>
      <c r="D290" s="12">
        <v>42724</v>
      </c>
      <c r="E290" t="s">
        <v>206</v>
      </c>
      <c r="F290" t="s">
        <v>1246</v>
      </c>
      <c r="G290" t="s">
        <v>1247</v>
      </c>
      <c r="H290" t="s">
        <v>224</v>
      </c>
      <c r="I290" t="s">
        <v>210</v>
      </c>
      <c r="J290" t="s">
        <v>1248</v>
      </c>
      <c r="K290" t="s">
        <v>237</v>
      </c>
      <c r="L290">
        <v>33319</v>
      </c>
      <c r="M290" t="s">
        <v>213</v>
      </c>
      <c r="N290" t="s">
        <v>1251</v>
      </c>
      <c r="O290" t="s">
        <v>229</v>
      </c>
      <c r="P290" t="s">
        <v>762</v>
      </c>
      <c r="Q290" t="s">
        <v>1252</v>
      </c>
      <c r="R290" s="13">
        <v>961.48</v>
      </c>
      <c r="S290">
        <v>5</v>
      </c>
      <c r="T290" s="14">
        <v>0.2</v>
      </c>
      <c r="U290" s="13">
        <v>-204.31450000000001</v>
      </c>
    </row>
    <row r="291" spans="1:21" ht="15" customHeight="1" x14ac:dyDescent="0.3">
      <c r="A291">
        <v>290</v>
      </c>
      <c r="B291" t="s">
        <v>1253</v>
      </c>
      <c r="C291" s="12">
        <v>42694</v>
      </c>
      <c r="D291" s="12">
        <v>42698</v>
      </c>
      <c r="E291" t="s">
        <v>206</v>
      </c>
      <c r="F291" t="s">
        <v>1254</v>
      </c>
      <c r="G291" t="s">
        <v>1255</v>
      </c>
      <c r="H291" t="s">
        <v>285</v>
      </c>
      <c r="I291" t="s">
        <v>210</v>
      </c>
      <c r="J291" t="s">
        <v>680</v>
      </c>
      <c r="K291" t="s">
        <v>681</v>
      </c>
      <c r="L291">
        <v>43229</v>
      </c>
      <c r="M291" t="s">
        <v>331</v>
      </c>
      <c r="N291" t="s">
        <v>1256</v>
      </c>
      <c r="O291" t="s">
        <v>229</v>
      </c>
      <c r="P291" t="s">
        <v>452</v>
      </c>
      <c r="Q291" t="s">
        <v>1257</v>
      </c>
      <c r="R291" s="13">
        <v>19.096</v>
      </c>
      <c r="S291">
        <v>7</v>
      </c>
      <c r="T291" s="14">
        <v>0.2</v>
      </c>
      <c r="U291" s="13">
        <v>6.6836000000000002</v>
      </c>
    </row>
    <row r="292" spans="1:21" ht="15" customHeight="1" x14ac:dyDescent="0.3">
      <c r="A292">
        <v>291</v>
      </c>
      <c r="B292" t="s">
        <v>1253</v>
      </c>
      <c r="C292" s="12">
        <v>42694</v>
      </c>
      <c r="D292" s="12">
        <v>42698</v>
      </c>
      <c r="E292" t="s">
        <v>206</v>
      </c>
      <c r="F292" t="s">
        <v>1254</v>
      </c>
      <c r="G292" t="s">
        <v>1255</v>
      </c>
      <c r="H292" t="s">
        <v>285</v>
      </c>
      <c r="I292" t="s">
        <v>210</v>
      </c>
      <c r="J292" t="s">
        <v>680</v>
      </c>
      <c r="K292" t="s">
        <v>681</v>
      </c>
      <c r="L292">
        <v>43229</v>
      </c>
      <c r="M292" t="s">
        <v>331</v>
      </c>
      <c r="N292" t="s">
        <v>1258</v>
      </c>
      <c r="O292" t="s">
        <v>229</v>
      </c>
      <c r="P292" t="s">
        <v>230</v>
      </c>
      <c r="Q292" t="s">
        <v>1259</v>
      </c>
      <c r="R292" s="13">
        <v>18.495999999999999</v>
      </c>
      <c r="S292">
        <v>8</v>
      </c>
      <c r="T292" s="14">
        <v>0.2</v>
      </c>
      <c r="U292" s="13">
        <v>6.2423999999999999</v>
      </c>
    </row>
    <row r="293" spans="1:21" ht="15" customHeight="1" x14ac:dyDescent="0.3">
      <c r="A293">
        <v>292</v>
      </c>
      <c r="B293" t="s">
        <v>1253</v>
      </c>
      <c r="C293" s="12">
        <v>42694</v>
      </c>
      <c r="D293" s="12">
        <v>42698</v>
      </c>
      <c r="E293" t="s">
        <v>206</v>
      </c>
      <c r="F293" t="s">
        <v>1254</v>
      </c>
      <c r="G293" t="s">
        <v>1255</v>
      </c>
      <c r="H293" t="s">
        <v>285</v>
      </c>
      <c r="I293" t="s">
        <v>210</v>
      </c>
      <c r="J293" t="s">
        <v>680</v>
      </c>
      <c r="K293" t="s">
        <v>681</v>
      </c>
      <c r="L293">
        <v>43229</v>
      </c>
      <c r="M293" t="s">
        <v>331</v>
      </c>
      <c r="N293" t="s">
        <v>1260</v>
      </c>
      <c r="O293" t="s">
        <v>254</v>
      </c>
      <c r="P293" t="s">
        <v>344</v>
      </c>
      <c r="Q293" t="s">
        <v>1261</v>
      </c>
      <c r="R293" s="13">
        <v>255.98400000000001</v>
      </c>
      <c r="S293">
        <v>2</v>
      </c>
      <c r="T293" s="14">
        <v>0.2</v>
      </c>
      <c r="U293" s="13">
        <v>54.396599999999999</v>
      </c>
    </row>
    <row r="294" spans="1:21" ht="15" customHeight="1" x14ac:dyDescent="0.3">
      <c r="A294">
        <v>293</v>
      </c>
      <c r="B294" t="s">
        <v>1253</v>
      </c>
      <c r="C294" s="12">
        <v>42694</v>
      </c>
      <c r="D294" s="12">
        <v>42698</v>
      </c>
      <c r="E294" t="s">
        <v>206</v>
      </c>
      <c r="F294" t="s">
        <v>1254</v>
      </c>
      <c r="G294" t="s">
        <v>1255</v>
      </c>
      <c r="H294" t="s">
        <v>285</v>
      </c>
      <c r="I294" t="s">
        <v>210</v>
      </c>
      <c r="J294" t="s">
        <v>680</v>
      </c>
      <c r="K294" t="s">
        <v>681</v>
      </c>
      <c r="L294">
        <v>43229</v>
      </c>
      <c r="M294" t="s">
        <v>331</v>
      </c>
      <c r="N294" t="s">
        <v>1262</v>
      </c>
      <c r="O294" t="s">
        <v>215</v>
      </c>
      <c r="P294" t="s">
        <v>216</v>
      </c>
      <c r="Q294" t="s">
        <v>1263</v>
      </c>
      <c r="R294" s="13">
        <v>86.97</v>
      </c>
      <c r="S294">
        <v>3</v>
      </c>
      <c r="T294" s="14">
        <v>0.5</v>
      </c>
      <c r="U294" s="13">
        <v>-48.703200000000002</v>
      </c>
    </row>
    <row r="295" spans="1:21" ht="15" customHeight="1" x14ac:dyDescent="0.3">
      <c r="A295">
        <v>294</v>
      </c>
      <c r="B295" t="s">
        <v>1264</v>
      </c>
      <c r="C295" s="12">
        <v>41999</v>
      </c>
      <c r="D295" s="12">
        <v>42001</v>
      </c>
      <c r="E295" t="s">
        <v>371</v>
      </c>
      <c r="F295" t="s">
        <v>1265</v>
      </c>
      <c r="G295" t="s">
        <v>1266</v>
      </c>
      <c r="H295" t="s">
        <v>224</v>
      </c>
      <c r="I295" t="s">
        <v>210</v>
      </c>
      <c r="J295" t="s">
        <v>1267</v>
      </c>
      <c r="K295" t="s">
        <v>640</v>
      </c>
      <c r="L295">
        <v>80906</v>
      </c>
      <c r="M295" t="s">
        <v>227</v>
      </c>
      <c r="N295" t="s">
        <v>1268</v>
      </c>
      <c r="O295" t="s">
        <v>215</v>
      </c>
      <c r="P295" t="s">
        <v>248</v>
      </c>
      <c r="Q295" t="s">
        <v>1269</v>
      </c>
      <c r="R295" s="13">
        <v>300.416</v>
      </c>
      <c r="S295">
        <v>8</v>
      </c>
      <c r="T295" s="14">
        <v>0.2</v>
      </c>
      <c r="U295" s="13">
        <v>78.859200000000001</v>
      </c>
    </row>
    <row r="296" spans="1:21" ht="15" customHeight="1" x14ac:dyDescent="0.3">
      <c r="A296">
        <v>295</v>
      </c>
      <c r="B296" t="s">
        <v>1264</v>
      </c>
      <c r="C296" s="12">
        <v>41999</v>
      </c>
      <c r="D296" s="12">
        <v>42001</v>
      </c>
      <c r="E296" t="s">
        <v>371</v>
      </c>
      <c r="F296" t="s">
        <v>1265</v>
      </c>
      <c r="G296" t="s">
        <v>1266</v>
      </c>
      <c r="H296" t="s">
        <v>224</v>
      </c>
      <c r="I296" t="s">
        <v>210</v>
      </c>
      <c r="J296" t="s">
        <v>1267</v>
      </c>
      <c r="K296" t="s">
        <v>640</v>
      </c>
      <c r="L296">
        <v>80906</v>
      </c>
      <c r="M296" t="s">
        <v>227</v>
      </c>
      <c r="N296" t="s">
        <v>1270</v>
      </c>
      <c r="O296" t="s">
        <v>215</v>
      </c>
      <c r="P296" t="s">
        <v>219</v>
      </c>
      <c r="Q296" t="s">
        <v>1271</v>
      </c>
      <c r="R296" s="13">
        <v>230.352</v>
      </c>
      <c r="S296">
        <v>3</v>
      </c>
      <c r="T296" s="14">
        <v>0.2</v>
      </c>
      <c r="U296" s="13">
        <v>20.155799999999999</v>
      </c>
    </row>
    <row r="297" spans="1:21" ht="15" customHeight="1" x14ac:dyDescent="0.3">
      <c r="A297">
        <v>296</v>
      </c>
      <c r="B297" t="s">
        <v>1264</v>
      </c>
      <c r="C297" s="12">
        <v>41999</v>
      </c>
      <c r="D297" s="12">
        <v>42001</v>
      </c>
      <c r="E297" t="s">
        <v>371</v>
      </c>
      <c r="F297" t="s">
        <v>1265</v>
      </c>
      <c r="G297" t="s">
        <v>1266</v>
      </c>
      <c r="H297" t="s">
        <v>224</v>
      </c>
      <c r="I297" t="s">
        <v>210</v>
      </c>
      <c r="J297" t="s">
        <v>1267</v>
      </c>
      <c r="K297" t="s">
        <v>640</v>
      </c>
      <c r="L297">
        <v>80906</v>
      </c>
      <c r="M297" t="s">
        <v>227</v>
      </c>
      <c r="N297" t="s">
        <v>1272</v>
      </c>
      <c r="O297" t="s">
        <v>215</v>
      </c>
      <c r="P297" t="s">
        <v>248</v>
      </c>
      <c r="Q297" t="s">
        <v>1273</v>
      </c>
      <c r="R297" s="13">
        <v>218.352</v>
      </c>
      <c r="S297">
        <v>3</v>
      </c>
      <c r="T297" s="14">
        <v>0.2</v>
      </c>
      <c r="U297" s="13">
        <v>-24.564599999999999</v>
      </c>
    </row>
    <row r="298" spans="1:21" ht="15" customHeight="1" x14ac:dyDescent="0.3">
      <c r="A298">
        <v>297</v>
      </c>
      <c r="B298" t="s">
        <v>1264</v>
      </c>
      <c r="C298" s="12">
        <v>41999</v>
      </c>
      <c r="D298" s="12">
        <v>42001</v>
      </c>
      <c r="E298" t="s">
        <v>371</v>
      </c>
      <c r="F298" t="s">
        <v>1265</v>
      </c>
      <c r="G298" t="s">
        <v>1266</v>
      </c>
      <c r="H298" t="s">
        <v>224</v>
      </c>
      <c r="I298" t="s">
        <v>210</v>
      </c>
      <c r="J298" t="s">
        <v>1267</v>
      </c>
      <c r="K298" t="s">
        <v>640</v>
      </c>
      <c r="L298">
        <v>80906</v>
      </c>
      <c r="M298" t="s">
        <v>227</v>
      </c>
      <c r="N298" t="s">
        <v>1274</v>
      </c>
      <c r="O298" t="s">
        <v>229</v>
      </c>
      <c r="P298" t="s">
        <v>258</v>
      </c>
      <c r="Q298" t="s">
        <v>1275</v>
      </c>
      <c r="R298" s="13">
        <v>78.599999999999994</v>
      </c>
      <c r="S298">
        <v>5</v>
      </c>
      <c r="T298" s="14">
        <v>0.7</v>
      </c>
      <c r="U298" s="13">
        <v>-62.88</v>
      </c>
    </row>
    <row r="299" spans="1:21" ht="15" customHeight="1" x14ac:dyDescent="0.3">
      <c r="A299">
        <v>298</v>
      </c>
      <c r="B299" t="s">
        <v>1264</v>
      </c>
      <c r="C299" s="12">
        <v>41999</v>
      </c>
      <c r="D299" s="12">
        <v>42001</v>
      </c>
      <c r="E299" t="s">
        <v>371</v>
      </c>
      <c r="F299" t="s">
        <v>1265</v>
      </c>
      <c r="G299" t="s">
        <v>1266</v>
      </c>
      <c r="H299" t="s">
        <v>224</v>
      </c>
      <c r="I299" t="s">
        <v>210</v>
      </c>
      <c r="J299" t="s">
        <v>1267</v>
      </c>
      <c r="K299" t="s">
        <v>640</v>
      </c>
      <c r="L299">
        <v>80906</v>
      </c>
      <c r="M299" t="s">
        <v>227</v>
      </c>
      <c r="N299" t="s">
        <v>1276</v>
      </c>
      <c r="O299" t="s">
        <v>229</v>
      </c>
      <c r="P299" t="s">
        <v>452</v>
      </c>
      <c r="Q299" t="s">
        <v>1277</v>
      </c>
      <c r="R299" s="13">
        <v>27.552</v>
      </c>
      <c r="S299">
        <v>3</v>
      </c>
      <c r="T299" s="14">
        <v>0.2</v>
      </c>
      <c r="U299" s="13">
        <v>9.2988</v>
      </c>
    </row>
    <row r="300" spans="1:21" ht="15" customHeight="1" x14ac:dyDescent="0.3">
      <c r="A300">
        <v>299</v>
      </c>
      <c r="B300" t="s">
        <v>1278</v>
      </c>
      <c r="C300" s="12">
        <v>42671</v>
      </c>
      <c r="D300" s="12">
        <v>42677</v>
      </c>
      <c r="E300" t="s">
        <v>233</v>
      </c>
      <c r="F300" t="s">
        <v>765</v>
      </c>
      <c r="G300" t="s">
        <v>766</v>
      </c>
      <c r="H300" t="s">
        <v>224</v>
      </c>
      <c r="I300" t="s">
        <v>210</v>
      </c>
      <c r="J300" t="s">
        <v>1279</v>
      </c>
      <c r="K300" t="s">
        <v>973</v>
      </c>
      <c r="L300">
        <v>7109</v>
      </c>
      <c r="M300" t="s">
        <v>331</v>
      </c>
      <c r="N300" t="s">
        <v>1280</v>
      </c>
      <c r="O300" t="s">
        <v>229</v>
      </c>
      <c r="P300" t="s">
        <v>273</v>
      </c>
      <c r="Q300" t="s">
        <v>1281</v>
      </c>
      <c r="R300" s="13">
        <v>32.4</v>
      </c>
      <c r="S300">
        <v>5</v>
      </c>
      <c r="T300" s="14">
        <v>0</v>
      </c>
      <c r="U300" s="13">
        <v>15.552</v>
      </c>
    </row>
    <row r="301" spans="1:21" ht="15" customHeight="1" x14ac:dyDescent="0.3">
      <c r="A301">
        <v>300</v>
      </c>
      <c r="B301" t="s">
        <v>1278</v>
      </c>
      <c r="C301" s="12">
        <v>42671</v>
      </c>
      <c r="D301" s="12">
        <v>42677</v>
      </c>
      <c r="E301" t="s">
        <v>233</v>
      </c>
      <c r="F301" t="s">
        <v>765</v>
      </c>
      <c r="G301" t="s">
        <v>766</v>
      </c>
      <c r="H301" t="s">
        <v>224</v>
      </c>
      <c r="I301" t="s">
        <v>210</v>
      </c>
      <c r="J301" t="s">
        <v>1279</v>
      </c>
      <c r="K301" t="s">
        <v>973</v>
      </c>
      <c r="L301">
        <v>7109</v>
      </c>
      <c r="M301" t="s">
        <v>331</v>
      </c>
      <c r="N301" t="s">
        <v>1282</v>
      </c>
      <c r="O301" t="s">
        <v>229</v>
      </c>
      <c r="P301" t="s">
        <v>242</v>
      </c>
      <c r="Q301" t="s">
        <v>1283</v>
      </c>
      <c r="R301" s="13">
        <v>1082.48</v>
      </c>
      <c r="S301">
        <v>8</v>
      </c>
      <c r="T301" s="14">
        <v>0</v>
      </c>
      <c r="U301" s="13">
        <v>10.824800000000099</v>
      </c>
    </row>
    <row r="302" spans="1:21" ht="15" customHeight="1" x14ac:dyDescent="0.3">
      <c r="A302">
        <v>301</v>
      </c>
      <c r="B302" t="s">
        <v>1278</v>
      </c>
      <c r="C302" s="12">
        <v>42671</v>
      </c>
      <c r="D302" s="12">
        <v>42677</v>
      </c>
      <c r="E302" t="s">
        <v>233</v>
      </c>
      <c r="F302" t="s">
        <v>765</v>
      </c>
      <c r="G302" t="s">
        <v>766</v>
      </c>
      <c r="H302" t="s">
        <v>224</v>
      </c>
      <c r="I302" t="s">
        <v>210</v>
      </c>
      <c r="J302" t="s">
        <v>1279</v>
      </c>
      <c r="K302" t="s">
        <v>973</v>
      </c>
      <c r="L302">
        <v>7109</v>
      </c>
      <c r="M302" t="s">
        <v>331</v>
      </c>
      <c r="N302" t="s">
        <v>1284</v>
      </c>
      <c r="O302" t="s">
        <v>229</v>
      </c>
      <c r="P302" t="s">
        <v>273</v>
      </c>
      <c r="Q302" t="s">
        <v>1285</v>
      </c>
      <c r="R302" s="13">
        <v>56.91</v>
      </c>
      <c r="S302">
        <v>3</v>
      </c>
      <c r="T302" s="14">
        <v>0</v>
      </c>
      <c r="U302" s="13">
        <v>27.316800000000001</v>
      </c>
    </row>
    <row r="303" spans="1:21" ht="15" customHeight="1" x14ac:dyDescent="0.3">
      <c r="A303">
        <v>302</v>
      </c>
      <c r="B303" t="s">
        <v>1278</v>
      </c>
      <c r="C303" s="12">
        <v>42671</v>
      </c>
      <c r="D303" s="12">
        <v>42677</v>
      </c>
      <c r="E303" t="s">
        <v>233</v>
      </c>
      <c r="F303" t="s">
        <v>765</v>
      </c>
      <c r="G303" t="s">
        <v>766</v>
      </c>
      <c r="H303" t="s">
        <v>224</v>
      </c>
      <c r="I303" t="s">
        <v>210</v>
      </c>
      <c r="J303" t="s">
        <v>1279</v>
      </c>
      <c r="K303" t="s">
        <v>973</v>
      </c>
      <c r="L303">
        <v>7109</v>
      </c>
      <c r="M303" t="s">
        <v>331</v>
      </c>
      <c r="N303" t="s">
        <v>1286</v>
      </c>
      <c r="O303" t="s">
        <v>215</v>
      </c>
      <c r="P303" t="s">
        <v>248</v>
      </c>
      <c r="Q303" t="s">
        <v>1287</v>
      </c>
      <c r="R303" s="13">
        <v>77.599999999999994</v>
      </c>
      <c r="S303">
        <v>4</v>
      </c>
      <c r="T303" s="14">
        <v>0</v>
      </c>
      <c r="U303" s="13">
        <v>38.024000000000001</v>
      </c>
    </row>
    <row r="304" spans="1:21" ht="15" customHeight="1" x14ac:dyDescent="0.3">
      <c r="A304">
        <v>303</v>
      </c>
      <c r="B304" t="s">
        <v>1278</v>
      </c>
      <c r="C304" s="12">
        <v>42671</v>
      </c>
      <c r="D304" s="12">
        <v>42677</v>
      </c>
      <c r="E304" t="s">
        <v>233</v>
      </c>
      <c r="F304" t="s">
        <v>765</v>
      </c>
      <c r="G304" t="s">
        <v>766</v>
      </c>
      <c r="H304" t="s">
        <v>224</v>
      </c>
      <c r="I304" t="s">
        <v>210</v>
      </c>
      <c r="J304" t="s">
        <v>1279</v>
      </c>
      <c r="K304" t="s">
        <v>973</v>
      </c>
      <c r="L304">
        <v>7109</v>
      </c>
      <c r="M304" t="s">
        <v>331</v>
      </c>
      <c r="N304" t="s">
        <v>1288</v>
      </c>
      <c r="O304" t="s">
        <v>229</v>
      </c>
      <c r="P304" t="s">
        <v>258</v>
      </c>
      <c r="Q304" t="s">
        <v>1289</v>
      </c>
      <c r="R304" s="13">
        <v>14.28</v>
      </c>
      <c r="S304">
        <v>1</v>
      </c>
      <c r="T304" s="14">
        <v>0</v>
      </c>
      <c r="U304" s="13">
        <v>6.5688000000000004</v>
      </c>
    </row>
    <row r="305" spans="1:21" ht="15" customHeight="1" x14ac:dyDescent="0.3">
      <c r="A305">
        <v>304</v>
      </c>
      <c r="B305" t="s">
        <v>1290</v>
      </c>
      <c r="C305" s="12">
        <v>43058</v>
      </c>
      <c r="D305" s="12">
        <v>43062</v>
      </c>
      <c r="E305" t="s">
        <v>233</v>
      </c>
      <c r="F305" t="s">
        <v>1044</v>
      </c>
      <c r="G305" t="s">
        <v>1045</v>
      </c>
      <c r="H305" t="s">
        <v>209</v>
      </c>
      <c r="I305" t="s">
        <v>210</v>
      </c>
      <c r="J305" t="s">
        <v>486</v>
      </c>
      <c r="K305" t="s">
        <v>394</v>
      </c>
      <c r="L305">
        <v>60623</v>
      </c>
      <c r="M305" t="s">
        <v>288</v>
      </c>
      <c r="N305" t="s">
        <v>1291</v>
      </c>
      <c r="O305" t="s">
        <v>215</v>
      </c>
      <c r="P305" t="s">
        <v>239</v>
      </c>
      <c r="Q305" t="s">
        <v>1292</v>
      </c>
      <c r="R305" s="13">
        <v>219.07499999999999</v>
      </c>
      <c r="S305">
        <v>3</v>
      </c>
      <c r="T305" s="14">
        <v>0.5</v>
      </c>
      <c r="U305" s="13">
        <v>-131.44499999999999</v>
      </c>
    </row>
    <row r="306" spans="1:21" ht="15" customHeight="1" x14ac:dyDescent="0.3">
      <c r="A306">
        <v>305</v>
      </c>
      <c r="B306" t="s">
        <v>1293</v>
      </c>
      <c r="C306" s="12">
        <v>42128</v>
      </c>
      <c r="D306" s="12">
        <v>42133</v>
      </c>
      <c r="E306" t="s">
        <v>206</v>
      </c>
      <c r="F306" t="s">
        <v>1294</v>
      </c>
      <c r="G306" t="s">
        <v>1295</v>
      </c>
      <c r="H306" t="s">
        <v>224</v>
      </c>
      <c r="I306" t="s">
        <v>210</v>
      </c>
      <c r="J306" t="s">
        <v>449</v>
      </c>
      <c r="K306" t="s">
        <v>450</v>
      </c>
      <c r="L306">
        <v>10024</v>
      </c>
      <c r="M306" t="s">
        <v>331</v>
      </c>
      <c r="N306" t="s">
        <v>1296</v>
      </c>
      <c r="O306" t="s">
        <v>215</v>
      </c>
      <c r="P306" t="s">
        <v>248</v>
      </c>
      <c r="Q306" t="s">
        <v>1297</v>
      </c>
      <c r="R306" s="13">
        <v>26.8</v>
      </c>
      <c r="S306">
        <v>2</v>
      </c>
      <c r="T306" s="14">
        <v>0</v>
      </c>
      <c r="U306" s="13">
        <v>12.864000000000001</v>
      </c>
    </row>
    <row r="307" spans="1:21" ht="15" customHeight="1" x14ac:dyDescent="0.3">
      <c r="A307">
        <v>306</v>
      </c>
      <c r="B307" t="s">
        <v>1298</v>
      </c>
      <c r="C307" s="12">
        <v>42003</v>
      </c>
      <c r="D307" s="12">
        <v>42008</v>
      </c>
      <c r="E307" t="s">
        <v>233</v>
      </c>
      <c r="F307" t="s">
        <v>526</v>
      </c>
      <c r="G307" t="s">
        <v>527</v>
      </c>
      <c r="H307" t="s">
        <v>224</v>
      </c>
      <c r="I307" t="s">
        <v>210</v>
      </c>
      <c r="J307" t="s">
        <v>1299</v>
      </c>
      <c r="K307" t="s">
        <v>421</v>
      </c>
      <c r="L307">
        <v>48180</v>
      </c>
      <c r="M307" t="s">
        <v>288</v>
      </c>
      <c r="N307" t="s">
        <v>1300</v>
      </c>
      <c r="O307" t="s">
        <v>229</v>
      </c>
      <c r="P307" t="s">
        <v>251</v>
      </c>
      <c r="Q307" t="s">
        <v>1301</v>
      </c>
      <c r="R307" s="13">
        <v>9.84</v>
      </c>
      <c r="S307">
        <v>3</v>
      </c>
      <c r="T307" s="14">
        <v>0</v>
      </c>
      <c r="U307" s="13">
        <v>2.8536000000000001</v>
      </c>
    </row>
    <row r="308" spans="1:21" ht="15" customHeight="1" x14ac:dyDescent="0.3">
      <c r="A308">
        <v>307</v>
      </c>
      <c r="B308" t="s">
        <v>1302</v>
      </c>
      <c r="C308" s="12">
        <v>41791</v>
      </c>
      <c r="D308" s="12">
        <v>41796</v>
      </c>
      <c r="E308" t="s">
        <v>233</v>
      </c>
      <c r="F308" t="s">
        <v>1303</v>
      </c>
      <c r="G308" t="s">
        <v>1304</v>
      </c>
      <c r="H308" t="s">
        <v>285</v>
      </c>
      <c r="I308" t="s">
        <v>210</v>
      </c>
      <c r="J308" t="s">
        <v>1305</v>
      </c>
      <c r="K308" t="s">
        <v>973</v>
      </c>
      <c r="L308">
        <v>8701</v>
      </c>
      <c r="M308" t="s">
        <v>331</v>
      </c>
      <c r="N308" t="s">
        <v>1306</v>
      </c>
      <c r="O308" t="s">
        <v>229</v>
      </c>
      <c r="P308" t="s">
        <v>258</v>
      </c>
      <c r="Q308" t="s">
        <v>1307</v>
      </c>
      <c r="R308" s="13">
        <v>45.48</v>
      </c>
      <c r="S308">
        <v>3</v>
      </c>
      <c r="T308" s="14">
        <v>0</v>
      </c>
      <c r="U308" s="13">
        <v>20.9208</v>
      </c>
    </row>
    <row r="309" spans="1:21" ht="15" customHeight="1" x14ac:dyDescent="0.3">
      <c r="A309">
        <v>308</v>
      </c>
      <c r="B309" t="s">
        <v>1302</v>
      </c>
      <c r="C309" s="12">
        <v>41791</v>
      </c>
      <c r="D309" s="12">
        <v>41796</v>
      </c>
      <c r="E309" t="s">
        <v>233</v>
      </c>
      <c r="F309" t="s">
        <v>1303</v>
      </c>
      <c r="G309" t="s">
        <v>1304</v>
      </c>
      <c r="H309" t="s">
        <v>285</v>
      </c>
      <c r="I309" t="s">
        <v>210</v>
      </c>
      <c r="J309" t="s">
        <v>1305</v>
      </c>
      <c r="K309" t="s">
        <v>973</v>
      </c>
      <c r="L309">
        <v>8701</v>
      </c>
      <c r="M309" t="s">
        <v>331</v>
      </c>
      <c r="N309" t="s">
        <v>1308</v>
      </c>
      <c r="O309" t="s">
        <v>229</v>
      </c>
      <c r="P309" t="s">
        <v>251</v>
      </c>
      <c r="Q309" t="s">
        <v>1309</v>
      </c>
      <c r="R309" s="13">
        <v>289.2</v>
      </c>
      <c r="S309">
        <v>6</v>
      </c>
      <c r="T309" s="14">
        <v>0</v>
      </c>
      <c r="U309" s="13">
        <v>83.867999999999995</v>
      </c>
    </row>
    <row r="310" spans="1:21" ht="15" customHeight="1" x14ac:dyDescent="0.3">
      <c r="A310">
        <v>309</v>
      </c>
      <c r="B310" t="s">
        <v>1310</v>
      </c>
      <c r="C310" s="12">
        <v>42840</v>
      </c>
      <c r="D310" s="12">
        <v>42842</v>
      </c>
      <c r="E310" t="s">
        <v>371</v>
      </c>
      <c r="F310" t="s">
        <v>1311</v>
      </c>
      <c r="G310" t="s">
        <v>1312</v>
      </c>
      <c r="H310" t="s">
        <v>209</v>
      </c>
      <c r="I310" t="s">
        <v>210</v>
      </c>
      <c r="J310" t="s">
        <v>1313</v>
      </c>
      <c r="K310" t="s">
        <v>502</v>
      </c>
      <c r="L310">
        <v>22204</v>
      </c>
      <c r="M310" t="s">
        <v>213</v>
      </c>
      <c r="N310" t="s">
        <v>1314</v>
      </c>
      <c r="O310" t="s">
        <v>229</v>
      </c>
      <c r="P310" t="s">
        <v>251</v>
      </c>
      <c r="Q310" t="s">
        <v>1315</v>
      </c>
      <c r="R310" s="13">
        <v>4.8899999999999997</v>
      </c>
      <c r="S310">
        <v>1</v>
      </c>
      <c r="T310" s="14">
        <v>0</v>
      </c>
      <c r="U310" s="13">
        <v>2.0049000000000001</v>
      </c>
    </row>
    <row r="311" spans="1:21" ht="15" customHeight="1" x14ac:dyDescent="0.3">
      <c r="A311">
        <v>310</v>
      </c>
      <c r="B311" t="s">
        <v>1316</v>
      </c>
      <c r="C311" s="12">
        <v>42625</v>
      </c>
      <c r="D311" s="12">
        <v>42627</v>
      </c>
      <c r="E311" t="s">
        <v>206</v>
      </c>
      <c r="F311" t="s">
        <v>1317</v>
      </c>
      <c r="G311" t="s">
        <v>1318</v>
      </c>
      <c r="H311" t="s">
        <v>224</v>
      </c>
      <c r="I311" t="s">
        <v>210</v>
      </c>
      <c r="J311" t="s">
        <v>1319</v>
      </c>
      <c r="K311" t="s">
        <v>640</v>
      </c>
      <c r="L311">
        <v>80004</v>
      </c>
      <c r="M311" t="s">
        <v>227</v>
      </c>
      <c r="N311" t="s">
        <v>1320</v>
      </c>
      <c r="O311" t="s">
        <v>215</v>
      </c>
      <c r="P311" t="s">
        <v>248</v>
      </c>
      <c r="Q311" t="s">
        <v>1321</v>
      </c>
      <c r="R311" s="13">
        <v>15.135999999999999</v>
      </c>
      <c r="S311">
        <v>4</v>
      </c>
      <c r="T311" s="14">
        <v>0.2</v>
      </c>
      <c r="U311" s="13">
        <v>3.5948000000000002</v>
      </c>
    </row>
    <row r="312" spans="1:21" ht="15" customHeight="1" x14ac:dyDescent="0.3">
      <c r="A312">
        <v>311</v>
      </c>
      <c r="B312" t="s">
        <v>1316</v>
      </c>
      <c r="C312" s="12">
        <v>42625</v>
      </c>
      <c r="D312" s="12">
        <v>42627</v>
      </c>
      <c r="E312" t="s">
        <v>206</v>
      </c>
      <c r="F312" t="s">
        <v>1317</v>
      </c>
      <c r="G312" t="s">
        <v>1318</v>
      </c>
      <c r="H312" t="s">
        <v>224</v>
      </c>
      <c r="I312" t="s">
        <v>210</v>
      </c>
      <c r="J312" t="s">
        <v>1319</v>
      </c>
      <c r="K312" t="s">
        <v>640</v>
      </c>
      <c r="L312">
        <v>80004</v>
      </c>
      <c r="M312" t="s">
        <v>227</v>
      </c>
      <c r="N312" t="s">
        <v>1322</v>
      </c>
      <c r="O312" t="s">
        <v>215</v>
      </c>
      <c r="P312" t="s">
        <v>219</v>
      </c>
      <c r="Q312" t="s">
        <v>1323</v>
      </c>
      <c r="R312" s="13">
        <v>466.76799999999997</v>
      </c>
      <c r="S312">
        <v>2</v>
      </c>
      <c r="T312" s="14">
        <v>0.2</v>
      </c>
      <c r="U312" s="13">
        <v>52.511400000000002</v>
      </c>
    </row>
    <row r="313" spans="1:21" ht="15" customHeight="1" x14ac:dyDescent="0.3">
      <c r="A313">
        <v>312</v>
      </c>
      <c r="B313" t="s">
        <v>1316</v>
      </c>
      <c r="C313" s="12">
        <v>42625</v>
      </c>
      <c r="D313" s="12">
        <v>42627</v>
      </c>
      <c r="E313" t="s">
        <v>206</v>
      </c>
      <c r="F313" t="s">
        <v>1317</v>
      </c>
      <c r="G313" t="s">
        <v>1318</v>
      </c>
      <c r="H313" t="s">
        <v>224</v>
      </c>
      <c r="I313" t="s">
        <v>210</v>
      </c>
      <c r="J313" t="s">
        <v>1319</v>
      </c>
      <c r="K313" t="s">
        <v>640</v>
      </c>
      <c r="L313">
        <v>80004</v>
      </c>
      <c r="M313" t="s">
        <v>227</v>
      </c>
      <c r="N313" t="s">
        <v>1324</v>
      </c>
      <c r="O313" t="s">
        <v>215</v>
      </c>
      <c r="P313" t="s">
        <v>248</v>
      </c>
      <c r="Q313" t="s">
        <v>1325</v>
      </c>
      <c r="R313" s="13">
        <v>15.231999999999999</v>
      </c>
      <c r="S313">
        <v>1</v>
      </c>
      <c r="T313" s="14">
        <v>0.2</v>
      </c>
      <c r="U313" s="13">
        <v>1.7136</v>
      </c>
    </row>
    <row r="314" spans="1:21" ht="15" customHeight="1" x14ac:dyDescent="0.3">
      <c r="A314">
        <v>313</v>
      </c>
      <c r="B314" t="s">
        <v>1316</v>
      </c>
      <c r="C314" s="12">
        <v>42625</v>
      </c>
      <c r="D314" s="12">
        <v>42627</v>
      </c>
      <c r="E314" t="s">
        <v>206</v>
      </c>
      <c r="F314" t="s">
        <v>1317</v>
      </c>
      <c r="G314" t="s">
        <v>1318</v>
      </c>
      <c r="H314" t="s">
        <v>224</v>
      </c>
      <c r="I314" t="s">
        <v>210</v>
      </c>
      <c r="J314" t="s">
        <v>1319</v>
      </c>
      <c r="K314" t="s">
        <v>640</v>
      </c>
      <c r="L314">
        <v>80004</v>
      </c>
      <c r="M314" t="s">
        <v>227</v>
      </c>
      <c r="N314" t="s">
        <v>1326</v>
      </c>
      <c r="O314" t="s">
        <v>229</v>
      </c>
      <c r="P314" t="s">
        <v>230</v>
      </c>
      <c r="Q314" t="s">
        <v>1327</v>
      </c>
      <c r="R314" s="13">
        <v>6.2640000000000002</v>
      </c>
      <c r="S314">
        <v>3</v>
      </c>
      <c r="T314" s="14">
        <v>0.2</v>
      </c>
      <c r="U314" s="13">
        <v>2.0358000000000001</v>
      </c>
    </row>
    <row r="315" spans="1:21" ht="15" customHeight="1" x14ac:dyDescent="0.3">
      <c r="A315">
        <v>314</v>
      </c>
      <c r="B315" t="s">
        <v>1328</v>
      </c>
      <c r="C315" s="12">
        <v>41909</v>
      </c>
      <c r="D315" s="12">
        <v>41915</v>
      </c>
      <c r="E315" t="s">
        <v>233</v>
      </c>
      <c r="F315" t="s">
        <v>1329</v>
      </c>
      <c r="G315" t="s">
        <v>1330</v>
      </c>
      <c r="H315" t="s">
        <v>224</v>
      </c>
      <c r="I315" t="s">
        <v>210</v>
      </c>
      <c r="J315" t="s">
        <v>1331</v>
      </c>
      <c r="K315" t="s">
        <v>973</v>
      </c>
      <c r="L315">
        <v>7601</v>
      </c>
      <c r="M315" t="s">
        <v>331</v>
      </c>
      <c r="N315" t="s">
        <v>1332</v>
      </c>
      <c r="O315" t="s">
        <v>215</v>
      </c>
      <c r="P315" t="s">
        <v>248</v>
      </c>
      <c r="Q315" t="s">
        <v>1333</v>
      </c>
      <c r="R315" s="13">
        <v>87.54</v>
      </c>
      <c r="S315">
        <v>3</v>
      </c>
      <c r="T315" s="14">
        <v>0</v>
      </c>
      <c r="U315" s="13">
        <v>37.642200000000003</v>
      </c>
    </row>
    <row r="316" spans="1:21" ht="15" customHeight="1" x14ac:dyDescent="0.3">
      <c r="A316">
        <v>315</v>
      </c>
      <c r="B316" t="s">
        <v>1334</v>
      </c>
      <c r="C316" s="12">
        <v>41860</v>
      </c>
      <c r="D316" s="12">
        <v>41867</v>
      </c>
      <c r="E316" t="s">
        <v>233</v>
      </c>
      <c r="F316" t="s">
        <v>1335</v>
      </c>
      <c r="G316" t="s">
        <v>1336</v>
      </c>
      <c r="H316" t="s">
        <v>224</v>
      </c>
      <c r="I316" t="s">
        <v>210</v>
      </c>
      <c r="J316" t="s">
        <v>1337</v>
      </c>
      <c r="K316" t="s">
        <v>237</v>
      </c>
      <c r="L316">
        <v>33710</v>
      </c>
      <c r="M316" t="s">
        <v>213</v>
      </c>
      <c r="N316" t="s">
        <v>1338</v>
      </c>
      <c r="O316" t="s">
        <v>254</v>
      </c>
      <c r="P316" t="s">
        <v>255</v>
      </c>
      <c r="Q316" t="s">
        <v>1339</v>
      </c>
      <c r="R316" s="13">
        <v>178.38399999999999</v>
      </c>
      <c r="S316">
        <v>2</v>
      </c>
      <c r="T316" s="14">
        <v>0.2</v>
      </c>
      <c r="U316" s="13">
        <v>22.297999999999998</v>
      </c>
    </row>
    <row r="317" spans="1:21" ht="15" customHeight="1" x14ac:dyDescent="0.3">
      <c r="A317">
        <v>316</v>
      </c>
      <c r="B317" t="s">
        <v>1334</v>
      </c>
      <c r="C317" s="12">
        <v>41860</v>
      </c>
      <c r="D317" s="12">
        <v>41867</v>
      </c>
      <c r="E317" t="s">
        <v>233</v>
      </c>
      <c r="F317" t="s">
        <v>1335</v>
      </c>
      <c r="G317" t="s">
        <v>1336</v>
      </c>
      <c r="H317" t="s">
        <v>224</v>
      </c>
      <c r="I317" t="s">
        <v>210</v>
      </c>
      <c r="J317" t="s">
        <v>1337</v>
      </c>
      <c r="K317" t="s">
        <v>237</v>
      </c>
      <c r="L317">
        <v>33710</v>
      </c>
      <c r="M317" t="s">
        <v>213</v>
      </c>
      <c r="N317" t="s">
        <v>1340</v>
      </c>
      <c r="O317" t="s">
        <v>229</v>
      </c>
      <c r="P317" t="s">
        <v>273</v>
      </c>
      <c r="Q317" t="s">
        <v>1341</v>
      </c>
      <c r="R317" s="13">
        <v>15.552</v>
      </c>
      <c r="S317">
        <v>3</v>
      </c>
      <c r="T317" s="14">
        <v>0.2</v>
      </c>
      <c r="U317" s="13">
        <v>5.4432</v>
      </c>
    </row>
    <row r="318" spans="1:21" ht="15" customHeight="1" x14ac:dyDescent="0.3">
      <c r="A318">
        <v>317</v>
      </c>
      <c r="B318" t="s">
        <v>1342</v>
      </c>
      <c r="C318" s="12">
        <v>42001</v>
      </c>
      <c r="D318" s="12">
        <v>42003</v>
      </c>
      <c r="E318" t="s">
        <v>371</v>
      </c>
      <c r="F318" t="s">
        <v>1343</v>
      </c>
      <c r="G318" t="s">
        <v>1344</v>
      </c>
      <c r="H318" t="s">
        <v>224</v>
      </c>
      <c r="I318" t="s">
        <v>210</v>
      </c>
      <c r="J318" t="s">
        <v>329</v>
      </c>
      <c r="K318" t="s">
        <v>330</v>
      </c>
      <c r="L318">
        <v>19143</v>
      </c>
      <c r="M318" t="s">
        <v>331</v>
      </c>
      <c r="N318" t="s">
        <v>1345</v>
      </c>
      <c r="O318" t="s">
        <v>229</v>
      </c>
      <c r="P318" t="s">
        <v>251</v>
      </c>
      <c r="Q318" t="s">
        <v>1346</v>
      </c>
      <c r="R318" s="13">
        <v>99.135999999999996</v>
      </c>
      <c r="S318">
        <v>4</v>
      </c>
      <c r="T318" s="14">
        <v>0.2</v>
      </c>
      <c r="U318" s="13">
        <v>8.6744000000000003</v>
      </c>
    </row>
    <row r="319" spans="1:21" ht="15" customHeight="1" x14ac:dyDescent="0.3">
      <c r="A319">
        <v>318</v>
      </c>
      <c r="B319" t="s">
        <v>1347</v>
      </c>
      <c r="C319" s="12">
        <v>41947</v>
      </c>
      <c r="D319" s="12">
        <v>41952</v>
      </c>
      <c r="E319" t="s">
        <v>233</v>
      </c>
      <c r="F319" t="s">
        <v>1348</v>
      </c>
      <c r="G319" t="s">
        <v>1349</v>
      </c>
      <c r="H319" t="s">
        <v>285</v>
      </c>
      <c r="I319" t="s">
        <v>210</v>
      </c>
      <c r="J319" t="s">
        <v>449</v>
      </c>
      <c r="K319" t="s">
        <v>450</v>
      </c>
      <c r="L319">
        <v>10024</v>
      </c>
      <c r="M319" t="s">
        <v>331</v>
      </c>
      <c r="N319" t="s">
        <v>1350</v>
      </c>
      <c r="O319" t="s">
        <v>215</v>
      </c>
      <c r="P319" t="s">
        <v>219</v>
      </c>
      <c r="Q319" t="s">
        <v>1351</v>
      </c>
      <c r="R319" s="13">
        <v>135.88200000000001</v>
      </c>
      <c r="S319">
        <v>1</v>
      </c>
      <c r="T319" s="14">
        <v>0.1</v>
      </c>
      <c r="U319" s="13">
        <v>24.1568</v>
      </c>
    </row>
    <row r="320" spans="1:21" ht="15" customHeight="1" x14ac:dyDescent="0.3">
      <c r="A320">
        <v>319</v>
      </c>
      <c r="B320" t="s">
        <v>1347</v>
      </c>
      <c r="C320" s="12">
        <v>41947</v>
      </c>
      <c r="D320" s="12">
        <v>41952</v>
      </c>
      <c r="E320" t="s">
        <v>233</v>
      </c>
      <c r="F320" t="s">
        <v>1348</v>
      </c>
      <c r="G320" t="s">
        <v>1349</v>
      </c>
      <c r="H320" t="s">
        <v>285</v>
      </c>
      <c r="I320" t="s">
        <v>210</v>
      </c>
      <c r="J320" t="s">
        <v>449</v>
      </c>
      <c r="K320" t="s">
        <v>450</v>
      </c>
      <c r="L320">
        <v>10024</v>
      </c>
      <c r="M320" t="s">
        <v>331</v>
      </c>
      <c r="N320" t="s">
        <v>1352</v>
      </c>
      <c r="O320" t="s">
        <v>254</v>
      </c>
      <c r="P320" t="s">
        <v>867</v>
      </c>
      <c r="Q320" t="s">
        <v>1353</v>
      </c>
      <c r="R320" s="13">
        <v>3991.98</v>
      </c>
      <c r="S320">
        <v>2</v>
      </c>
      <c r="T320" s="14">
        <v>0</v>
      </c>
      <c r="U320" s="13">
        <v>1995.99</v>
      </c>
    </row>
    <row r="321" spans="1:21" ht="15" customHeight="1" x14ac:dyDescent="0.3">
      <c r="A321">
        <v>320</v>
      </c>
      <c r="B321" t="s">
        <v>1347</v>
      </c>
      <c r="C321" s="12">
        <v>41947</v>
      </c>
      <c r="D321" s="12">
        <v>41952</v>
      </c>
      <c r="E321" t="s">
        <v>233</v>
      </c>
      <c r="F321" t="s">
        <v>1348</v>
      </c>
      <c r="G321" t="s">
        <v>1349</v>
      </c>
      <c r="H321" t="s">
        <v>285</v>
      </c>
      <c r="I321" t="s">
        <v>210</v>
      </c>
      <c r="J321" t="s">
        <v>449</v>
      </c>
      <c r="K321" t="s">
        <v>450</v>
      </c>
      <c r="L321">
        <v>10024</v>
      </c>
      <c r="M321" t="s">
        <v>331</v>
      </c>
      <c r="N321" t="s">
        <v>395</v>
      </c>
      <c r="O321" t="s">
        <v>254</v>
      </c>
      <c r="P321" t="s">
        <v>255</v>
      </c>
      <c r="Q321" t="s">
        <v>396</v>
      </c>
      <c r="R321" s="13">
        <v>275.94</v>
      </c>
      <c r="S321">
        <v>6</v>
      </c>
      <c r="T321" s="14">
        <v>0</v>
      </c>
      <c r="U321" s="13">
        <v>80.022599999999997</v>
      </c>
    </row>
    <row r="322" spans="1:21" ht="15" customHeight="1" x14ac:dyDescent="0.3">
      <c r="A322">
        <v>321</v>
      </c>
      <c r="B322" t="s">
        <v>1347</v>
      </c>
      <c r="C322" s="12">
        <v>41947</v>
      </c>
      <c r="D322" s="12">
        <v>41952</v>
      </c>
      <c r="E322" t="s">
        <v>233</v>
      </c>
      <c r="F322" t="s">
        <v>1348</v>
      </c>
      <c r="G322" t="s">
        <v>1349</v>
      </c>
      <c r="H322" t="s">
        <v>285</v>
      </c>
      <c r="I322" t="s">
        <v>210</v>
      </c>
      <c r="J322" t="s">
        <v>449</v>
      </c>
      <c r="K322" t="s">
        <v>450</v>
      </c>
      <c r="L322">
        <v>10024</v>
      </c>
      <c r="M322" t="s">
        <v>331</v>
      </c>
      <c r="N322" t="s">
        <v>1354</v>
      </c>
      <c r="O322" t="s">
        <v>254</v>
      </c>
      <c r="P322" t="s">
        <v>344</v>
      </c>
      <c r="Q322" t="s">
        <v>1355</v>
      </c>
      <c r="R322" s="13">
        <v>360</v>
      </c>
      <c r="S322">
        <v>4</v>
      </c>
      <c r="T322" s="14">
        <v>0</v>
      </c>
      <c r="U322" s="13">
        <v>129.6</v>
      </c>
    </row>
    <row r="323" spans="1:21" ht="15" customHeight="1" x14ac:dyDescent="0.3">
      <c r="A323">
        <v>322</v>
      </c>
      <c r="B323" t="s">
        <v>1347</v>
      </c>
      <c r="C323" s="12">
        <v>41947</v>
      </c>
      <c r="D323" s="12">
        <v>41952</v>
      </c>
      <c r="E323" t="s">
        <v>233</v>
      </c>
      <c r="F323" t="s">
        <v>1348</v>
      </c>
      <c r="G323" t="s">
        <v>1349</v>
      </c>
      <c r="H323" t="s">
        <v>285</v>
      </c>
      <c r="I323" t="s">
        <v>210</v>
      </c>
      <c r="J323" t="s">
        <v>449</v>
      </c>
      <c r="K323" t="s">
        <v>450</v>
      </c>
      <c r="L323">
        <v>10024</v>
      </c>
      <c r="M323" t="s">
        <v>331</v>
      </c>
      <c r="N323" t="s">
        <v>730</v>
      </c>
      <c r="O323" t="s">
        <v>229</v>
      </c>
      <c r="P323" t="s">
        <v>242</v>
      </c>
      <c r="Q323" t="s">
        <v>731</v>
      </c>
      <c r="R323" s="13">
        <v>43.57</v>
      </c>
      <c r="S323">
        <v>1</v>
      </c>
      <c r="T323" s="14">
        <v>0</v>
      </c>
      <c r="U323" s="13">
        <v>13.071</v>
      </c>
    </row>
    <row r="324" spans="1:21" ht="15" customHeight="1" x14ac:dyDescent="0.3">
      <c r="A324">
        <v>323</v>
      </c>
      <c r="B324" t="s">
        <v>1356</v>
      </c>
      <c r="C324" s="12">
        <v>41901</v>
      </c>
      <c r="D324" s="12">
        <v>41906</v>
      </c>
      <c r="E324" t="s">
        <v>233</v>
      </c>
      <c r="F324" t="s">
        <v>1357</v>
      </c>
      <c r="G324" t="s">
        <v>1358</v>
      </c>
      <c r="H324" t="s">
        <v>224</v>
      </c>
      <c r="I324" t="s">
        <v>210</v>
      </c>
      <c r="J324" t="s">
        <v>1359</v>
      </c>
      <c r="K324" t="s">
        <v>226</v>
      </c>
      <c r="L324">
        <v>90805</v>
      </c>
      <c r="M324" t="s">
        <v>227</v>
      </c>
      <c r="N324" t="s">
        <v>1360</v>
      </c>
      <c r="O324" t="s">
        <v>229</v>
      </c>
      <c r="P324" t="s">
        <v>452</v>
      </c>
      <c r="Q324" t="s">
        <v>1361</v>
      </c>
      <c r="R324" s="13">
        <v>7.16</v>
      </c>
      <c r="S324">
        <v>2</v>
      </c>
      <c r="T324" s="14">
        <v>0</v>
      </c>
      <c r="U324" s="13">
        <v>3.58</v>
      </c>
    </row>
    <row r="325" spans="1:21" ht="15" customHeight="1" x14ac:dyDescent="0.3">
      <c r="A325">
        <v>324</v>
      </c>
      <c r="B325" t="s">
        <v>1362</v>
      </c>
      <c r="C325" s="12">
        <v>42483</v>
      </c>
      <c r="D325" s="12">
        <v>42487</v>
      </c>
      <c r="E325" t="s">
        <v>233</v>
      </c>
      <c r="F325" t="s">
        <v>1363</v>
      </c>
      <c r="G325" t="s">
        <v>1364</v>
      </c>
      <c r="H325" t="s">
        <v>224</v>
      </c>
      <c r="I325" t="s">
        <v>210</v>
      </c>
      <c r="J325" t="s">
        <v>1365</v>
      </c>
      <c r="K325" t="s">
        <v>226</v>
      </c>
      <c r="L325">
        <v>92345</v>
      </c>
      <c r="M325" t="s">
        <v>227</v>
      </c>
      <c r="N325" t="s">
        <v>1274</v>
      </c>
      <c r="O325" t="s">
        <v>229</v>
      </c>
      <c r="P325" t="s">
        <v>258</v>
      </c>
      <c r="Q325" t="s">
        <v>1275</v>
      </c>
      <c r="R325" s="13">
        <v>251.52</v>
      </c>
      <c r="S325">
        <v>6</v>
      </c>
      <c r="T325" s="14">
        <v>0.2</v>
      </c>
      <c r="U325" s="13">
        <v>81.744</v>
      </c>
    </row>
    <row r="326" spans="1:21" ht="15" customHeight="1" x14ac:dyDescent="0.3">
      <c r="A326">
        <v>325</v>
      </c>
      <c r="B326" t="s">
        <v>1362</v>
      </c>
      <c r="C326" s="12">
        <v>42483</v>
      </c>
      <c r="D326" s="12">
        <v>42487</v>
      </c>
      <c r="E326" t="s">
        <v>233</v>
      </c>
      <c r="F326" t="s">
        <v>1363</v>
      </c>
      <c r="G326" t="s">
        <v>1364</v>
      </c>
      <c r="H326" t="s">
        <v>224</v>
      </c>
      <c r="I326" t="s">
        <v>210</v>
      </c>
      <c r="J326" t="s">
        <v>1365</v>
      </c>
      <c r="K326" t="s">
        <v>226</v>
      </c>
      <c r="L326">
        <v>92345</v>
      </c>
      <c r="M326" t="s">
        <v>227</v>
      </c>
      <c r="N326" t="s">
        <v>1366</v>
      </c>
      <c r="O326" t="s">
        <v>254</v>
      </c>
      <c r="P326" t="s">
        <v>344</v>
      </c>
      <c r="Q326" t="s">
        <v>1367</v>
      </c>
      <c r="R326" s="13">
        <v>99.99</v>
      </c>
      <c r="S326">
        <v>1</v>
      </c>
      <c r="T326" s="14">
        <v>0</v>
      </c>
      <c r="U326" s="13">
        <v>34.996499999999997</v>
      </c>
    </row>
    <row r="327" spans="1:21" ht="15" customHeight="1" x14ac:dyDescent="0.3">
      <c r="A327">
        <v>326</v>
      </c>
      <c r="B327" t="s">
        <v>1368</v>
      </c>
      <c r="C327" s="12">
        <v>43042</v>
      </c>
      <c r="D327" s="12">
        <v>43044</v>
      </c>
      <c r="E327" t="s">
        <v>206</v>
      </c>
      <c r="F327" t="s">
        <v>1369</v>
      </c>
      <c r="G327" t="s">
        <v>1370</v>
      </c>
      <c r="H327" t="s">
        <v>224</v>
      </c>
      <c r="I327" t="s">
        <v>210</v>
      </c>
      <c r="J327" t="s">
        <v>1371</v>
      </c>
      <c r="K327" t="s">
        <v>518</v>
      </c>
      <c r="L327">
        <v>37130</v>
      </c>
      <c r="M327" t="s">
        <v>213</v>
      </c>
      <c r="N327" t="s">
        <v>1372</v>
      </c>
      <c r="O327" t="s">
        <v>215</v>
      </c>
      <c r="P327" t="s">
        <v>248</v>
      </c>
      <c r="Q327" t="s">
        <v>1373</v>
      </c>
      <c r="R327" s="13">
        <v>15.992000000000001</v>
      </c>
      <c r="S327">
        <v>1</v>
      </c>
      <c r="T327" s="14">
        <v>0.2</v>
      </c>
      <c r="U327" s="13">
        <v>0.99949999999999894</v>
      </c>
    </row>
    <row r="328" spans="1:21" ht="15" customHeight="1" x14ac:dyDescent="0.3">
      <c r="A328">
        <v>327</v>
      </c>
      <c r="B328" t="s">
        <v>1374</v>
      </c>
      <c r="C328" s="12">
        <v>42612</v>
      </c>
      <c r="D328" s="12">
        <v>42614</v>
      </c>
      <c r="E328" t="s">
        <v>371</v>
      </c>
      <c r="F328" t="s">
        <v>1375</v>
      </c>
      <c r="G328" t="s">
        <v>1376</v>
      </c>
      <c r="H328" t="s">
        <v>209</v>
      </c>
      <c r="I328" t="s">
        <v>210</v>
      </c>
      <c r="J328" t="s">
        <v>329</v>
      </c>
      <c r="K328" t="s">
        <v>330</v>
      </c>
      <c r="L328">
        <v>19143</v>
      </c>
      <c r="M328" t="s">
        <v>331</v>
      </c>
      <c r="N328" t="s">
        <v>1377</v>
      </c>
      <c r="O328" t="s">
        <v>254</v>
      </c>
      <c r="P328" t="s">
        <v>255</v>
      </c>
      <c r="Q328" t="s">
        <v>1378</v>
      </c>
      <c r="R328" s="13">
        <v>290.89800000000002</v>
      </c>
      <c r="S328">
        <v>3</v>
      </c>
      <c r="T328" s="14">
        <v>0.4</v>
      </c>
      <c r="U328" s="13">
        <v>-67.876199999999997</v>
      </c>
    </row>
    <row r="329" spans="1:21" ht="15" customHeight="1" x14ac:dyDescent="0.3">
      <c r="A329">
        <v>328</v>
      </c>
      <c r="B329" t="s">
        <v>1374</v>
      </c>
      <c r="C329" s="12">
        <v>42612</v>
      </c>
      <c r="D329" s="12">
        <v>42614</v>
      </c>
      <c r="E329" t="s">
        <v>371</v>
      </c>
      <c r="F329" t="s">
        <v>1375</v>
      </c>
      <c r="G329" t="s">
        <v>1376</v>
      </c>
      <c r="H329" t="s">
        <v>209</v>
      </c>
      <c r="I329" t="s">
        <v>210</v>
      </c>
      <c r="J329" t="s">
        <v>329</v>
      </c>
      <c r="K329" t="s">
        <v>330</v>
      </c>
      <c r="L329">
        <v>19143</v>
      </c>
      <c r="M329" t="s">
        <v>331</v>
      </c>
      <c r="N329" t="s">
        <v>1379</v>
      </c>
      <c r="O329" t="s">
        <v>229</v>
      </c>
      <c r="P329" t="s">
        <v>242</v>
      </c>
      <c r="Q329" t="s">
        <v>1380</v>
      </c>
      <c r="R329" s="13">
        <v>54.223999999999997</v>
      </c>
      <c r="S329">
        <v>2</v>
      </c>
      <c r="T329" s="14">
        <v>0.2</v>
      </c>
      <c r="U329" s="13">
        <v>3.3889999999999998</v>
      </c>
    </row>
    <row r="330" spans="1:21" ht="15" customHeight="1" x14ac:dyDescent="0.3">
      <c r="A330">
        <v>329</v>
      </c>
      <c r="B330" t="s">
        <v>1374</v>
      </c>
      <c r="C330" s="12">
        <v>42612</v>
      </c>
      <c r="D330" s="12">
        <v>42614</v>
      </c>
      <c r="E330" t="s">
        <v>371</v>
      </c>
      <c r="F330" t="s">
        <v>1375</v>
      </c>
      <c r="G330" t="s">
        <v>1376</v>
      </c>
      <c r="H330" t="s">
        <v>209</v>
      </c>
      <c r="I330" t="s">
        <v>210</v>
      </c>
      <c r="J330" t="s">
        <v>329</v>
      </c>
      <c r="K330" t="s">
        <v>330</v>
      </c>
      <c r="L330">
        <v>19143</v>
      </c>
      <c r="M330" t="s">
        <v>331</v>
      </c>
      <c r="N330" t="s">
        <v>1381</v>
      </c>
      <c r="O330" t="s">
        <v>215</v>
      </c>
      <c r="P330" t="s">
        <v>219</v>
      </c>
      <c r="Q330" t="s">
        <v>1382</v>
      </c>
      <c r="R330" s="13">
        <v>786.74400000000003</v>
      </c>
      <c r="S330">
        <v>4</v>
      </c>
      <c r="T330" s="14">
        <v>0.3</v>
      </c>
      <c r="U330" s="13">
        <v>-258.5016</v>
      </c>
    </row>
    <row r="331" spans="1:21" ht="15" customHeight="1" x14ac:dyDescent="0.3">
      <c r="A331">
        <v>330</v>
      </c>
      <c r="B331" t="s">
        <v>1374</v>
      </c>
      <c r="C331" s="12">
        <v>42612</v>
      </c>
      <c r="D331" s="12">
        <v>42614</v>
      </c>
      <c r="E331" t="s">
        <v>371</v>
      </c>
      <c r="F331" t="s">
        <v>1375</v>
      </c>
      <c r="G331" t="s">
        <v>1376</v>
      </c>
      <c r="H331" t="s">
        <v>209</v>
      </c>
      <c r="I331" t="s">
        <v>210</v>
      </c>
      <c r="J331" t="s">
        <v>329</v>
      </c>
      <c r="K331" t="s">
        <v>330</v>
      </c>
      <c r="L331">
        <v>19143</v>
      </c>
      <c r="M331" t="s">
        <v>331</v>
      </c>
      <c r="N331" t="s">
        <v>1383</v>
      </c>
      <c r="O331" t="s">
        <v>229</v>
      </c>
      <c r="P331" t="s">
        <v>230</v>
      </c>
      <c r="Q331" t="s">
        <v>1384</v>
      </c>
      <c r="R331" s="13">
        <v>100.24</v>
      </c>
      <c r="S331">
        <v>10</v>
      </c>
      <c r="T331" s="14">
        <v>0.2</v>
      </c>
      <c r="U331" s="13">
        <v>33.831000000000003</v>
      </c>
    </row>
    <row r="332" spans="1:21" ht="15" customHeight="1" x14ac:dyDescent="0.3">
      <c r="A332">
        <v>331</v>
      </c>
      <c r="B332" t="s">
        <v>1374</v>
      </c>
      <c r="C332" s="12">
        <v>42612</v>
      </c>
      <c r="D332" s="12">
        <v>42614</v>
      </c>
      <c r="E332" t="s">
        <v>371</v>
      </c>
      <c r="F332" t="s">
        <v>1375</v>
      </c>
      <c r="G332" t="s">
        <v>1376</v>
      </c>
      <c r="H332" t="s">
        <v>209</v>
      </c>
      <c r="I332" t="s">
        <v>210</v>
      </c>
      <c r="J332" t="s">
        <v>329</v>
      </c>
      <c r="K332" t="s">
        <v>330</v>
      </c>
      <c r="L332">
        <v>19143</v>
      </c>
      <c r="M332" t="s">
        <v>331</v>
      </c>
      <c r="N332" t="s">
        <v>1385</v>
      </c>
      <c r="O332" t="s">
        <v>229</v>
      </c>
      <c r="P332" t="s">
        <v>258</v>
      </c>
      <c r="Q332" t="s">
        <v>1386</v>
      </c>
      <c r="R332" s="13">
        <v>37.764000000000003</v>
      </c>
      <c r="S332">
        <v>6</v>
      </c>
      <c r="T332" s="14">
        <v>0.7</v>
      </c>
      <c r="U332" s="13">
        <v>-27.6936</v>
      </c>
    </row>
    <row r="333" spans="1:21" ht="15" customHeight="1" x14ac:dyDescent="0.3">
      <c r="A333">
        <v>332</v>
      </c>
      <c r="B333" t="s">
        <v>1387</v>
      </c>
      <c r="C333" s="12">
        <v>42485</v>
      </c>
      <c r="D333" s="12">
        <v>42489</v>
      </c>
      <c r="E333" t="s">
        <v>206</v>
      </c>
      <c r="F333" t="s">
        <v>1388</v>
      </c>
      <c r="G333" t="s">
        <v>1389</v>
      </c>
      <c r="H333" t="s">
        <v>209</v>
      </c>
      <c r="I333" t="s">
        <v>210</v>
      </c>
      <c r="J333" t="s">
        <v>329</v>
      </c>
      <c r="K333" t="s">
        <v>330</v>
      </c>
      <c r="L333">
        <v>19134</v>
      </c>
      <c r="M333" t="s">
        <v>331</v>
      </c>
      <c r="N333" t="s">
        <v>1390</v>
      </c>
      <c r="O333" t="s">
        <v>254</v>
      </c>
      <c r="P333" t="s">
        <v>255</v>
      </c>
      <c r="Q333" t="s">
        <v>1391</v>
      </c>
      <c r="R333" s="13">
        <v>82.8</v>
      </c>
      <c r="S333">
        <v>2</v>
      </c>
      <c r="T333" s="14">
        <v>0.4</v>
      </c>
      <c r="U333" s="13">
        <v>-20.7</v>
      </c>
    </row>
    <row r="334" spans="1:21" ht="15" customHeight="1" x14ac:dyDescent="0.3">
      <c r="A334">
        <v>333</v>
      </c>
      <c r="B334" t="s">
        <v>1387</v>
      </c>
      <c r="C334" s="12">
        <v>42485</v>
      </c>
      <c r="D334" s="12">
        <v>42489</v>
      </c>
      <c r="E334" t="s">
        <v>206</v>
      </c>
      <c r="F334" t="s">
        <v>1388</v>
      </c>
      <c r="G334" t="s">
        <v>1389</v>
      </c>
      <c r="H334" t="s">
        <v>209</v>
      </c>
      <c r="I334" t="s">
        <v>210</v>
      </c>
      <c r="J334" t="s">
        <v>329</v>
      </c>
      <c r="K334" t="s">
        <v>330</v>
      </c>
      <c r="L334">
        <v>19134</v>
      </c>
      <c r="M334" t="s">
        <v>331</v>
      </c>
      <c r="N334" t="s">
        <v>1392</v>
      </c>
      <c r="O334" t="s">
        <v>229</v>
      </c>
      <c r="P334" t="s">
        <v>258</v>
      </c>
      <c r="Q334" t="s">
        <v>1393</v>
      </c>
      <c r="R334" s="13">
        <v>20.724</v>
      </c>
      <c r="S334">
        <v>2</v>
      </c>
      <c r="T334" s="14">
        <v>0.7</v>
      </c>
      <c r="U334" s="13">
        <v>-13.816000000000001</v>
      </c>
    </row>
    <row r="335" spans="1:21" ht="15" customHeight="1" x14ac:dyDescent="0.3">
      <c r="A335">
        <v>334</v>
      </c>
      <c r="B335" t="s">
        <v>1387</v>
      </c>
      <c r="C335" s="12">
        <v>42485</v>
      </c>
      <c r="D335" s="12">
        <v>42489</v>
      </c>
      <c r="E335" t="s">
        <v>206</v>
      </c>
      <c r="F335" t="s">
        <v>1388</v>
      </c>
      <c r="G335" t="s">
        <v>1389</v>
      </c>
      <c r="H335" t="s">
        <v>209</v>
      </c>
      <c r="I335" t="s">
        <v>210</v>
      </c>
      <c r="J335" t="s">
        <v>329</v>
      </c>
      <c r="K335" t="s">
        <v>330</v>
      </c>
      <c r="L335">
        <v>19134</v>
      </c>
      <c r="M335" t="s">
        <v>331</v>
      </c>
      <c r="N335" t="s">
        <v>1394</v>
      </c>
      <c r="O335" t="s">
        <v>229</v>
      </c>
      <c r="P335" t="s">
        <v>258</v>
      </c>
      <c r="Q335" t="s">
        <v>1395</v>
      </c>
      <c r="R335" s="13">
        <v>4.8959999999999999</v>
      </c>
      <c r="S335">
        <v>3</v>
      </c>
      <c r="T335" s="14">
        <v>0.7</v>
      </c>
      <c r="U335" s="13">
        <v>-3.4272</v>
      </c>
    </row>
    <row r="336" spans="1:21" ht="15" customHeight="1" x14ac:dyDescent="0.3">
      <c r="A336">
        <v>335</v>
      </c>
      <c r="B336" t="s">
        <v>1396</v>
      </c>
      <c r="C336" s="12">
        <v>42248</v>
      </c>
      <c r="D336" s="12">
        <v>42251</v>
      </c>
      <c r="E336" t="s">
        <v>206</v>
      </c>
      <c r="F336" t="s">
        <v>1397</v>
      </c>
      <c r="G336" t="s">
        <v>1398</v>
      </c>
      <c r="H336" t="s">
        <v>209</v>
      </c>
      <c r="I336" t="s">
        <v>210</v>
      </c>
      <c r="J336" t="s">
        <v>225</v>
      </c>
      <c r="K336" t="s">
        <v>226</v>
      </c>
      <c r="L336">
        <v>90045</v>
      </c>
      <c r="M336" t="s">
        <v>227</v>
      </c>
      <c r="N336" t="s">
        <v>1399</v>
      </c>
      <c r="O336" t="s">
        <v>229</v>
      </c>
      <c r="P336" t="s">
        <v>258</v>
      </c>
      <c r="Q336" t="s">
        <v>1400</v>
      </c>
      <c r="R336" s="13">
        <v>4.7519999999999998</v>
      </c>
      <c r="S336">
        <v>1</v>
      </c>
      <c r="T336" s="14">
        <v>0.2</v>
      </c>
      <c r="U336" s="13">
        <v>1.6037999999999999</v>
      </c>
    </row>
    <row r="337" spans="1:21" ht="15" customHeight="1" x14ac:dyDescent="0.3">
      <c r="A337">
        <v>336</v>
      </c>
      <c r="B337" t="s">
        <v>1396</v>
      </c>
      <c r="C337" s="12">
        <v>42248</v>
      </c>
      <c r="D337" s="12">
        <v>42251</v>
      </c>
      <c r="E337" t="s">
        <v>206</v>
      </c>
      <c r="F337" t="s">
        <v>1397</v>
      </c>
      <c r="G337" t="s">
        <v>1398</v>
      </c>
      <c r="H337" t="s">
        <v>209</v>
      </c>
      <c r="I337" t="s">
        <v>210</v>
      </c>
      <c r="J337" t="s">
        <v>225</v>
      </c>
      <c r="K337" t="s">
        <v>226</v>
      </c>
      <c r="L337">
        <v>90045</v>
      </c>
      <c r="M337" t="s">
        <v>227</v>
      </c>
      <c r="N337" t="s">
        <v>1401</v>
      </c>
      <c r="O337" t="s">
        <v>254</v>
      </c>
      <c r="P337" t="s">
        <v>1402</v>
      </c>
      <c r="Q337" t="s">
        <v>1403</v>
      </c>
      <c r="R337" s="13">
        <v>959.98400000000004</v>
      </c>
      <c r="S337">
        <v>2</v>
      </c>
      <c r="T337" s="14">
        <v>0.2</v>
      </c>
      <c r="U337" s="13">
        <v>335.99439999999998</v>
      </c>
    </row>
    <row r="338" spans="1:21" ht="15" customHeight="1" x14ac:dyDescent="0.3">
      <c r="A338">
        <v>337</v>
      </c>
      <c r="B338" t="s">
        <v>1396</v>
      </c>
      <c r="C338" s="12">
        <v>42248</v>
      </c>
      <c r="D338" s="12">
        <v>42251</v>
      </c>
      <c r="E338" t="s">
        <v>206</v>
      </c>
      <c r="F338" t="s">
        <v>1397</v>
      </c>
      <c r="G338" t="s">
        <v>1398</v>
      </c>
      <c r="H338" t="s">
        <v>209</v>
      </c>
      <c r="I338" t="s">
        <v>210</v>
      </c>
      <c r="J338" t="s">
        <v>225</v>
      </c>
      <c r="K338" t="s">
        <v>226</v>
      </c>
      <c r="L338">
        <v>90045</v>
      </c>
      <c r="M338" t="s">
        <v>227</v>
      </c>
      <c r="N338" t="s">
        <v>1404</v>
      </c>
      <c r="O338" t="s">
        <v>229</v>
      </c>
      <c r="P338" t="s">
        <v>258</v>
      </c>
      <c r="Q338" t="s">
        <v>1405</v>
      </c>
      <c r="R338" s="13">
        <v>14.368</v>
      </c>
      <c r="S338">
        <v>4</v>
      </c>
      <c r="T338" s="14">
        <v>0.2</v>
      </c>
      <c r="U338" s="13">
        <v>4.49</v>
      </c>
    </row>
    <row r="339" spans="1:21" ht="15" customHeight="1" x14ac:dyDescent="0.3">
      <c r="A339">
        <v>338</v>
      </c>
      <c r="B339" t="s">
        <v>1406</v>
      </c>
      <c r="C339" s="12">
        <v>41832</v>
      </c>
      <c r="D339" s="12">
        <v>41837</v>
      </c>
      <c r="E339" t="s">
        <v>233</v>
      </c>
      <c r="F339" t="s">
        <v>1407</v>
      </c>
      <c r="G339" t="s">
        <v>1408</v>
      </c>
      <c r="H339" t="s">
        <v>224</v>
      </c>
      <c r="I339" t="s">
        <v>210</v>
      </c>
      <c r="J339" t="s">
        <v>310</v>
      </c>
      <c r="K339" t="s">
        <v>226</v>
      </c>
      <c r="L339">
        <v>94122</v>
      </c>
      <c r="M339" t="s">
        <v>227</v>
      </c>
      <c r="N339" t="s">
        <v>1409</v>
      </c>
      <c r="O339" t="s">
        <v>229</v>
      </c>
      <c r="P339" t="s">
        <v>258</v>
      </c>
      <c r="Q339" t="s">
        <v>1410</v>
      </c>
      <c r="R339" s="13">
        <v>7.7119999999999997</v>
      </c>
      <c r="S339">
        <v>2</v>
      </c>
      <c r="T339" s="14">
        <v>0.2</v>
      </c>
      <c r="U339" s="13">
        <v>2.7955999999999999</v>
      </c>
    </row>
    <row r="340" spans="1:21" ht="15" customHeight="1" x14ac:dyDescent="0.3">
      <c r="A340">
        <v>339</v>
      </c>
      <c r="B340" t="s">
        <v>1406</v>
      </c>
      <c r="C340" s="12">
        <v>41832</v>
      </c>
      <c r="D340" s="12">
        <v>41837</v>
      </c>
      <c r="E340" t="s">
        <v>233</v>
      </c>
      <c r="F340" t="s">
        <v>1407</v>
      </c>
      <c r="G340" t="s">
        <v>1408</v>
      </c>
      <c r="H340" t="s">
        <v>224</v>
      </c>
      <c r="I340" t="s">
        <v>210</v>
      </c>
      <c r="J340" t="s">
        <v>310</v>
      </c>
      <c r="K340" t="s">
        <v>226</v>
      </c>
      <c r="L340">
        <v>94122</v>
      </c>
      <c r="M340" t="s">
        <v>227</v>
      </c>
      <c r="N340" t="s">
        <v>1411</v>
      </c>
      <c r="O340" t="s">
        <v>215</v>
      </c>
      <c r="P340" t="s">
        <v>239</v>
      </c>
      <c r="Q340" t="s">
        <v>1412</v>
      </c>
      <c r="R340" s="13">
        <v>698.35199999999998</v>
      </c>
      <c r="S340">
        <v>3</v>
      </c>
      <c r="T340" s="14">
        <v>0.2</v>
      </c>
      <c r="U340" s="13">
        <v>-17.4588000000001</v>
      </c>
    </row>
    <row r="341" spans="1:21" ht="15" customHeight="1" x14ac:dyDescent="0.3">
      <c r="A341">
        <v>340</v>
      </c>
      <c r="B341" t="s">
        <v>1413</v>
      </c>
      <c r="C341" s="12">
        <v>42177</v>
      </c>
      <c r="D341" s="12">
        <v>42181</v>
      </c>
      <c r="E341" t="s">
        <v>206</v>
      </c>
      <c r="F341" t="s">
        <v>1101</v>
      </c>
      <c r="G341" t="s">
        <v>1102</v>
      </c>
      <c r="H341" t="s">
        <v>209</v>
      </c>
      <c r="I341" t="s">
        <v>210</v>
      </c>
      <c r="J341" t="s">
        <v>1414</v>
      </c>
      <c r="K341" t="s">
        <v>304</v>
      </c>
      <c r="L341">
        <v>84041</v>
      </c>
      <c r="M341" t="s">
        <v>227</v>
      </c>
      <c r="N341" t="s">
        <v>1415</v>
      </c>
      <c r="O341" t="s">
        <v>229</v>
      </c>
      <c r="P341" t="s">
        <v>452</v>
      </c>
      <c r="Q341" t="s">
        <v>1416</v>
      </c>
      <c r="R341" s="13">
        <v>4.96</v>
      </c>
      <c r="S341">
        <v>4</v>
      </c>
      <c r="T341" s="14">
        <v>0</v>
      </c>
      <c r="U341" s="13">
        <v>2.3311999999999999</v>
      </c>
    </row>
    <row r="342" spans="1:21" ht="15" customHeight="1" x14ac:dyDescent="0.3">
      <c r="A342">
        <v>341</v>
      </c>
      <c r="B342" t="s">
        <v>1417</v>
      </c>
      <c r="C342" s="12">
        <v>41742</v>
      </c>
      <c r="D342" s="12">
        <v>41746</v>
      </c>
      <c r="E342" t="s">
        <v>206</v>
      </c>
      <c r="F342" t="s">
        <v>765</v>
      </c>
      <c r="G342" t="s">
        <v>766</v>
      </c>
      <c r="H342" t="s">
        <v>224</v>
      </c>
      <c r="I342" t="s">
        <v>210</v>
      </c>
      <c r="J342" t="s">
        <v>329</v>
      </c>
      <c r="K342" t="s">
        <v>330</v>
      </c>
      <c r="L342">
        <v>19140</v>
      </c>
      <c r="M342" t="s">
        <v>331</v>
      </c>
      <c r="N342" t="s">
        <v>1418</v>
      </c>
      <c r="O342" t="s">
        <v>229</v>
      </c>
      <c r="P342" t="s">
        <v>251</v>
      </c>
      <c r="Q342" t="s">
        <v>1419</v>
      </c>
      <c r="R342" s="13">
        <v>17.856000000000002</v>
      </c>
      <c r="S342">
        <v>4</v>
      </c>
      <c r="T342" s="14">
        <v>0.2</v>
      </c>
      <c r="U342" s="13">
        <v>1.1160000000000001</v>
      </c>
    </row>
    <row r="343" spans="1:21" ht="15" customHeight="1" x14ac:dyDescent="0.3">
      <c r="A343">
        <v>342</v>
      </c>
      <c r="B343" t="s">
        <v>1417</v>
      </c>
      <c r="C343" s="12">
        <v>41742</v>
      </c>
      <c r="D343" s="12">
        <v>41746</v>
      </c>
      <c r="E343" t="s">
        <v>206</v>
      </c>
      <c r="F343" t="s">
        <v>765</v>
      </c>
      <c r="G343" t="s">
        <v>766</v>
      </c>
      <c r="H343" t="s">
        <v>224</v>
      </c>
      <c r="I343" t="s">
        <v>210</v>
      </c>
      <c r="J343" t="s">
        <v>329</v>
      </c>
      <c r="K343" t="s">
        <v>330</v>
      </c>
      <c r="L343">
        <v>19140</v>
      </c>
      <c r="M343" t="s">
        <v>331</v>
      </c>
      <c r="N343" t="s">
        <v>280</v>
      </c>
      <c r="O343" t="s">
        <v>229</v>
      </c>
      <c r="P343" t="s">
        <v>258</v>
      </c>
      <c r="Q343" t="s">
        <v>281</v>
      </c>
      <c r="R343" s="13">
        <v>509.97</v>
      </c>
      <c r="S343">
        <v>10</v>
      </c>
      <c r="T343" s="14">
        <v>0.7</v>
      </c>
      <c r="U343" s="13">
        <v>-407.976</v>
      </c>
    </row>
    <row r="344" spans="1:21" ht="15" customHeight="1" x14ac:dyDescent="0.3">
      <c r="A344">
        <v>343</v>
      </c>
      <c r="B344" t="s">
        <v>1417</v>
      </c>
      <c r="C344" s="12">
        <v>41742</v>
      </c>
      <c r="D344" s="12">
        <v>41746</v>
      </c>
      <c r="E344" t="s">
        <v>206</v>
      </c>
      <c r="F344" t="s">
        <v>765</v>
      </c>
      <c r="G344" t="s">
        <v>766</v>
      </c>
      <c r="H344" t="s">
        <v>224</v>
      </c>
      <c r="I344" t="s">
        <v>210</v>
      </c>
      <c r="J344" t="s">
        <v>329</v>
      </c>
      <c r="K344" t="s">
        <v>330</v>
      </c>
      <c r="L344">
        <v>19140</v>
      </c>
      <c r="M344" t="s">
        <v>331</v>
      </c>
      <c r="N344" t="s">
        <v>745</v>
      </c>
      <c r="O344" t="s">
        <v>229</v>
      </c>
      <c r="P344" t="s">
        <v>452</v>
      </c>
      <c r="Q344" t="s">
        <v>746</v>
      </c>
      <c r="R344" s="13">
        <v>30.992000000000001</v>
      </c>
      <c r="S344">
        <v>13</v>
      </c>
      <c r="T344" s="14">
        <v>0.2</v>
      </c>
      <c r="U344" s="13">
        <v>10.0724</v>
      </c>
    </row>
    <row r="345" spans="1:21" ht="15" customHeight="1" x14ac:dyDescent="0.3">
      <c r="A345">
        <v>344</v>
      </c>
      <c r="B345" t="s">
        <v>1417</v>
      </c>
      <c r="C345" s="12">
        <v>41742</v>
      </c>
      <c r="D345" s="12">
        <v>41746</v>
      </c>
      <c r="E345" t="s">
        <v>206</v>
      </c>
      <c r="F345" t="s">
        <v>765</v>
      </c>
      <c r="G345" t="s">
        <v>766</v>
      </c>
      <c r="H345" t="s">
        <v>224</v>
      </c>
      <c r="I345" t="s">
        <v>210</v>
      </c>
      <c r="J345" t="s">
        <v>329</v>
      </c>
      <c r="K345" t="s">
        <v>330</v>
      </c>
      <c r="L345">
        <v>19140</v>
      </c>
      <c r="M345" t="s">
        <v>331</v>
      </c>
      <c r="N345" t="s">
        <v>1420</v>
      </c>
      <c r="O345" t="s">
        <v>254</v>
      </c>
      <c r="P345" t="s">
        <v>255</v>
      </c>
      <c r="Q345" t="s">
        <v>1421</v>
      </c>
      <c r="R345" s="13">
        <v>71.927999999999997</v>
      </c>
      <c r="S345">
        <v>12</v>
      </c>
      <c r="T345" s="14">
        <v>0.4</v>
      </c>
      <c r="U345" s="13">
        <v>8.3915999999999897</v>
      </c>
    </row>
    <row r="346" spans="1:21" ht="15" customHeight="1" x14ac:dyDescent="0.3">
      <c r="A346">
        <v>345</v>
      </c>
      <c r="B346" t="s">
        <v>1422</v>
      </c>
      <c r="C346" s="12">
        <v>42358</v>
      </c>
      <c r="D346" s="12">
        <v>42362</v>
      </c>
      <c r="E346" t="s">
        <v>233</v>
      </c>
      <c r="F346" t="s">
        <v>880</v>
      </c>
      <c r="G346" t="s">
        <v>881</v>
      </c>
      <c r="H346" t="s">
        <v>209</v>
      </c>
      <c r="I346" t="s">
        <v>210</v>
      </c>
      <c r="J346" t="s">
        <v>1423</v>
      </c>
      <c r="K346" t="s">
        <v>287</v>
      </c>
      <c r="L346">
        <v>78745</v>
      </c>
      <c r="M346" t="s">
        <v>288</v>
      </c>
      <c r="N346" t="s">
        <v>305</v>
      </c>
      <c r="O346" t="s">
        <v>229</v>
      </c>
      <c r="P346" t="s">
        <v>242</v>
      </c>
      <c r="Q346" t="s">
        <v>306</v>
      </c>
      <c r="R346" s="13">
        <v>88.8</v>
      </c>
      <c r="S346">
        <v>4</v>
      </c>
      <c r="T346" s="14">
        <v>0.2</v>
      </c>
      <c r="U346" s="13">
        <v>-2.22000000000001</v>
      </c>
    </row>
    <row r="347" spans="1:21" ht="15" customHeight="1" x14ac:dyDescent="0.3">
      <c r="A347">
        <v>346</v>
      </c>
      <c r="B347" t="s">
        <v>1424</v>
      </c>
      <c r="C347" s="12">
        <v>42901</v>
      </c>
      <c r="D347" s="12">
        <v>42905</v>
      </c>
      <c r="E347" t="s">
        <v>233</v>
      </c>
      <c r="F347" t="s">
        <v>1425</v>
      </c>
      <c r="G347" t="s">
        <v>1426</v>
      </c>
      <c r="H347" t="s">
        <v>209</v>
      </c>
      <c r="I347" t="s">
        <v>210</v>
      </c>
      <c r="J347" t="s">
        <v>310</v>
      </c>
      <c r="K347" t="s">
        <v>226</v>
      </c>
      <c r="L347">
        <v>94122</v>
      </c>
      <c r="M347" t="s">
        <v>227</v>
      </c>
      <c r="N347" t="s">
        <v>741</v>
      </c>
      <c r="O347" t="s">
        <v>254</v>
      </c>
      <c r="P347" t="s">
        <v>255</v>
      </c>
      <c r="Q347" t="s">
        <v>742</v>
      </c>
      <c r="R347" s="13">
        <v>47.975999999999999</v>
      </c>
      <c r="S347">
        <v>3</v>
      </c>
      <c r="T347" s="14">
        <v>0.2</v>
      </c>
      <c r="U347" s="13">
        <v>4.7976000000000001</v>
      </c>
    </row>
    <row r="348" spans="1:21" ht="15" customHeight="1" x14ac:dyDescent="0.3">
      <c r="A348">
        <v>347</v>
      </c>
      <c r="B348" t="s">
        <v>1427</v>
      </c>
      <c r="C348" s="12">
        <v>42924</v>
      </c>
      <c r="D348" s="12">
        <v>42928</v>
      </c>
      <c r="E348" t="s">
        <v>233</v>
      </c>
      <c r="F348" t="s">
        <v>1428</v>
      </c>
      <c r="G348" t="s">
        <v>1429</v>
      </c>
      <c r="H348" t="s">
        <v>209</v>
      </c>
      <c r="I348" t="s">
        <v>210</v>
      </c>
      <c r="J348" t="s">
        <v>1430</v>
      </c>
      <c r="K348" t="s">
        <v>1431</v>
      </c>
      <c r="L348">
        <v>1852</v>
      </c>
      <c r="M348" t="s">
        <v>331</v>
      </c>
      <c r="N348" t="s">
        <v>967</v>
      </c>
      <c r="O348" t="s">
        <v>229</v>
      </c>
      <c r="P348" t="s">
        <v>251</v>
      </c>
      <c r="Q348" t="s">
        <v>968</v>
      </c>
      <c r="R348" s="13">
        <v>7.56</v>
      </c>
      <c r="S348">
        <v>3</v>
      </c>
      <c r="T348" s="14">
        <v>0</v>
      </c>
      <c r="U348" s="13">
        <v>3.0996000000000001</v>
      </c>
    </row>
    <row r="349" spans="1:21" ht="15" customHeight="1" x14ac:dyDescent="0.3">
      <c r="A349">
        <v>348</v>
      </c>
      <c r="B349" t="s">
        <v>1427</v>
      </c>
      <c r="C349" s="12">
        <v>42924</v>
      </c>
      <c r="D349" s="12">
        <v>42928</v>
      </c>
      <c r="E349" t="s">
        <v>233</v>
      </c>
      <c r="F349" t="s">
        <v>1428</v>
      </c>
      <c r="G349" t="s">
        <v>1429</v>
      </c>
      <c r="H349" t="s">
        <v>209</v>
      </c>
      <c r="I349" t="s">
        <v>210</v>
      </c>
      <c r="J349" t="s">
        <v>1430</v>
      </c>
      <c r="K349" t="s">
        <v>1431</v>
      </c>
      <c r="L349">
        <v>1852</v>
      </c>
      <c r="M349" t="s">
        <v>331</v>
      </c>
      <c r="N349" t="s">
        <v>368</v>
      </c>
      <c r="O349" t="s">
        <v>229</v>
      </c>
      <c r="P349" t="s">
        <v>273</v>
      </c>
      <c r="Q349" t="s">
        <v>369</v>
      </c>
      <c r="R349" s="13">
        <v>24.56</v>
      </c>
      <c r="S349">
        <v>2</v>
      </c>
      <c r="T349" s="14">
        <v>0</v>
      </c>
      <c r="U349" s="13">
        <v>11.543200000000001</v>
      </c>
    </row>
    <row r="350" spans="1:21" ht="15" customHeight="1" x14ac:dyDescent="0.3">
      <c r="A350">
        <v>349</v>
      </c>
      <c r="B350" t="s">
        <v>1427</v>
      </c>
      <c r="C350" s="12">
        <v>42924</v>
      </c>
      <c r="D350" s="12">
        <v>42928</v>
      </c>
      <c r="E350" t="s">
        <v>233</v>
      </c>
      <c r="F350" t="s">
        <v>1428</v>
      </c>
      <c r="G350" t="s">
        <v>1429</v>
      </c>
      <c r="H350" t="s">
        <v>209</v>
      </c>
      <c r="I350" t="s">
        <v>210</v>
      </c>
      <c r="J350" t="s">
        <v>1430</v>
      </c>
      <c r="K350" t="s">
        <v>1431</v>
      </c>
      <c r="L350">
        <v>1852</v>
      </c>
      <c r="M350" t="s">
        <v>331</v>
      </c>
      <c r="N350" t="s">
        <v>1432</v>
      </c>
      <c r="O350" t="s">
        <v>229</v>
      </c>
      <c r="P350" t="s">
        <v>251</v>
      </c>
      <c r="Q350" t="s">
        <v>1433</v>
      </c>
      <c r="R350" s="13">
        <v>12.96</v>
      </c>
      <c r="S350">
        <v>2</v>
      </c>
      <c r="T350" s="14">
        <v>0</v>
      </c>
      <c r="U350" s="13">
        <v>4.1471999999999998</v>
      </c>
    </row>
    <row r="351" spans="1:21" ht="15" customHeight="1" x14ac:dyDescent="0.3">
      <c r="A351">
        <v>350</v>
      </c>
      <c r="B351" t="s">
        <v>1434</v>
      </c>
      <c r="C351" s="12">
        <v>42614</v>
      </c>
      <c r="D351" s="12">
        <v>42616</v>
      </c>
      <c r="E351" t="s">
        <v>371</v>
      </c>
      <c r="F351" t="s">
        <v>1435</v>
      </c>
      <c r="G351" t="s">
        <v>1436</v>
      </c>
      <c r="H351" t="s">
        <v>285</v>
      </c>
      <c r="I351" t="s">
        <v>210</v>
      </c>
      <c r="J351" t="s">
        <v>449</v>
      </c>
      <c r="K351" t="s">
        <v>450</v>
      </c>
      <c r="L351">
        <v>10009</v>
      </c>
      <c r="M351" t="s">
        <v>331</v>
      </c>
      <c r="N351" t="s">
        <v>1153</v>
      </c>
      <c r="O351" t="s">
        <v>254</v>
      </c>
      <c r="P351" t="s">
        <v>344</v>
      </c>
      <c r="Q351" t="s">
        <v>1154</v>
      </c>
      <c r="R351" s="13">
        <v>6.79</v>
      </c>
      <c r="S351">
        <v>1</v>
      </c>
      <c r="T351" s="14">
        <v>0</v>
      </c>
      <c r="U351" s="13">
        <v>2.3086000000000002</v>
      </c>
    </row>
    <row r="352" spans="1:21" ht="15" customHeight="1" x14ac:dyDescent="0.3">
      <c r="A352">
        <v>351</v>
      </c>
      <c r="B352" t="s">
        <v>1434</v>
      </c>
      <c r="C352" s="12">
        <v>42614</v>
      </c>
      <c r="D352" s="12">
        <v>42616</v>
      </c>
      <c r="E352" t="s">
        <v>371</v>
      </c>
      <c r="F352" t="s">
        <v>1435</v>
      </c>
      <c r="G352" t="s">
        <v>1436</v>
      </c>
      <c r="H352" t="s">
        <v>285</v>
      </c>
      <c r="I352" t="s">
        <v>210</v>
      </c>
      <c r="J352" t="s">
        <v>449</v>
      </c>
      <c r="K352" t="s">
        <v>450</v>
      </c>
      <c r="L352">
        <v>10009</v>
      </c>
      <c r="M352" t="s">
        <v>331</v>
      </c>
      <c r="N352" t="s">
        <v>1437</v>
      </c>
      <c r="O352" t="s">
        <v>229</v>
      </c>
      <c r="P352" t="s">
        <v>273</v>
      </c>
      <c r="Q352" t="s">
        <v>1438</v>
      </c>
      <c r="R352" s="13">
        <v>24.56</v>
      </c>
      <c r="S352">
        <v>2</v>
      </c>
      <c r="T352" s="14">
        <v>0</v>
      </c>
      <c r="U352" s="13">
        <v>11.543200000000001</v>
      </c>
    </row>
    <row r="353" spans="1:21" ht="15" customHeight="1" x14ac:dyDescent="0.3">
      <c r="A353">
        <v>352</v>
      </c>
      <c r="B353" t="s">
        <v>1434</v>
      </c>
      <c r="C353" s="12">
        <v>42614</v>
      </c>
      <c r="D353" s="12">
        <v>42616</v>
      </c>
      <c r="E353" t="s">
        <v>371</v>
      </c>
      <c r="F353" t="s">
        <v>1435</v>
      </c>
      <c r="G353" t="s">
        <v>1436</v>
      </c>
      <c r="H353" t="s">
        <v>285</v>
      </c>
      <c r="I353" t="s">
        <v>210</v>
      </c>
      <c r="J353" t="s">
        <v>449</v>
      </c>
      <c r="K353" t="s">
        <v>450</v>
      </c>
      <c r="L353">
        <v>10009</v>
      </c>
      <c r="M353" t="s">
        <v>331</v>
      </c>
      <c r="N353" t="s">
        <v>1439</v>
      </c>
      <c r="O353" t="s">
        <v>229</v>
      </c>
      <c r="P353" t="s">
        <v>258</v>
      </c>
      <c r="Q353" t="s">
        <v>1440</v>
      </c>
      <c r="R353" s="13">
        <v>3.048</v>
      </c>
      <c r="S353">
        <v>1</v>
      </c>
      <c r="T353" s="14">
        <v>0.2</v>
      </c>
      <c r="U353" s="13">
        <v>1.0668</v>
      </c>
    </row>
    <row r="354" spans="1:21" ht="15" customHeight="1" x14ac:dyDescent="0.3">
      <c r="A354">
        <v>353</v>
      </c>
      <c r="B354" t="s">
        <v>1434</v>
      </c>
      <c r="C354" s="12">
        <v>42614</v>
      </c>
      <c r="D354" s="12">
        <v>42616</v>
      </c>
      <c r="E354" t="s">
        <v>371</v>
      </c>
      <c r="F354" t="s">
        <v>1435</v>
      </c>
      <c r="G354" t="s">
        <v>1436</v>
      </c>
      <c r="H354" t="s">
        <v>285</v>
      </c>
      <c r="I354" t="s">
        <v>210</v>
      </c>
      <c r="J354" t="s">
        <v>449</v>
      </c>
      <c r="K354" t="s">
        <v>450</v>
      </c>
      <c r="L354">
        <v>10009</v>
      </c>
      <c r="M354" t="s">
        <v>331</v>
      </c>
      <c r="N354" t="s">
        <v>1437</v>
      </c>
      <c r="O354" t="s">
        <v>229</v>
      </c>
      <c r="P354" t="s">
        <v>273</v>
      </c>
      <c r="Q354" t="s">
        <v>1438</v>
      </c>
      <c r="R354" s="13">
        <v>49.12</v>
      </c>
      <c r="S354">
        <v>4</v>
      </c>
      <c r="T354" s="14">
        <v>0</v>
      </c>
      <c r="U354" s="13">
        <v>23.086400000000001</v>
      </c>
    </row>
    <row r="355" spans="1:21" ht="15" customHeight="1" x14ac:dyDescent="0.3">
      <c r="A355">
        <v>354</v>
      </c>
      <c r="B355" t="s">
        <v>1434</v>
      </c>
      <c r="C355" s="12">
        <v>42614</v>
      </c>
      <c r="D355" s="12">
        <v>42616</v>
      </c>
      <c r="E355" t="s">
        <v>371</v>
      </c>
      <c r="F355" t="s">
        <v>1435</v>
      </c>
      <c r="G355" t="s">
        <v>1436</v>
      </c>
      <c r="H355" t="s">
        <v>285</v>
      </c>
      <c r="I355" t="s">
        <v>210</v>
      </c>
      <c r="J355" t="s">
        <v>449</v>
      </c>
      <c r="K355" t="s">
        <v>450</v>
      </c>
      <c r="L355">
        <v>10009</v>
      </c>
      <c r="M355" t="s">
        <v>331</v>
      </c>
      <c r="N355" t="s">
        <v>1441</v>
      </c>
      <c r="O355" t="s">
        <v>229</v>
      </c>
      <c r="P355" t="s">
        <v>258</v>
      </c>
      <c r="Q355" t="s">
        <v>1442</v>
      </c>
      <c r="R355" s="13">
        <v>4355.1679999999997</v>
      </c>
      <c r="S355">
        <v>4</v>
      </c>
      <c r="T355" s="14">
        <v>0.2</v>
      </c>
      <c r="U355" s="13">
        <v>1415.4295999999999</v>
      </c>
    </row>
    <row r="356" spans="1:21" ht="15" customHeight="1" x14ac:dyDescent="0.3">
      <c r="A356">
        <v>355</v>
      </c>
      <c r="B356" t="s">
        <v>1443</v>
      </c>
      <c r="C356" s="12">
        <v>42468</v>
      </c>
      <c r="D356" s="12">
        <v>42473</v>
      </c>
      <c r="E356" t="s">
        <v>233</v>
      </c>
      <c r="F356" t="s">
        <v>1444</v>
      </c>
      <c r="G356" t="s">
        <v>1445</v>
      </c>
      <c r="H356" t="s">
        <v>209</v>
      </c>
      <c r="I356" t="s">
        <v>210</v>
      </c>
      <c r="J356" t="s">
        <v>449</v>
      </c>
      <c r="K356" t="s">
        <v>450</v>
      </c>
      <c r="L356">
        <v>10035</v>
      </c>
      <c r="M356" t="s">
        <v>331</v>
      </c>
      <c r="N356" t="s">
        <v>1446</v>
      </c>
      <c r="O356" t="s">
        <v>215</v>
      </c>
      <c r="P356" t="s">
        <v>216</v>
      </c>
      <c r="Q356" t="s">
        <v>1447</v>
      </c>
      <c r="R356" s="13">
        <v>388.70400000000001</v>
      </c>
      <c r="S356">
        <v>6</v>
      </c>
      <c r="T356" s="14">
        <v>0.2</v>
      </c>
      <c r="U356" s="13">
        <v>-4.8587999999999996</v>
      </c>
    </row>
    <row r="357" spans="1:21" ht="15" customHeight="1" x14ac:dyDescent="0.3">
      <c r="A357">
        <v>356</v>
      </c>
      <c r="B357" t="s">
        <v>1443</v>
      </c>
      <c r="C357" s="12">
        <v>42468</v>
      </c>
      <c r="D357" s="12">
        <v>42473</v>
      </c>
      <c r="E357" t="s">
        <v>233</v>
      </c>
      <c r="F357" t="s">
        <v>1444</v>
      </c>
      <c r="G357" t="s">
        <v>1445</v>
      </c>
      <c r="H357" t="s">
        <v>209</v>
      </c>
      <c r="I357" t="s">
        <v>210</v>
      </c>
      <c r="J357" t="s">
        <v>449</v>
      </c>
      <c r="K357" t="s">
        <v>450</v>
      </c>
      <c r="L357">
        <v>10035</v>
      </c>
      <c r="M357" t="s">
        <v>331</v>
      </c>
      <c r="N357" t="s">
        <v>1448</v>
      </c>
      <c r="O357" t="s">
        <v>229</v>
      </c>
      <c r="P357" t="s">
        <v>356</v>
      </c>
      <c r="Q357" t="s">
        <v>1449</v>
      </c>
      <c r="R357" s="13">
        <v>8.26</v>
      </c>
      <c r="S357">
        <v>2</v>
      </c>
      <c r="T357" s="14">
        <v>0</v>
      </c>
      <c r="U357" s="13">
        <v>3.7995999999999999</v>
      </c>
    </row>
    <row r="358" spans="1:21" ht="15" customHeight="1" x14ac:dyDescent="0.3">
      <c r="A358">
        <v>357</v>
      </c>
      <c r="B358" t="s">
        <v>1443</v>
      </c>
      <c r="C358" s="12">
        <v>42468</v>
      </c>
      <c r="D358" s="12">
        <v>42473</v>
      </c>
      <c r="E358" t="s">
        <v>233</v>
      </c>
      <c r="F358" t="s">
        <v>1444</v>
      </c>
      <c r="G358" t="s">
        <v>1445</v>
      </c>
      <c r="H358" t="s">
        <v>209</v>
      </c>
      <c r="I358" t="s">
        <v>210</v>
      </c>
      <c r="J358" t="s">
        <v>449</v>
      </c>
      <c r="K358" t="s">
        <v>450</v>
      </c>
      <c r="L358">
        <v>10035</v>
      </c>
      <c r="M358" t="s">
        <v>331</v>
      </c>
      <c r="N358" t="s">
        <v>1450</v>
      </c>
      <c r="O358" t="s">
        <v>229</v>
      </c>
      <c r="P358" t="s">
        <v>251</v>
      </c>
      <c r="Q358" t="s">
        <v>1451</v>
      </c>
      <c r="R358" s="13">
        <v>17.04</v>
      </c>
      <c r="S358">
        <v>4</v>
      </c>
      <c r="T358" s="14">
        <v>0</v>
      </c>
      <c r="U358" s="13">
        <v>6.9863999999999997</v>
      </c>
    </row>
    <row r="359" spans="1:21" ht="15" customHeight="1" x14ac:dyDescent="0.3">
      <c r="A359">
        <v>358</v>
      </c>
      <c r="B359" t="s">
        <v>1443</v>
      </c>
      <c r="C359" s="12">
        <v>42468</v>
      </c>
      <c r="D359" s="12">
        <v>42473</v>
      </c>
      <c r="E359" t="s">
        <v>233</v>
      </c>
      <c r="F359" t="s">
        <v>1444</v>
      </c>
      <c r="G359" t="s">
        <v>1445</v>
      </c>
      <c r="H359" t="s">
        <v>209</v>
      </c>
      <c r="I359" t="s">
        <v>210</v>
      </c>
      <c r="J359" t="s">
        <v>449</v>
      </c>
      <c r="K359" t="s">
        <v>450</v>
      </c>
      <c r="L359">
        <v>10035</v>
      </c>
      <c r="M359" t="s">
        <v>331</v>
      </c>
      <c r="N359" t="s">
        <v>1452</v>
      </c>
      <c r="O359" t="s">
        <v>229</v>
      </c>
      <c r="P359" t="s">
        <v>273</v>
      </c>
      <c r="Q359" t="s">
        <v>1453</v>
      </c>
      <c r="R359" s="13">
        <v>34.4</v>
      </c>
      <c r="S359">
        <v>5</v>
      </c>
      <c r="T359" s="14">
        <v>0</v>
      </c>
      <c r="U359" s="13">
        <v>15.824</v>
      </c>
    </row>
    <row r="360" spans="1:21" ht="15" customHeight="1" x14ac:dyDescent="0.3">
      <c r="A360">
        <v>359</v>
      </c>
      <c r="B360" t="s">
        <v>1454</v>
      </c>
      <c r="C360" s="12">
        <v>42483</v>
      </c>
      <c r="D360" s="12">
        <v>42488</v>
      </c>
      <c r="E360" t="s">
        <v>233</v>
      </c>
      <c r="F360" t="s">
        <v>1004</v>
      </c>
      <c r="G360" t="s">
        <v>1005</v>
      </c>
      <c r="H360" t="s">
        <v>224</v>
      </c>
      <c r="I360" t="s">
        <v>210</v>
      </c>
      <c r="J360" t="s">
        <v>650</v>
      </c>
      <c r="K360" t="s">
        <v>271</v>
      </c>
      <c r="L360">
        <v>28205</v>
      </c>
      <c r="M360" t="s">
        <v>213</v>
      </c>
      <c r="N360" t="s">
        <v>987</v>
      </c>
      <c r="O360" t="s">
        <v>229</v>
      </c>
      <c r="P360" t="s">
        <v>273</v>
      </c>
      <c r="Q360" t="s">
        <v>988</v>
      </c>
      <c r="R360" s="13">
        <v>36.24</v>
      </c>
      <c r="S360">
        <v>5</v>
      </c>
      <c r="T360" s="14">
        <v>0.2</v>
      </c>
      <c r="U360" s="13">
        <v>11.324999999999999</v>
      </c>
    </row>
    <row r="361" spans="1:21" ht="15" customHeight="1" x14ac:dyDescent="0.3">
      <c r="A361">
        <v>360</v>
      </c>
      <c r="B361" t="s">
        <v>1455</v>
      </c>
      <c r="C361" s="12">
        <v>42802</v>
      </c>
      <c r="D361" s="12">
        <v>42805</v>
      </c>
      <c r="E361" t="s">
        <v>371</v>
      </c>
      <c r="F361" t="s">
        <v>1456</v>
      </c>
      <c r="G361" t="s">
        <v>1457</v>
      </c>
      <c r="H361" t="s">
        <v>224</v>
      </c>
      <c r="I361" t="s">
        <v>210</v>
      </c>
      <c r="J361" t="s">
        <v>680</v>
      </c>
      <c r="K361" t="s">
        <v>1458</v>
      </c>
      <c r="L361">
        <v>31907</v>
      </c>
      <c r="M361" t="s">
        <v>213</v>
      </c>
      <c r="N361" t="s">
        <v>1459</v>
      </c>
      <c r="O361" t="s">
        <v>229</v>
      </c>
      <c r="P361" t="s">
        <v>261</v>
      </c>
      <c r="Q361" t="s">
        <v>1460</v>
      </c>
      <c r="R361" s="13">
        <v>647.84</v>
      </c>
      <c r="S361">
        <v>8</v>
      </c>
      <c r="T361" s="14">
        <v>0</v>
      </c>
      <c r="U361" s="13">
        <v>168.4384</v>
      </c>
    </row>
    <row r="362" spans="1:21" ht="15" customHeight="1" x14ac:dyDescent="0.3">
      <c r="A362">
        <v>361</v>
      </c>
      <c r="B362" t="s">
        <v>1455</v>
      </c>
      <c r="C362" s="12">
        <v>42802</v>
      </c>
      <c r="D362" s="12">
        <v>42805</v>
      </c>
      <c r="E362" t="s">
        <v>371</v>
      </c>
      <c r="F362" t="s">
        <v>1456</v>
      </c>
      <c r="G362" t="s">
        <v>1457</v>
      </c>
      <c r="H362" t="s">
        <v>224</v>
      </c>
      <c r="I362" t="s">
        <v>210</v>
      </c>
      <c r="J362" t="s">
        <v>680</v>
      </c>
      <c r="K362" t="s">
        <v>1458</v>
      </c>
      <c r="L362">
        <v>31907</v>
      </c>
      <c r="M362" t="s">
        <v>213</v>
      </c>
      <c r="N362" t="s">
        <v>1461</v>
      </c>
      <c r="O362" t="s">
        <v>229</v>
      </c>
      <c r="P362" t="s">
        <v>230</v>
      </c>
      <c r="Q362" t="s">
        <v>1462</v>
      </c>
      <c r="R362" s="13">
        <v>20.7</v>
      </c>
      <c r="S362">
        <v>2</v>
      </c>
      <c r="T362" s="14">
        <v>0</v>
      </c>
      <c r="U362" s="13">
        <v>9.9359999999999999</v>
      </c>
    </row>
    <row r="363" spans="1:21" ht="15" customHeight="1" x14ac:dyDescent="0.3">
      <c r="A363">
        <v>362</v>
      </c>
      <c r="B363" t="s">
        <v>1463</v>
      </c>
      <c r="C363" s="12">
        <v>43003</v>
      </c>
      <c r="D363" s="12">
        <v>43009</v>
      </c>
      <c r="E363" t="s">
        <v>233</v>
      </c>
      <c r="F363" t="s">
        <v>1464</v>
      </c>
      <c r="G363" t="s">
        <v>1465</v>
      </c>
      <c r="H363" t="s">
        <v>209</v>
      </c>
      <c r="I363" t="s">
        <v>210</v>
      </c>
      <c r="J363" t="s">
        <v>449</v>
      </c>
      <c r="K363" t="s">
        <v>450</v>
      </c>
      <c r="L363">
        <v>10009</v>
      </c>
      <c r="M363" t="s">
        <v>331</v>
      </c>
      <c r="N363" t="s">
        <v>1461</v>
      </c>
      <c r="O363" t="s">
        <v>229</v>
      </c>
      <c r="P363" t="s">
        <v>230</v>
      </c>
      <c r="Q363" t="s">
        <v>1462</v>
      </c>
      <c r="R363" s="13">
        <v>20.7</v>
      </c>
      <c r="S363">
        <v>2</v>
      </c>
      <c r="T363" s="14">
        <v>0</v>
      </c>
      <c r="U363" s="13">
        <v>9.9359999999999999</v>
      </c>
    </row>
    <row r="364" spans="1:21" ht="15" customHeight="1" x14ac:dyDescent="0.3">
      <c r="A364">
        <v>363</v>
      </c>
      <c r="B364" t="s">
        <v>1463</v>
      </c>
      <c r="C364" s="12">
        <v>43003</v>
      </c>
      <c r="D364" s="12">
        <v>43009</v>
      </c>
      <c r="E364" t="s">
        <v>233</v>
      </c>
      <c r="F364" t="s">
        <v>1464</v>
      </c>
      <c r="G364" t="s">
        <v>1465</v>
      </c>
      <c r="H364" t="s">
        <v>209</v>
      </c>
      <c r="I364" t="s">
        <v>210</v>
      </c>
      <c r="J364" t="s">
        <v>449</v>
      </c>
      <c r="K364" t="s">
        <v>450</v>
      </c>
      <c r="L364">
        <v>10009</v>
      </c>
      <c r="M364" t="s">
        <v>331</v>
      </c>
      <c r="N364" t="s">
        <v>1466</v>
      </c>
      <c r="O364" t="s">
        <v>215</v>
      </c>
      <c r="P364" t="s">
        <v>219</v>
      </c>
      <c r="Q364" t="s">
        <v>1467</v>
      </c>
      <c r="R364" s="13">
        <v>488.64600000000002</v>
      </c>
      <c r="S364">
        <v>3</v>
      </c>
      <c r="T364" s="14">
        <v>0.1</v>
      </c>
      <c r="U364" s="13">
        <v>86.870400000000004</v>
      </c>
    </row>
    <row r="365" spans="1:21" ht="15" customHeight="1" x14ac:dyDescent="0.3">
      <c r="A365">
        <v>364</v>
      </c>
      <c r="B365" t="s">
        <v>1463</v>
      </c>
      <c r="C365" s="12">
        <v>43003</v>
      </c>
      <c r="D365" s="12">
        <v>43009</v>
      </c>
      <c r="E365" t="s">
        <v>233</v>
      </c>
      <c r="F365" t="s">
        <v>1464</v>
      </c>
      <c r="G365" t="s">
        <v>1465</v>
      </c>
      <c r="H365" t="s">
        <v>209</v>
      </c>
      <c r="I365" t="s">
        <v>210</v>
      </c>
      <c r="J365" t="s">
        <v>449</v>
      </c>
      <c r="K365" t="s">
        <v>450</v>
      </c>
      <c r="L365">
        <v>10009</v>
      </c>
      <c r="M365" t="s">
        <v>331</v>
      </c>
      <c r="N365" t="s">
        <v>1468</v>
      </c>
      <c r="O365" t="s">
        <v>229</v>
      </c>
      <c r="P365" t="s">
        <v>251</v>
      </c>
      <c r="Q365" t="s">
        <v>1469</v>
      </c>
      <c r="R365" s="13">
        <v>5.56</v>
      </c>
      <c r="S365">
        <v>2</v>
      </c>
      <c r="T365" s="14">
        <v>0</v>
      </c>
      <c r="U365" s="13">
        <v>1.4456</v>
      </c>
    </row>
    <row r="366" spans="1:21" ht="15" customHeight="1" x14ac:dyDescent="0.3">
      <c r="A366">
        <v>365</v>
      </c>
      <c r="B366" t="s">
        <v>1463</v>
      </c>
      <c r="C366" s="12">
        <v>43003</v>
      </c>
      <c r="D366" s="12">
        <v>43009</v>
      </c>
      <c r="E366" t="s">
        <v>233</v>
      </c>
      <c r="F366" t="s">
        <v>1464</v>
      </c>
      <c r="G366" t="s">
        <v>1465</v>
      </c>
      <c r="H366" t="s">
        <v>209</v>
      </c>
      <c r="I366" t="s">
        <v>210</v>
      </c>
      <c r="J366" t="s">
        <v>449</v>
      </c>
      <c r="K366" t="s">
        <v>450</v>
      </c>
      <c r="L366">
        <v>10009</v>
      </c>
      <c r="M366" t="s">
        <v>331</v>
      </c>
      <c r="N366" t="s">
        <v>1470</v>
      </c>
      <c r="O366" t="s">
        <v>215</v>
      </c>
      <c r="P366" t="s">
        <v>248</v>
      </c>
      <c r="Q366" t="s">
        <v>1471</v>
      </c>
      <c r="R366" s="13">
        <v>47.12</v>
      </c>
      <c r="S366">
        <v>8</v>
      </c>
      <c r="T366" s="14">
        <v>0</v>
      </c>
      <c r="U366" s="13">
        <v>20.732800000000001</v>
      </c>
    </row>
    <row r="367" spans="1:21" ht="15" customHeight="1" x14ac:dyDescent="0.3">
      <c r="A367">
        <v>366</v>
      </c>
      <c r="B367" t="s">
        <v>1472</v>
      </c>
      <c r="C367" s="12">
        <v>41906</v>
      </c>
      <c r="D367" s="12">
        <v>41911</v>
      </c>
      <c r="E367" t="s">
        <v>233</v>
      </c>
      <c r="F367" t="s">
        <v>1473</v>
      </c>
      <c r="G367" t="s">
        <v>1474</v>
      </c>
      <c r="H367" t="s">
        <v>209</v>
      </c>
      <c r="I367" t="s">
        <v>210</v>
      </c>
      <c r="J367" t="s">
        <v>310</v>
      </c>
      <c r="K367" t="s">
        <v>226</v>
      </c>
      <c r="L367">
        <v>94109</v>
      </c>
      <c r="M367" t="s">
        <v>227</v>
      </c>
      <c r="N367" t="s">
        <v>422</v>
      </c>
      <c r="O367" t="s">
        <v>229</v>
      </c>
      <c r="P367" t="s">
        <v>242</v>
      </c>
      <c r="Q367" t="s">
        <v>423</v>
      </c>
      <c r="R367" s="13">
        <v>211.96</v>
      </c>
      <c r="S367">
        <v>4</v>
      </c>
      <c r="T367" s="14">
        <v>0</v>
      </c>
      <c r="U367" s="13">
        <v>8.4783999999999899</v>
      </c>
    </row>
    <row r="368" spans="1:21" ht="15" customHeight="1" x14ac:dyDescent="0.3">
      <c r="A368">
        <v>367</v>
      </c>
      <c r="B368" t="s">
        <v>1475</v>
      </c>
      <c r="C368" s="12">
        <v>42664</v>
      </c>
      <c r="D368" s="12">
        <v>42664</v>
      </c>
      <c r="E368" t="s">
        <v>1476</v>
      </c>
      <c r="F368" t="s">
        <v>1477</v>
      </c>
      <c r="G368" t="s">
        <v>1478</v>
      </c>
      <c r="H368" t="s">
        <v>224</v>
      </c>
      <c r="I368" t="s">
        <v>210</v>
      </c>
      <c r="J368" t="s">
        <v>1479</v>
      </c>
      <c r="K368" t="s">
        <v>932</v>
      </c>
      <c r="L368">
        <v>6040</v>
      </c>
      <c r="M368" t="s">
        <v>331</v>
      </c>
      <c r="N368" t="s">
        <v>1480</v>
      </c>
      <c r="O368" t="s">
        <v>229</v>
      </c>
      <c r="P368" t="s">
        <v>258</v>
      </c>
      <c r="Q368" t="s">
        <v>1481</v>
      </c>
      <c r="R368" s="13">
        <v>23.2</v>
      </c>
      <c r="S368">
        <v>4</v>
      </c>
      <c r="T368" s="14">
        <v>0</v>
      </c>
      <c r="U368" s="13">
        <v>10.44</v>
      </c>
    </row>
    <row r="369" spans="1:21" ht="15" customHeight="1" x14ac:dyDescent="0.3">
      <c r="A369">
        <v>368</v>
      </c>
      <c r="B369" t="s">
        <v>1475</v>
      </c>
      <c r="C369" s="12">
        <v>42664</v>
      </c>
      <c r="D369" s="12">
        <v>42664</v>
      </c>
      <c r="E369" t="s">
        <v>1476</v>
      </c>
      <c r="F369" t="s">
        <v>1477</v>
      </c>
      <c r="G369" t="s">
        <v>1478</v>
      </c>
      <c r="H369" t="s">
        <v>224</v>
      </c>
      <c r="I369" t="s">
        <v>210</v>
      </c>
      <c r="J369" t="s">
        <v>1479</v>
      </c>
      <c r="K369" t="s">
        <v>932</v>
      </c>
      <c r="L369">
        <v>6040</v>
      </c>
      <c r="M369" t="s">
        <v>331</v>
      </c>
      <c r="N369" t="s">
        <v>1482</v>
      </c>
      <c r="O369" t="s">
        <v>229</v>
      </c>
      <c r="P369" t="s">
        <v>762</v>
      </c>
      <c r="Q369" t="s">
        <v>1483</v>
      </c>
      <c r="R369" s="13">
        <v>7.36</v>
      </c>
      <c r="S369">
        <v>2</v>
      </c>
      <c r="T369" s="14">
        <v>0</v>
      </c>
      <c r="U369" s="13">
        <v>0.1472</v>
      </c>
    </row>
    <row r="370" spans="1:21" ht="15" customHeight="1" x14ac:dyDescent="0.3">
      <c r="A370">
        <v>369</v>
      </c>
      <c r="B370" t="s">
        <v>1475</v>
      </c>
      <c r="C370" s="12">
        <v>42664</v>
      </c>
      <c r="D370" s="12">
        <v>42664</v>
      </c>
      <c r="E370" t="s">
        <v>1476</v>
      </c>
      <c r="F370" t="s">
        <v>1477</v>
      </c>
      <c r="G370" t="s">
        <v>1478</v>
      </c>
      <c r="H370" t="s">
        <v>224</v>
      </c>
      <c r="I370" t="s">
        <v>210</v>
      </c>
      <c r="J370" t="s">
        <v>1479</v>
      </c>
      <c r="K370" t="s">
        <v>932</v>
      </c>
      <c r="L370">
        <v>6040</v>
      </c>
      <c r="M370" t="s">
        <v>331</v>
      </c>
      <c r="N370" t="s">
        <v>1484</v>
      </c>
      <c r="O370" t="s">
        <v>229</v>
      </c>
      <c r="P370" t="s">
        <v>242</v>
      </c>
      <c r="Q370" t="s">
        <v>1485</v>
      </c>
      <c r="R370" s="13">
        <v>104.79</v>
      </c>
      <c r="S370">
        <v>7</v>
      </c>
      <c r="T370" s="14">
        <v>0</v>
      </c>
      <c r="U370" s="13">
        <v>29.341200000000001</v>
      </c>
    </row>
    <row r="371" spans="1:21" ht="15" customHeight="1" x14ac:dyDescent="0.3">
      <c r="A371">
        <v>370</v>
      </c>
      <c r="B371" t="s">
        <v>1475</v>
      </c>
      <c r="C371" s="12">
        <v>42664</v>
      </c>
      <c r="D371" s="12">
        <v>42664</v>
      </c>
      <c r="E371" t="s">
        <v>1476</v>
      </c>
      <c r="F371" t="s">
        <v>1477</v>
      </c>
      <c r="G371" t="s">
        <v>1478</v>
      </c>
      <c r="H371" t="s">
        <v>224</v>
      </c>
      <c r="I371" t="s">
        <v>210</v>
      </c>
      <c r="J371" t="s">
        <v>1479</v>
      </c>
      <c r="K371" t="s">
        <v>932</v>
      </c>
      <c r="L371">
        <v>6040</v>
      </c>
      <c r="M371" t="s">
        <v>331</v>
      </c>
      <c r="N371" t="s">
        <v>384</v>
      </c>
      <c r="O371" t="s">
        <v>215</v>
      </c>
      <c r="P371" t="s">
        <v>216</v>
      </c>
      <c r="Q371" t="s">
        <v>385</v>
      </c>
      <c r="R371" s="13">
        <v>1043.92</v>
      </c>
      <c r="S371">
        <v>4</v>
      </c>
      <c r="T371" s="14">
        <v>0</v>
      </c>
      <c r="U371" s="13">
        <v>271.41919999999999</v>
      </c>
    </row>
    <row r="372" spans="1:21" ht="15" customHeight="1" x14ac:dyDescent="0.3">
      <c r="A372">
        <v>371</v>
      </c>
      <c r="B372" t="s">
        <v>1486</v>
      </c>
      <c r="C372" s="12">
        <v>42884</v>
      </c>
      <c r="D372" s="12">
        <v>42890</v>
      </c>
      <c r="E372" t="s">
        <v>233</v>
      </c>
      <c r="F372" t="s">
        <v>1487</v>
      </c>
      <c r="G372" t="s">
        <v>1488</v>
      </c>
      <c r="H372" t="s">
        <v>209</v>
      </c>
      <c r="I372" t="s">
        <v>210</v>
      </c>
      <c r="J372" t="s">
        <v>1489</v>
      </c>
      <c r="K372" t="s">
        <v>287</v>
      </c>
      <c r="L372">
        <v>78550</v>
      </c>
      <c r="M372" t="s">
        <v>288</v>
      </c>
      <c r="N372" t="s">
        <v>1490</v>
      </c>
      <c r="O372" t="s">
        <v>229</v>
      </c>
      <c r="P372" t="s">
        <v>273</v>
      </c>
      <c r="Q372" t="s">
        <v>1491</v>
      </c>
      <c r="R372" s="13">
        <v>25.92</v>
      </c>
      <c r="S372">
        <v>5</v>
      </c>
      <c r="T372" s="14">
        <v>0.2</v>
      </c>
      <c r="U372" s="13">
        <v>9.3960000000000008</v>
      </c>
    </row>
    <row r="373" spans="1:21" ht="15" customHeight="1" x14ac:dyDescent="0.3">
      <c r="A373">
        <v>372</v>
      </c>
      <c r="B373" t="s">
        <v>1486</v>
      </c>
      <c r="C373" s="12">
        <v>42884</v>
      </c>
      <c r="D373" s="12">
        <v>42890</v>
      </c>
      <c r="E373" t="s">
        <v>233</v>
      </c>
      <c r="F373" t="s">
        <v>1487</v>
      </c>
      <c r="G373" t="s">
        <v>1488</v>
      </c>
      <c r="H373" t="s">
        <v>209</v>
      </c>
      <c r="I373" t="s">
        <v>210</v>
      </c>
      <c r="J373" t="s">
        <v>1489</v>
      </c>
      <c r="K373" t="s">
        <v>287</v>
      </c>
      <c r="L373">
        <v>78550</v>
      </c>
      <c r="M373" t="s">
        <v>288</v>
      </c>
      <c r="N373" t="s">
        <v>1492</v>
      </c>
      <c r="O373" t="s">
        <v>229</v>
      </c>
      <c r="P373" t="s">
        <v>242</v>
      </c>
      <c r="Q373" t="s">
        <v>1493</v>
      </c>
      <c r="R373" s="13">
        <v>53.423999999999999</v>
      </c>
      <c r="S373">
        <v>3</v>
      </c>
      <c r="T373" s="14">
        <v>0.2</v>
      </c>
      <c r="U373" s="13">
        <v>4.6745999999999999</v>
      </c>
    </row>
    <row r="374" spans="1:21" ht="15" customHeight="1" x14ac:dyDescent="0.3">
      <c r="A374">
        <v>373</v>
      </c>
      <c r="B374" t="s">
        <v>1494</v>
      </c>
      <c r="C374" s="12">
        <v>41843</v>
      </c>
      <c r="D374" s="12">
        <v>41847</v>
      </c>
      <c r="E374" t="s">
        <v>233</v>
      </c>
      <c r="F374" t="s">
        <v>1495</v>
      </c>
      <c r="G374" t="s">
        <v>1496</v>
      </c>
      <c r="H374" t="s">
        <v>209</v>
      </c>
      <c r="I374" t="s">
        <v>210</v>
      </c>
      <c r="J374" t="s">
        <v>1497</v>
      </c>
      <c r="K374" t="s">
        <v>493</v>
      </c>
      <c r="L374">
        <v>85705</v>
      </c>
      <c r="M374" t="s">
        <v>227</v>
      </c>
      <c r="N374" t="s">
        <v>1394</v>
      </c>
      <c r="O374" t="s">
        <v>229</v>
      </c>
      <c r="P374" t="s">
        <v>258</v>
      </c>
      <c r="Q374" t="s">
        <v>1395</v>
      </c>
      <c r="R374" s="13">
        <v>8.16</v>
      </c>
      <c r="S374">
        <v>5</v>
      </c>
      <c r="T374" s="14">
        <v>0.7</v>
      </c>
      <c r="U374" s="13">
        <v>-5.7119999999999997</v>
      </c>
    </row>
    <row r="375" spans="1:21" ht="15" customHeight="1" x14ac:dyDescent="0.3">
      <c r="A375">
        <v>374</v>
      </c>
      <c r="B375" t="s">
        <v>1494</v>
      </c>
      <c r="C375" s="12">
        <v>41843</v>
      </c>
      <c r="D375" s="12">
        <v>41847</v>
      </c>
      <c r="E375" t="s">
        <v>233</v>
      </c>
      <c r="F375" t="s">
        <v>1495</v>
      </c>
      <c r="G375" t="s">
        <v>1496</v>
      </c>
      <c r="H375" t="s">
        <v>209</v>
      </c>
      <c r="I375" t="s">
        <v>210</v>
      </c>
      <c r="J375" t="s">
        <v>1497</v>
      </c>
      <c r="K375" t="s">
        <v>493</v>
      </c>
      <c r="L375">
        <v>85705</v>
      </c>
      <c r="M375" t="s">
        <v>227</v>
      </c>
      <c r="N375" t="s">
        <v>1498</v>
      </c>
      <c r="O375" t="s">
        <v>254</v>
      </c>
      <c r="P375" t="s">
        <v>344</v>
      </c>
      <c r="Q375" t="s">
        <v>1499</v>
      </c>
      <c r="R375" s="13">
        <v>1023.936</v>
      </c>
      <c r="S375">
        <v>8</v>
      </c>
      <c r="T375" s="14">
        <v>0.2</v>
      </c>
      <c r="U375" s="13">
        <v>179.18879999999999</v>
      </c>
    </row>
    <row r="376" spans="1:21" ht="15" customHeight="1" x14ac:dyDescent="0.3">
      <c r="A376">
        <v>375</v>
      </c>
      <c r="B376" t="s">
        <v>1494</v>
      </c>
      <c r="C376" s="12">
        <v>41843</v>
      </c>
      <c r="D376" s="12">
        <v>41847</v>
      </c>
      <c r="E376" t="s">
        <v>233</v>
      </c>
      <c r="F376" t="s">
        <v>1495</v>
      </c>
      <c r="G376" t="s">
        <v>1496</v>
      </c>
      <c r="H376" t="s">
        <v>209</v>
      </c>
      <c r="I376" t="s">
        <v>210</v>
      </c>
      <c r="J376" t="s">
        <v>1497</v>
      </c>
      <c r="K376" t="s">
        <v>493</v>
      </c>
      <c r="L376">
        <v>85705</v>
      </c>
      <c r="M376" t="s">
        <v>227</v>
      </c>
      <c r="N376" t="s">
        <v>1500</v>
      </c>
      <c r="O376" t="s">
        <v>229</v>
      </c>
      <c r="P376" t="s">
        <v>251</v>
      </c>
      <c r="Q376" t="s">
        <v>1501</v>
      </c>
      <c r="R376" s="13">
        <v>9.24</v>
      </c>
      <c r="S376">
        <v>1</v>
      </c>
      <c r="T376" s="14">
        <v>0.2</v>
      </c>
      <c r="U376" s="13">
        <v>0.92400000000000004</v>
      </c>
    </row>
    <row r="377" spans="1:21" ht="15" customHeight="1" x14ac:dyDescent="0.3">
      <c r="A377">
        <v>376</v>
      </c>
      <c r="B377" t="s">
        <v>1494</v>
      </c>
      <c r="C377" s="12">
        <v>41843</v>
      </c>
      <c r="D377" s="12">
        <v>41847</v>
      </c>
      <c r="E377" t="s">
        <v>233</v>
      </c>
      <c r="F377" t="s">
        <v>1495</v>
      </c>
      <c r="G377" t="s">
        <v>1496</v>
      </c>
      <c r="H377" t="s">
        <v>209</v>
      </c>
      <c r="I377" t="s">
        <v>210</v>
      </c>
      <c r="J377" t="s">
        <v>1497</v>
      </c>
      <c r="K377" t="s">
        <v>493</v>
      </c>
      <c r="L377">
        <v>85705</v>
      </c>
      <c r="M377" t="s">
        <v>227</v>
      </c>
      <c r="N377" t="s">
        <v>1502</v>
      </c>
      <c r="O377" t="s">
        <v>254</v>
      </c>
      <c r="P377" t="s">
        <v>344</v>
      </c>
      <c r="Q377" t="s">
        <v>1503</v>
      </c>
      <c r="R377" s="13">
        <v>479.04</v>
      </c>
      <c r="S377">
        <v>10</v>
      </c>
      <c r="T377" s="14">
        <v>0.2</v>
      </c>
      <c r="U377" s="13">
        <v>-29.94</v>
      </c>
    </row>
    <row r="378" spans="1:21" ht="15" customHeight="1" x14ac:dyDescent="0.3">
      <c r="A378">
        <v>377</v>
      </c>
      <c r="B378" t="s">
        <v>1504</v>
      </c>
      <c r="C378" s="12">
        <v>42641</v>
      </c>
      <c r="D378" s="12">
        <v>42644</v>
      </c>
      <c r="E378" t="s">
        <v>371</v>
      </c>
      <c r="F378" t="s">
        <v>1505</v>
      </c>
      <c r="G378" t="s">
        <v>1506</v>
      </c>
      <c r="H378" t="s">
        <v>224</v>
      </c>
      <c r="I378" t="s">
        <v>210</v>
      </c>
      <c r="J378" t="s">
        <v>1507</v>
      </c>
      <c r="K378" t="s">
        <v>394</v>
      </c>
      <c r="L378">
        <v>62301</v>
      </c>
      <c r="M378" t="s">
        <v>288</v>
      </c>
      <c r="N378" t="s">
        <v>1508</v>
      </c>
      <c r="O378" t="s">
        <v>229</v>
      </c>
      <c r="P378" t="s">
        <v>273</v>
      </c>
      <c r="Q378" t="s">
        <v>1509</v>
      </c>
      <c r="R378" s="13">
        <v>99.135999999999996</v>
      </c>
      <c r="S378">
        <v>4</v>
      </c>
      <c r="T378" s="14">
        <v>0.2</v>
      </c>
      <c r="U378" s="13">
        <v>30.98</v>
      </c>
    </row>
    <row r="379" spans="1:21" ht="15" customHeight="1" x14ac:dyDescent="0.3">
      <c r="A379">
        <v>378</v>
      </c>
      <c r="B379" t="s">
        <v>1510</v>
      </c>
      <c r="C379" s="12">
        <v>42974</v>
      </c>
      <c r="D379" s="12">
        <v>42979</v>
      </c>
      <c r="E379" t="s">
        <v>233</v>
      </c>
      <c r="F379" t="s">
        <v>1511</v>
      </c>
      <c r="G379" t="s">
        <v>1512</v>
      </c>
      <c r="H379" t="s">
        <v>224</v>
      </c>
      <c r="I379" t="s">
        <v>210</v>
      </c>
      <c r="J379" t="s">
        <v>796</v>
      </c>
      <c r="K379" t="s">
        <v>1431</v>
      </c>
      <c r="L379">
        <v>2038</v>
      </c>
      <c r="M379" t="s">
        <v>331</v>
      </c>
      <c r="N379" t="s">
        <v>1513</v>
      </c>
      <c r="O379" t="s">
        <v>215</v>
      </c>
      <c r="P379" t="s">
        <v>239</v>
      </c>
      <c r="Q379" t="s">
        <v>1514</v>
      </c>
      <c r="R379" s="13">
        <v>1488.424</v>
      </c>
      <c r="S379">
        <v>7</v>
      </c>
      <c r="T379" s="14">
        <v>0.3</v>
      </c>
      <c r="U379" s="13">
        <v>-297.6848</v>
      </c>
    </row>
    <row r="380" spans="1:21" ht="15" customHeight="1" x14ac:dyDescent="0.3">
      <c r="A380">
        <v>379</v>
      </c>
      <c r="B380" t="s">
        <v>1515</v>
      </c>
      <c r="C380" s="12">
        <v>42122</v>
      </c>
      <c r="D380" s="12">
        <v>42129</v>
      </c>
      <c r="E380" t="s">
        <v>233</v>
      </c>
      <c r="F380" t="s">
        <v>1516</v>
      </c>
      <c r="G380" t="s">
        <v>1517</v>
      </c>
      <c r="H380" t="s">
        <v>209</v>
      </c>
      <c r="I380" t="s">
        <v>210</v>
      </c>
      <c r="J380" t="s">
        <v>367</v>
      </c>
      <c r="K380" t="s">
        <v>287</v>
      </c>
      <c r="L380">
        <v>77095</v>
      </c>
      <c r="M380" t="s">
        <v>288</v>
      </c>
      <c r="N380" t="s">
        <v>1518</v>
      </c>
      <c r="O380" t="s">
        <v>229</v>
      </c>
      <c r="P380" t="s">
        <v>261</v>
      </c>
      <c r="Q380" t="s">
        <v>1519</v>
      </c>
      <c r="R380" s="13">
        <v>8.6519999999999992</v>
      </c>
      <c r="S380">
        <v>3</v>
      </c>
      <c r="T380" s="14">
        <v>0.8</v>
      </c>
      <c r="U380" s="13">
        <v>-20.3322</v>
      </c>
    </row>
    <row r="381" spans="1:21" ht="15" customHeight="1" x14ac:dyDescent="0.3">
      <c r="A381">
        <v>380</v>
      </c>
      <c r="B381" t="s">
        <v>1515</v>
      </c>
      <c r="C381" s="12">
        <v>42122</v>
      </c>
      <c r="D381" s="12">
        <v>42129</v>
      </c>
      <c r="E381" t="s">
        <v>233</v>
      </c>
      <c r="F381" t="s">
        <v>1516</v>
      </c>
      <c r="G381" t="s">
        <v>1517</v>
      </c>
      <c r="H381" t="s">
        <v>209</v>
      </c>
      <c r="I381" t="s">
        <v>210</v>
      </c>
      <c r="J381" t="s">
        <v>367</v>
      </c>
      <c r="K381" t="s">
        <v>287</v>
      </c>
      <c r="L381">
        <v>77095</v>
      </c>
      <c r="M381" t="s">
        <v>288</v>
      </c>
      <c r="N381" t="s">
        <v>1520</v>
      </c>
      <c r="O381" t="s">
        <v>229</v>
      </c>
      <c r="P381" t="s">
        <v>242</v>
      </c>
      <c r="Q381" t="s">
        <v>1521</v>
      </c>
      <c r="R381" s="13">
        <v>23.832000000000001</v>
      </c>
      <c r="S381">
        <v>3</v>
      </c>
      <c r="T381" s="14">
        <v>0.2</v>
      </c>
      <c r="U381" s="13">
        <v>2.6810999999999998</v>
      </c>
    </row>
    <row r="382" spans="1:21" ht="15" customHeight="1" x14ac:dyDescent="0.3">
      <c r="A382">
        <v>381</v>
      </c>
      <c r="B382" t="s">
        <v>1515</v>
      </c>
      <c r="C382" s="12">
        <v>42122</v>
      </c>
      <c r="D382" s="12">
        <v>42129</v>
      </c>
      <c r="E382" t="s">
        <v>233</v>
      </c>
      <c r="F382" t="s">
        <v>1516</v>
      </c>
      <c r="G382" t="s">
        <v>1517</v>
      </c>
      <c r="H382" t="s">
        <v>209</v>
      </c>
      <c r="I382" t="s">
        <v>210</v>
      </c>
      <c r="J382" t="s">
        <v>367</v>
      </c>
      <c r="K382" t="s">
        <v>287</v>
      </c>
      <c r="L382">
        <v>77095</v>
      </c>
      <c r="M382" t="s">
        <v>288</v>
      </c>
      <c r="N382" t="s">
        <v>1522</v>
      </c>
      <c r="O382" t="s">
        <v>229</v>
      </c>
      <c r="P382" t="s">
        <v>258</v>
      </c>
      <c r="Q382" t="s">
        <v>1523</v>
      </c>
      <c r="R382" s="13">
        <v>12.176</v>
      </c>
      <c r="S382">
        <v>4</v>
      </c>
      <c r="T382" s="14">
        <v>0.8</v>
      </c>
      <c r="U382" s="13">
        <v>-18.872800000000002</v>
      </c>
    </row>
    <row r="383" spans="1:21" ht="15" customHeight="1" x14ac:dyDescent="0.3">
      <c r="A383">
        <v>382</v>
      </c>
      <c r="B383" t="s">
        <v>1524</v>
      </c>
      <c r="C383" s="12">
        <v>42671</v>
      </c>
      <c r="D383" s="12">
        <v>42672</v>
      </c>
      <c r="E383" t="s">
        <v>371</v>
      </c>
      <c r="F383" t="s">
        <v>1525</v>
      </c>
      <c r="G383" t="s">
        <v>1526</v>
      </c>
      <c r="H383" t="s">
        <v>224</v>
      </c>
      <c r="I383" t="s">
        <v>210</v>
      </c>
      <c r="J383" t="s">
        <v>310</v>
      </c>
      <c r="K383" t="s">
        <v>226</v>
      </c>
      <c r="L383">
        <v>94109</v>
      </c>
      <c r="M383" t="s">
        <v>227</v>
      </c>
      <c r="N383" t="s">
        <v>1527</v>
      </c>
      <c r="O383" t="s">
        <v>229</v>
      </c>
      <c r="P383" t="s">
        <v>273</v>
      </c>
      <c r="Q383" t="s">
        <v>1528</v>
      </c>
      <c r="R383" s="13">
        <v>50.96</v>
      </c>
      <c r="S383">
        <v>7</v>
      </c>
      <c r="T383" s="14">
        <v>0</v>
      </c>
      <c r="U383" s="13">
        <v>25.48</v>
      </c>
    </row>
    <row r="384" spans="1:21" ht="15" customHeight="1" x14ac:dyDescent="0.3">
      <c r="A384">
        <v>383</v>
      </c>
      <c r="B384" t="s">
        <v>1524</v>
      </c>
      <c r="C384" s="12">
        <v>42671</v>
      </c>
      <c r="D384" s="12">
        <v>42672</v>
      </c>
      <c r="E384" t="s">
        <v>371</v>
      </c>
      <c r="F384" t="s">
        <v>1525</v>
      </c>
      <c r="G384" t="s">
        <v>1526</v>
      </c>
      <c r="H384" t="s">
        <v>224</v>
      </c>
      <c r="I384" t="s">
        <v>210</v>
      </c>
      <c r="J384" t="s">
        <v>310</v>
      </c>
      <c r="K384" t="s">
        <v>226</v>
      </c>
      <c r="L384">
        <v>94109</v>
      </c>
      <c r="M384" t="s">
        <v>227</v>
      </c>
      <c r="N384" t="s">
        <v>1529</v>
      </c>
      <c r="O384" t="s">
        <v>229</v>
      </c>
      <c r="P384" t="s">
        <v>258</v>
      </c>
      <c r="Q384" t="s">
        <v>1530</v>
      </c>
      <c r="R384" s="13">
        <v>49.536000000000001</v>
      </c>
      <c r="S384">
        <v>3</v>
      </c>
      <c r="T384" s="14">
        <v>0.2</v>
      </c>
      <c r="U384" s="13">
        <v>17.337599999999998</v>
      </c>
    </row>
    <row r="385" spans="1:21" ht="15" customHeight="1" x14ac:dyDescent="0.3">
      <c r="A385">
        <v>384</v>
      </c>
      <c r="B385" t="s">
        <v>1531</v>
      </c>
      <c r="C385" s="12">
        <v>42181</v>
      </c>
      <c r="D385" s="12">
        <v>42184</v>
      </c>
      <c r="E385" t="s">
        <v>206</v>
      </c>
      <c r="F385" t="s">
        <v>1532</v>
      </c>
      <c r="G385" t="s">
        <v>1533</v>
      </c>
      <c r="H385" t="s">
        <v>224</v>
      </c>
      <c r="I385" t="s">
        <v>210</v>
      </c>
      <c r="J385" t="s">
        <v>1299</v>
      </c>
      <c r="K385" t="s">
        <v>421</v>
      </c>
      <c r="L385">
        <v>48180</v>
      </c>
      <c r="M385" t="s">
        <v>288</v>
      </c>
      <c r="N385" t="s">
        <v>1534</v>
      </c>
      <c r="O385" t="s">
        <v>254</v>
      </c>
      <c r="P385" t="s">
        <v>344</v>
      </c>
      <c r="Q385" t="s">
        <v>1535</v>
      </c>
      <c r="R385" s="13">
        <v>41.9</v>
      </c>
      <c r="S385">
        <v>2</v>
      </c>
      <c r="T385" s="14">
        <v>0</v>
      </c>
      <c r="U385" s="13">
        <v>8.7989999999999995</v>
      </c>
    </row>
    <row r="386" spans="1:21" ht="15" customHeight="1" x14ac:dyDescent="0.3">
      <c r="A386">
        <v>385</v>
      </c>
      <c r="B386" t="s">
        <v>1536</v>
      </c>
      <c r="C386" s="12">
        <v>42335</v>
      </c>
      <c r="D386" s="12">
        <v>42340</v>
      </c>
      <c r="E386" t="s">
        <v>233</v>
      </c>
      <c r="F386" t="s">
        <v>1537</v>
      </c>
      <c r="G386" t="s">
        <v>1538</v>
      </c>
      <c r="H386" t="s">
        <v>209</v>
      </c>
      <c r="I386" t="s">
        <v>210</v>
      </c>
      <c r="J386" t="s">
        <v>1539</v>
      </c>
      <c r="K386" t="s">
        <v>237</v>
      </c>
      <c r="L386">
        <v>33024</v>
      </c>
      <c r="M386" t="s">
        <v>213</v>
      </c>
      <c r="N386" t="s">
        <v>1540</v>
      </c>
      <c r="O386" t="s">
        <v>215</v>
      </c>
      <c r="P386" t="s">
        <v>239</v>
      </c>
      <c r="Q386" t="s">
        <v>1541</v>
      </c>
      <c r="R386" s="13">
        <v>375.45749999999998</v>
      </c>
      <c r="S386">
        <v>3</v>
      </c>
      <c r="T386" s="14">
        <v>0.45</v>
      </c>
      <c r="U386" s="13">
        <v>-157.0095</v>
      </c>
    </row>
    <row r="387" spans="1:21" ht="15" customHeight="1" x14ac:dyDescent="0.3">
      <c r="A387">
        <v>386</v>
      </c>
      <c r="B387" t="s">
        <v>1536</v>
      </c>
      <c r="C387" s="12">
        <v>42335</v>
      </c>
      <c r="D387" s="12">
        <v>42340</v>
      </c>
      <c r="E387" t="s">
        <v>233</v>
      </c>
      <c r="F387" t="s">
        <v>1537</v>
      </c>
      <c r="G387" t="s">
        <v>1538</v>
      </c>
      <c r="H387" t="s">
        <v>209</v>
      </c>
      <c r="I387" t="s">
        <v>210</v>
      </c>
      <c r="J387" t="s">
        <v>1539</v>
      </c>
      <c r="K387" t="s">
        <v>237</v>
      </c>
      <c r="L387">
        <v>33024</v>
      </c>
      <c r="M387" t="s">
        <v>213</v>
      </c>
      <c r="N387" t="s">
        <v>1542</v>
      </c>
      <c r="O387" t="s">
        <v>254</v>
      </c>
      <c r="P387" t="s">
        <v>344</v>
      </c>
      <c r="Q387" t="s">
        <v>1543</v>
      </c>
      <c r="R387" s="13">
        <v>83.975999999999999</v>
      </c>
      <c r="S387">
        <v>3</v>
      </c>
      <c r="T387" s="14">
        <v>0.2</v>
      </c>
      <c r="U387" s="13">
        <v>-1.0497000000000101</v>
      </c>
    </row>
    <row r="388" spans="1:21" ht="15" customHeight="1" x14ac:dyDescent="0.3">
      <c r="A388">
        <v>387</v>
      </c>
      <c r="B388" t="s">
        <v>1544</v>
      </c>
      <c r="C388" s="12">
        <v>42341</v>
      </c>
      <c r="D388" s="12">
        <v>42345</v>
      </c>
      <c r="E388" t="s">
        <v>233</v>
      </c>
      <c r="F388" t="s">
        <v>1545</v>
      </c>
      <c r="G388" t="s">
        <v>1546</v>
      </c>
      <c r="H388" t="s">
        <v>224</v>
      </c>
      <c r="I388" t="s">
        <v>210</v>
      </c>
      <c r="J388" t="s">
        <v>329</v>
      </c>
      <c r="K388" t="s">
        <v>330</v>
      </c>
      <c r="L388">
        <v>19140</v>
      </c>
      <c r="M388" t="s">
        <v>331</v>
      </c>
      <c r="N388" t="s">
        <v>1547</v>
      </c>
      <c r="O388" t="s">
        <v>254</v>
      </c>
      <c r="P388" t="s">
        <v>867</v>
      </c>
      <c r="Q388" t="s">
        <v>1548</v>
      </c>
      <c r="R388" s="13">
        <v>482.34</v>
      </c>
      <c r="S388">
        <v>4</v>
      </c>
      <c r="T388" s="14">
        <v>0.7</v>
      </c>
      <c r="U388" s="13">
        <v>-337.63799999999998</v>
      </c>
    </row>
    <row r="389" spans="1:21" ht="15" customHeight="1" x14ac:dyDescent="0.3">
      <c r="A389">
        <v>388</v>
      </c>
      <c r="B389" t="s">
        <v>1544</v>
      </c>
      <c r="C389" s="12">
        <v>42341</v>
      </c>
      <c r="D389" s="12">
        <v>42345</v>
      </c>
      <c r="E389" t="s">
        <v>233</v>
      </c>
      <c r="F389" t="s">
        <v>1545</v>
      </c>
      <c r="G389" t="s">
        <v>1546</v>
      </c>
      <c r="H389" t="s">
        <v>224</v>
      </c>
      <c r="I389" t="s">
        <v>210</v>
      </c>
      <c r="J389" t="s">
        <v>329</v>
      </c>
      <c r="K389" t="s">
        <v>330</v>
      </c>
      <c r="L389">
        <v>19140</v>
      </c>
      <c r="M389" t="s">
        <v>331</v>
      </c>
      <c r="N389" t="s">
        <v>1549</v>
      </c>
      <c r="O389" t="s">
        <v>215</v>
      </c>
      <c r="P389" t="s">
        <v>248</v>
      </c>
      <c r="Q389" t="s">
        <v>1550</v>
      </c>
      <c r="R389" s="13">
        <v>2.96</v>
      </c>
      <c r="S389">
        <v>1</v>
      </c>
      <c r="T389" s="14">
        <v>0.2</v>
      </c>
      <c r="U389" s="13">
        <v>0.77700000000000002</v>
      </c>
    </row>
    <row r="390" spans="1:21" ht="15" customHeight="1" x14ac:dyDescent="0.3">
      <c r="A390">
        <v>389</v>
      </c>
      <c r="B390" t="s">
        <v>1551</v>
      </c>
      <c r="C390" s="12">
        <v>41967</v>
      </c>
      <c r="D390" s="12">
        <v>41969</v>
      </c>
      <c r="E390" t="s">
        <v>371</v>
      </c>
      <c r="F390" t="s">
        <v>1552</v>
      </c>
      <c r="G390" t="s">
        <v>1553</v>
      </c>
      <c r="H390" t="s">
        <v>209</v>
      </c>
      <c r="I390" t="s">
        <v>210</v>
      </c>
      <c r="J390" t="s">
        <v>1193</v>
      </c>
      <c r="K390" t="s">
        <v>681</v>
      </c>
      <c r="L390">
        <v>45231</v>
      </c>
      <c r="M390" t="s">
        <v>331</v>
      </c>
      <c r="N390" t="s">
        <v>1554</v>
      </c>
      <c r="O390" t="s">
        <v>229</v>
      </c>
      <c r="P390" t="s">
        <v>251</v>
      </c>
      <c r="Q390" t="s">
        <v>1555</v>
      </c>
      <c r="R390" s="13">
        <v>2.6240000000000001</v>
      </c>
      <c r="S390">
        <v>1</v>
      </c>
      <c r="T390" s="14">
        <v>0.2</v>
      </c>
      <c r="U390" s="13">
        <v>0.4264</v>
      </c>
    </row>
    <row r="391" spans="1:21" ht="15" customHeight="1" x14ac:dyDescent="0.3">
      <c r="A391">
        <v>390</v>
      </c>
      <c r="B391" t="s">
        <v>1556</v>
      </c>
      <c r="C391" s="12">
        <v>43080</v>
      </c>
      <c r="D391" s="12">
        <v>43084</v>
      </c>
      <c r="E391" t="s">
        <v>233</v>
      </c>
      <c r="F391" t="s">
        <v>1557</v>
      </c>
      <c r="G391" t="s">
        <v>1558</v>
      </c>
      <c r="H391" t="s">
        <v>209</v>
      </c>
      <c r="I391" t="s">
        <v>210</v>
      </c>
      <c r="J391" t="s">
        <v>449</v>
      </c>
      <c r="K391" t="s">
        <v>450</v>
      </c>
      <c r="L391">
        <v>10009</v>
      </c>
      <c r="M391" t="s">
        <v>331</v>
      </c>
      <c r="N391" t="s">
        <v>1559</v>
      </c>
      <c r="O391" t="s">
        <v>229</v>
      </c>
      <c r="P391" t="s">
        <v>258</v>
      </c>
      <c r="Q391" t="s">
        <v>1560</v>
      </c>
      <c r="R391" s="13">
        <v>23.36</v>
      </c>
      <c r="S391">
        <v>4</v>
      </c>
      <c r="T391" s="14">
        <v>0.2</v>
      </c>
      <c r="U391" s="13">
        <v>7.8840000000000003</v>
      </c>
    </row>
    <row r="392" spans="1:21" ht="15" customHeight="1" x14ac:dyDescent="0.3">
      <c r="A392">
        <v>391</v>
      </c>
      <c r="B392" t="s">
        <v>1556</v>
      </c>
      <c r="C392" s="12">
        <v>43080</v>
      </c>
      <c r="D392" s="12">
        <v>43084</v>
      </c>
      <c r="E392" t="s">
        <v>233</v>
      </c>
      <c r="F392" t="s">
        <v>1557</v>
      </c>
      <c r="G392" t="s">
        <v>1558</v>
      </c>
      <c r="H392" t="s">
        <v>209</v>
      </c>
      <c r="I392" t="s">
        <v>210</v>
      </c>
      <c r="J392" t="s">
        <v>449</v>
      </c>
      <c r="K392" t="s">
        <v>450</v>
      </c>
      <c r="L392">
        <v>10009</v>
      </c>
      <c r="M392" t="s">
        <v>331</v>
      </c>
      <c r="N392" t="s">
        <v>573</v>
      </c>
      <c r="O392" t="s">
        <v>254</v>
      </c>
      <c r="P392" t="s">
        <v>344</v>
      </c>
      <c r="Q392" t="s">
        <v>574</v>
      </c>
      <c r="R392" s="13">
        <v>39.979999999999997</v>
      </c>
      <c r="S392">
        <v>2</v>
      </c>
      <c r="T392" s="14">
        <v>0</v>
      </c>
      <c r="U392" s="13">
        <v>13.5932</v>
      </c>
    </row>
    <row r="393" spans="1:21" ht="15" customHeight="1" x14ac:dyDescent="0.3">
      <c r="A393">
        <v>392</v>
      </c>
      <c r="B393" t="s">
        <v>1561</v>
      </c>
      <c r="C393" s="12">
        <v>41903</v>
      </c>
      <c r="D393" s="12">
        <v>41905</v>
      </c>
      <c r="E393" t="s">
        <v>206</v>
      </c>
      <c r="F393" t="s">
        <v>1562</v>
      </c>
      <c r="G393" t="s">
        <v>1563</v>
      </c>
      <c r="H393" t="s">
        <v>209</v>
      </c>
      <c r="I393" t="s">
        <v>210</v>
      </c>
      <c r="J393" t="s">
        <v>1564</v>
      </c>
      <c r="K393" t="s">
        <v>279</v>
      </c>
      <c r="L393">
        <v>98198</v>
      </c>
      <c r="M393" t="s">
        <v>227</v>
      </c>
      <c r="N393" t="s">
        <v>1565</v>
      </c>
      <c r="O393" t="s">
        <v>254</v>
      </c>
      <c r="P393" t="s">
        <v>255</v>
      </c>
      <c r="Q393" t="s">
        <v>1566</v>
      </c>
      <c r="R393" s="13">
        <v>246.38399999999999</v>
      </c>
      <c r="S393">
        <v>2</v>
      </c>
      <c r="T393" s="14">
        <v>0.2</v>
      </c>
      <c r="U393" s="13">
        <v>27.7182</v>
      </c>
    </row>
    <row r="394" spans="1:21" ht="15" customHeight="1" x14ac:dyDescent="0.3">
      <c r="A394">
        <v>393</v>
      </c>
      <c r="B394" t="s">
        <v>1561</v>
      </c>
      <c r="C394" s="12">
        <v>41903</v>
      </c>
      <c r="D394" s="12">
        <v>41905</v>
      </c>
      <c r="E394" t="s">
        <v>206</v>
      </c>
      <c r="F394" t="s">
        <v>1562</v>
      </c>
      <c r="G394" t="s">
        <v>1563</v>
      </c>
      <c r="H394" t="s">
        <v>209</v>
      </c>
      <c r="I394" t="s">
        <v>210</v>
      </c>
      <c r="J394" t="s">
        <v>1564</v>
      </c>
      <c r="K394" t="s">
        <v>279</v>
      </c>
      <c r="L394">
        <v>98198</v>
      </c>
      <c r="M394" t="s">
        <v>227</v>
      </c>
      <c r="N394" t="s">
        <v>1567</v>
      </c>
      <c r="O394" t="s">
        <v>254</v>
      </c>
      <c r="P394" t="s">
        <v>1402</v>
      </c>
      <c r="Q394" t="s">
        <v>1568</v>
      </c>
      <c r="R394" s="13">
        <v>1799.97</v>
      </c>
      <c r="S394">
        <v>3</v>
      </c>
      <c r="T394" s="14">
        <v>0</v>
      </c>
      <c r="U394" s="13">
        <v>701.98829999999998</v>
      </c>
    </row>
    <row r="395" spans="1:21" ht="15" customHeight="1" x14ac:dyDescent="0.3">
      <c r="A395">
        <v>394</v>
      </c>
      <c r="B395" t="s">
        <v>1569</v>
      </c>
      <c r="C395" s="12">
        <v>41797</v>
      </c>
      <c r="D395" s="12">
        <v>41800</v>
      </c>
      <c r="E395" t="s">
        <v>206</v>
      </c>
      <c r="F395" t="s">
        <v>1570</v>
      </c>
      <c r="G395" t="s">
        <v>1571</v>
      </c>
      <c r="H395" t="s">
        <v>224</v>
      </c>
      <c r="I395" t="s">
        <v>210</v>
      </c>
      <c r="J395" t="s">
        <v>1572</v>
      </c>
      <c r="K395" t="s">
        <v>394</v>
      </c>
      <c r="L395">
        <v>61604</v>
      </c>
      <c r="M395" t="s">
        <v>288</v>
      </c>
      <c r="N395" t="s">
        <v>1573</v>
      </c>
      <c r="O395" t="s">
        <v>229</v>
      </c>
      <c r="P395" t="s">
        <v>258</v>
      </c>
      <c r="Q395" t="s">
        <v>1574</v>
      </c>
      <c r="R395" s="13">
        <v>12.462</v>
      </c>
      <c r="S395">
        <v>3</v>
      </c>
      <c r="T395" s="14">
        <v>0.8</v>
      </c>
      <c r="U395" s="13">
        <v>-20.5623</v>
      </c>
    </row>
    <row r="396" spans="1:21" ht="15" customHeight="1" x14ac:dyDescent="0.3">
      <c r="A396">
        <v>395</v>
      </c>
      <c r="B396" t="s">
        <v>1575</v>
      </c>
      <c r="C396" s="12">
        <v>42916</v>
      </c>
      <c r="D396" s="12">
        <v>42921</v>
      </c>
      <c r="E396" t="s">
        <v>233</v>
      </c>
      <c r="F396" t="s">
        <v>1576</v>
      </c>
      <c r="G396" t="s">
        <v>1577</v>
      </c>
      <c r="H396" t="s">
        <v>285</v>
      </c>
      <c r="I396" t="s">
        <v>210</v>
      </c>
      <c r="J396" t="s">
        <v>1578</v>
      </c>
      <c r="K396" t="s">
        <v>1579</v>
      </c>
      <c r="L396">
        <v>89115</v>
      </c>
      <c r="M396" t="s">
        <v>227</v>
      </c>
      <c r="N396" t="s">
        <v>1580</v>
      </c>
      <c r="O396" t="s">
        <v>229</v>
      </c>
      <c r="P396" t="s">
        <v>258</v>
      </c>
      <c r="Q396" t="s">
        <v>1581</v>
      </c>
      <c r="R396" s="13">
        <v>75.792000000000002</v>
      </c>
      <c r="S396">
        <v>3</v>
      </c>
      <c r="T396" s="14">
        <v>0.2</v>
      </c>
      <c r="U396" s="13">
        <v>25.579799999999999</v>
      </c>
    </row>
    <row r="397" spans="1:21" ht="15" customHeight="1" x14ac:dyDescent="0.3">
      <c r="A397">
        <v>396</v>
      </c>
      <c r="B397" t="s">
        <v>1582</v>
      </c>
      <c r="C397" s="12">
        <v>43025</v>
      </c>
      <c r="D397" s="12">
        <v>43027</v>
      </c>
      <c r="E397" t="s">
        <v>206</v>
      </c>
      <c r="F397" t="s">
        <v>1583</v>
      </c>
      <c r="G397" t="s">
        <v>1584</v>
      </c>
      <c r="H397" t="s">
        <v>224</v>
      </c>
      <c r="I397" t="s">
        <v>210</v>
      </c>
      <c r="J397" t="s">
        <v>1585</v>
      </c>
      <c r="K397" t="s">
        <v>1586</v>
      </c>
      <c r="L397">
        <v>2886</v>
      </c>
      <c r="M397" t="s">
        <v>331</v>
      </c>
      <c r="N397" t="s">
        <v>1587</v>
      </c>
      <c r="O397" t="s">
        <v>229</v>
      </c>
      <c r="P397" t="s">
        <v>242</v>
      </c>
      <c r="Q397" t="s">
        <v>1588</v>
      </c>
      <c r="R397" s="13">
        <v>49.96</v>
      </c>
      <c r="S397">
        <v>2</v>
      </c>
      <c r="T397" s="14">
        <v>0</v>
      </c>
      <c r="U397" s="13">
        <v>9.4923999999999999</v>
      </c>
    </row>
    <row r="398" spans="1:21" ht="15" customHeight="1" x14ac:dyDescent="0.3">
      <c r="A398">
        <v>397</v>
      </c>
      <c r="B398" t="s">
        <v>1582</v>
      </c>
      <c r="C398" s="12">
        <v>43025</v>
      </c>
      <c r="D398" s="12">
        <v>43027</v>
      </c>
      <c r="E398" t="s">
        <v>206</v>
      </c>
      <c r="F398" t="s">
        <v>1583</v>
      </c>
      <c r="G398" t="s">
        <v>1584</v>
      </c>
      <c r="H398" t="s">
        <v>224</v>
      </c>
      <c r="I398" t="s">
        <v>210</v>
      </c>
      <c r="J398" t="s">
        <v>1585</v>
      </c>
      <c r="K398" t="s">
        <v>1586</v>
      </c>
      <c r="L398">
        <v>2886</v>
      </c>
      <c r="M398" t="s">
        <v>331</v>
      </c>
      <c r="N398" t="s">
        <v>1589</v>
      </c>
      <c r="O398" t="s">
        <v>229</v>
      </c>
      <c r="P398" t="s">
        <v>273</v>
      </c>
      <c r="Q398" t="s">
        <v>1590</v>
      </c>
      <c r="R398" s="13">
        <v>12.96</v>
      </c>
      <c r="S398">
        <v>2</v>
      </c>
      <c r="T398" s="14">
        <v>0</v>
      </c>
      <c r="U398" s="13">
        <v>6.2207999999999997</v>
      </c>
    </row>
    <row r="399" spans="1:21" ht="15" customHeight="1" x14ac:dyDescent="0.3">
      <c r="A399">
        <v>398</v>
      </c>
      <c r="B399" t="s">
        <v>1591</v>
      </c>
      <c r="C399" s="12">
        <v>42308</v>
      </c>
      <c r="D399" s="12">
        <v>42312</v>
      </c>
      <c r="E399" t="s">
        <v>233</v>
      </c>
      <c r="F399" t="s">
        <v>283</v>
      </c>
      <c r="G399" t="s">
        <v>284</v>
      </c>
      <c r="H399" t="s">
        <v>285</v>
      </c>
      <c r="I399" t="s">
        <v>210</v>
      </c>
      <c r="J399" t="s">
        <v>511</v>
      </c>
      <c r="K399" t="s">
        <v>421</v>
      </c>
      <c r="L399">
        <v>49201</v>
      </c>
      <c r="M399" t="s">
        <v>288</v>
      </c>
      <c r="N399" t="s">
        <v>1592</v>
      </c>
      <c r="O399" t="s">
        <v>229</v>
      </c>
      <c r="P399" t="s">
        <v>762</v>
      </c>
      <c r="Q399" t="s">
        <v>1593</v>
      </c>
      <c r="R399" s="13">
        <v>70.12</v>
      </c>
      <c r="S399">
        <v>4</v>
      </c>
      <c r="T399" s="14">
        <v>0</v>
      </c>
      <c r="U399" s="13">
        <v>21.036000000000001</v>
      </c>
    </row>
    <row r="400" spans="1:21" ht="15" customHeight="1" x14ac:dyDescent="0.3">
      <c r="A400">
        <v>399</v>
      </c>
      <c r="B400" t="s">
        <v>1594</v>
      </c>
      <c r="C400" s="12">
        <v>42621</v>
      </c>
      <c r="D400" s="12">
        <v>42623</v>
      </c>
      <c r="E400" t="s">
        <v>206</v>
      </c>
      <c r="F400" t="s">
        <v>1595</v>
      </c>
      <c r="G400" t="s">
        <v>1596</v>
      </c>
      <c r="H400" t="s">
        <v>209</v>
      </c>
      <c r="I400" t="s">
        <v>210</v>
      </c>
      <c r="J400" t="s">
        <v>367</v>
      </c>
      <c r="K400" t="s">
        <v>287</v>
      </c>
      <c r="L400">
        <v>77036</v>
      </c>
      <c r="M400" t="s">
        <v>288</v>
      </c>
      <c r="N400" t="s">
        <v>1597</v>
      </c>
      <c r="O400" t="s">
        <v>229</v>
      </c>
      <c r="P400" t="s">
        <v>242</v>
      </c>
      <c r="Q400" t="s">
        <v>1598</v>
      </c>
      <c r="R400" s="13">
        <v>35.951999999999998</v>
      </c>
      <c r="S400">
        <v>3</v>
      </c>
      <c r="T400" s="14">
        <v>0.2</v>
      </c>
      <c r="U400" s="13">
        <v>3.5952000000000002</v>
      </c>
    </row>
    <row r="401" spans="1:21" ht="15" customHeight="1" x14ac:dyDescent="0.3">
      <c r="A401">
        <v>400</v>
      </c>
      <c r="B401" t="s">
        <v>1594</v>
      </c>
      <c r="C401" s="12">
        <v>42621</v>
      </c>
      <c r="D401" s="12">
        <v>42623</v>
      </c>
      <c r="E401" t="s">
        <v>206</v>
      </c>
      <c r="F401" t="s">
        <v>1595</v>
      </c>
      <c r="G401" t="s">
        <v>1596</v>
      </c>
      <c r="H401" t="s">
        <v>209</v>
      </c>
      <c r="I401" t="s">
        <v>210</v>
      </c>
      <c r="J401" t="s">
        <v>367</v>
      </c>
      <c r="K401" t="s">
        <v>287</v>
      </c>
      <c r="L401">
        <v>77036</v>
      </c>
      <c r="M401" t="s">
        <v>288</v>
      </c>
      <c r="N401" t="s">
        <v>349</v>
      </c>
      <c r="O401" t="s">
        <v>215</v>
      </c>
      <c r="P401" t="s">
        <v>216</v>
      </c>
      <c r="Q401" t="s">
        <v>350</v>
      </c>
      <c r="R401" s="13">
        <v>2396.2656000000002</v>
      </c>
      <c r="S401">
        <v>4</v>
      </c>
      <c r="T401" s="14">
        <v>0.32</v>
      </c>
      <c r="U401" s="13">
        <v>-317.15280000000001</v>
      </c>
    </row>
    <row r="402" spans="1:21" ht="15" customHeight="1" x14ac:dyDescent="0.3">
      <c r="A402">
        <v>401</v>
      </c>
      <c r="B402" t="s">
        <v>1594</v>
      </c>
      <c r="C402" s="12">
        <v>42621</v>
      </c>
      <c r="D402" s="12">
        <v>42623</v>
      </c>
      <c r="E402" t="s">
        <v>206</v>
      </c>
      <c r="F402" t="s">
        <v>1595</v>
      </c>
      <c r="G402" t="s">
        <v>1596</v>
      </c>
      <c r="H402" t="s">
        <v>209</v>
      </c>
      <c r="I402" t="s">
        <v>210</v>
      </c>
      <c r="J402" t="s">
        <v>367</v>
      </c>
      <c r="K402" t="s">
        <v>287</v>
      </c>
      <c r="L402">
        <v>77036</v>
      </c>
      <c r="M402" t="s">
        <v>288</v>
      </c>
      <c r="N402" t="s">
        <v>1599</v>
      </c>
      <c r="O402" t="s">
        <v>229</v>
      </c>
      <c r="P402" t="s">
        <v>242</v>
      </c>
      <c r="Q402" t="s">
        <v>1600</v>
      </c>
      <c r="R402" s="13">
        <v>131.136</v>
      </c>
      <c r="S402">
        <v>4</v>
      </c>
      <c r="T402" s="14">
        <v>0.2</v>
      </c>
      <c r="U402" s="13">
        <v>-32.783999999999999</v>
      </c>
    </row>
    <row r="403" spans="1:21" ht="15" customHeight="1" x14ac:dyDescent="0.3">
      <c r="A403">
        <v>402</v>
      </c>
      <c r="B403" t="s">
        <v>1594</v>
      </c>
      <c r="C403" s="12">
        <v>42621</v>
      </c>
      <c r="D403" s="12">
        <v>42623</v>
      </c>
      <c r="E403" t="s">
        <v>206</v>
      </c>
      <c r="F403" t="s">
        <v>1595</v>
      </c>
      <c r="G403" t="s">
        <v>1596</v>
      </c>
      <c r="H403" t="s">
        <v>209</v>
      </c>
      <c r="I403" t="s">
        <v>210</v>
      </c>
      <c r="J403" t="s">
        <v>367</v>
      </c>
      <c r="K403" t="s">
        <v>287</v>
      </c>
      <c r="L403">
        <v>77036</v>
      </c>
      <c r="M403" t="s">
        <v>288</v>
      </c>
      <c r="N403" t="s">
        <v>1601</v>
      </c>
      <c r="O403" t="s">
        <v>254</v>
      </c>
      <c r="P403" t="s">
        <v>344</v>
      </c>
      <c r="Q403" t="s">
        <v>1602</v>
      </c>
      <c r="R403" s="13">
        <v>57.584000000000003</v>
      </c>
      <c r="S403">
        <v>2</v>
      </c>
      <c r="T403" s="14">
        <v>0.2</v>
      </c>
      <c r="U403" s="13">
        <v>0.719799999999999</v>
      </c>
    </row>
    <row r="404" spans="1:21" ht="15" customHeight="1" x14ac:dyDescent="0.3">
      <c r="A404">
        <v>403</v>
      </c>
      <c r="B404" t="s">
        <v>1603</v>
      </c>
      <c r="C404" s="12">
        <v>41997</v>
      </c>
      <c r="D404" s="12">
        <v>41999</v>
      </c>
      <c r="E404" t="s">
        <v>371</v>
      </c>
      <c r="F404" t="s">
        <v>1604</v>
      </c>
      <c r="G404" t="s">
        <v>1605</v>
      </c>
      <c r="H404" t="s">
        <v>209</v>
      </c>
      <c r="I404" t="s">
        <v>210</v>
      </c>
      <c r="J404" t="s">
        <v>1606</v>
      </c>
      <c r="K404" t="s">
        <v>237</v>
      </c>
      <c r="L404">
        <v>33180</v>
      </c>
      <c r="M404" t="s">
        <v>213</v>
      </c>
      <c r="N404" t="s">
        <v>1607</v>
      </c>
      <c r="O404" t="s">
        <v>229</v>
      </c>
      <c r="P404" t="s">
        <v>273</v>
      </c>
      <c r="Q404" t="s">
        <v>1608</v>
      </c>
      <c r="R404" s="13">
        <v>9.5679999999999996</v>
      </c>
      <c r="S404">
        <v>2</v>
      </c>
      <c r="T404" s="14">
        <v>0.2</v>
      </c>
      <c r="U404" s="13">
        <v>3.4683999999999999</v>
      </c>
    </row>
    <row r="405" spans="1:21" ht="15" customHeight="1" x14ac:dyDescent="0.3">
      <c r="A405">
        <v>404</v>
      </c>
      <c r="B405" t="s">
        <v>1609</v>
      </c>
      <c r="C405" s="12">
        <v>41745</v>
      </c>
      <c r="D405" s="12">
        <v>41749</v>
      </c>
      <c r="E405" t="s">
        <v>233</v>
      </c>
      <c r="F405" t="s">
        <v>812</v>
      </c>
      <c r="G405" t="s">
        <v>813</v>
      </c>
      <c r="H405" t="s">
        <v>224</v>
      </c>
      <c r="I405" t="s">
        <v>210</v>
      </c>
      <c r="J405" t="s">
        <v>704</v>
      </c>
      <c r="K405" t="s">
        <v>271</v>
      </c>
      <c r="L405">
        <v>28403</v>
      </c>
      <c r="M405" t="s">
        <v>213</v>
      </c>
      <c r="N405" t="s">
        <v>1610</v>
      </c>
      <c r="O405" t="s">
        <v>229</v>
      </c>
      <c r="P405" t="s">
        <v>251</v>
      </c>
      <c r="Q405" t="s">
        <v>1611</v>
      </c>
      <c r="R405" s="13">
        <v>39.072000000000003</v>
      </c>
      <c r="S405">
        <v>6</v>
      </c>
      <c r="T405" s="14">
        <v>0.2</v>
      </c>
      <c r="U405" s="13">
        <v>9.7680000000000007</v>
      </c>
    </row>
    <row r="406" spans="1:21" ht="15" customHeight="1" x14ac:dyDescent="0.3">
      <c r="A406">
        <v>405</v>
      </c>
      <c r="B406" t="s">
        <v>1612</v>
      </c>
      <c r="C406" s="12">
        <v>43093</v>
      </c>
      <c r="D406" s="12">
        <v>43098</v>
      </c>
      <c r="E406" t="s">
        <v>233</v>
      </c>
      <c r="F406" t="s">
        <v>1613</v>
      </c>
      <c r="G406" t="s">
        <v>1614</v>
      </c>
      <c r="H406" t="s">
        <v>209</v>
      </c>
      <c r="I406" t="s">
        <v>210</v>
      </c>
      <c r="J406" t="s">
        <v>449</v>
      </c>
      <c r="K406" t="s">
        <v>450</v>
      </c>
      <c r="L406">
        <v>10024</v>
      </c>
      <c r="M406" t="s">
        <v>331</v>
      </c>
      <c r="N406" t="s">
        <v>1615</v>
      </c>
      <c r="O406" t="s">
        <v>229</v>
      </c>
      <c r="P406" t="s">
        <v>261</v>
      </c>
      <c r="Q406" t="s">
        <v>1616</v>
      </c>
      <c r="R406" s="13">
        <v>35.909999999999997</v>
      </c>
      <c r="S406">
        <v>3</v>
      </c>
      <c r="T406" s="14">
        <v>0</v>
      </c>
      <c r="U406" s="13">
        <v>9.6957000000000004</v>
      </c>
    </row>
    <row r="407" spans="1:21" ht="15" customHeight="1" x14ac:dyDescent="0.3">
      <c r="A407">
        <v>406</v>
      </c>
      <c r="B407" t="s">
        <v>1617</v>
      </c>
      <c r="C407" s="12">
        <v>43077</v>
      </c>
      <c r="D407" s="12">
        <v>43081</v>
      </c>
      <c r="E407" t="s">
        <v>233</v>
      </c>
      <c r="F407" t="s">
        <v>1618</v>
      </c>
      <c r="G407" t="s">
        <v>1619</v>
      </c>
      <c r="H407" t="s">
        <v>209</v>
      </c>
      <c r="I407" t="s">
        <v>210</v>
      </c>
      <c r="J407" t="s">
        <v>310</v>
      </c>
      <c r="K407" t="s">
        <v>226</v>
      </c>
      <c r="L407">
        <v>94110</v>
      </c>
      <c r="M407" t="s">
        <v>227</v>
      </c>
      <c r="N407" t="s">
        <v>1601</v>
      </c>
      <c r="O407" t="s">
        <v>254</v>
      </c>
      <c r="P407" t="s">
        <v>344</v>
      </c>
      <c r="Q407" t="s">
        <v>1602</v>
      </c>
      <c r="R407" s="13">
        <v>179.95</v>
      </c>
      <c r="S407">
        <v>5</v>
      </c>
      <c r="T407" s="14">
        <v>0</v>
      </c>
      <c r="U407" s="13">
        <v>37.789499999999997</v>
      </c>
    </row>
    <row r="408" spans="1:21" ht="15" customHeight="1" x14ac:dyDescent="0.3">
      <c r="A408">
        <v>407</v>
      </c>
      <c r="B408" t="s">
        <v>1617</v>
      </c>
      <c r="C408" s="12">
        <v>43077</v>
      </c>
      <c r="D408" s="12">
        <v>43081</v>
      </c>
      <c r="E408" t="s">
        <v>233</v>
      </c>
      <c r="F408" t="s">
        <v>1618</v>
      </c>
      <c r="G408" t="s">
        <v>1619</v>
      </c>
      <c r="H408" t="s">
        <v>209</v>
      </c>
      <c r="I408" t="s">
        <v>210</v>
      </c>
      <c r="J408" t="s">
        <v>310</v>
      </c>
      <c r="K408" t="s">
        <v>226</v>
      </c>
      <c r="L408">
        <v>94110</v>
      </c>
      <c r="M408" t="s">
        <v>227</v>
      </c>
      <c r="N408" t="s">
        <v>1620</v>
      </c>
      <c r="O408" t="s">
        <v>254</v>
      </c>
      <c r="P408" t="s">
        <v>1402</v>
      </c>
      <c r="Q408" t="s">
        <v>1621</v>
      </c>
      <c r="R408" s="13">
        <v>1199.9760000000001</v>
      </c>
      <c r="S408">
        <v>3</v>
      </c>
      <c r="T408" s="14">
        <v>0.2</v>
      </c>
      <c r="U408" s="13">
        <v>434.99130000000002</v>
      </c>
    </row>
    <row r="409" spans="1:21" ht="15" customHeight="1" x14ac:dyDescent="0.3">
      <c r="A409">
        <v>408</v>
      </c>
      <c r="B409" t="s">
        <v>1617</v>
      </c>
      <c r="C409" s="12">
        <v>43077</v>
      </c>
      <c r="D409" s="12">
        <v>43081</v>
      </c>
      <c r="E409" t="s">
        <v>233</v>
      </c>
      <c r="F409" t="s">
        <v>1618</v>
      </c>
      <c r="G409" t="s">
        <v>1619</v>
      </c>
      <c r="H409" t="s">
        <v>209</v>
      </c>
      <c r="I409" t="s">
        <v>210</v>
      </c>
      <c r="J409" t="s">
        <v>310</v>
      </c>
      <c r="K409" t="s">
        <v>226</v>
      </c>
      <c r="L409">
        <v>94110</v>
      </c>
      <c r="M409" t="s">
        <v>227</v>
      </c>
      <c r="N409" t="s">
        <v>1622</v>
      </c>
      <c r="O409" t="s">
        <v>229</v>
      </c>
      <c r="P409" t="s">
        <v>273</v>
      </c>
      <c r="Q409" t="s">
        <v>1623</v>
      </c>
      <c r="R409" s="13">
        <v>27.15</v>
      </c>
      <c r="S409">
        <v>5</v>
      </c>
      <c r="T409" s="14">
        <v>0</v>
      </c>
      <c r="U409" s="13">
        <v>13.3035</v>
      </c>
    </row>
    <row r="410" spans="1:21" ht="15" customHeight="1" x14ac:dyDescent="0.3">
      <c r="A410">
        <v>409</v>
      </c>
      <c r="B410" t="s">
        <v>1617</v>
      </c>
      <c r="C410" s="12">
        <v>43077</v>
      </c>
      <c r="D410" s="12">
        <v>43081</v>
      </c>
      <c r="E410" t="s">
        <v>233</v>
      </c>
      <c r="F410" t="s">
        <v>1618</v>
      </c>
      <c r="G410" t="s">
        <v>1619</v>
      </c>
      <c r="H410" t="s">
        <v>209</v>
      </c>
      <c r="I410" t="s">
        <v>210</v>
      </c>
      <c r="J410" t="s">
        <v>310</v>
      </c>
      <c r="K410" t="s">
        <v>226</v>
      </c>
      <c r="L410">
        <v>94110</v>
      </c>
      <c r="M410" t="s">
        <v>227</v>
      </c>
      <c r="N410" t="s">
        <v>1624</v>
      </c>
      <c r="O410" t="s">
        <v>215</v>
      </c>
      <c r="P410" t="s">
        <v>239</v>
      </c>
      <c r="Q410" t="s">
        <v>1625</v>
      </c>
      <c r="R410" s="13">
        <v>1004.024</v>
      </c>
      <c r="S410">
        <v>7</v>
      </c>
      <c r="T410" s="14">
        <v>0.2</v>
      </c>
      <c r="U410" s="13">
        <v>-112.95269999999999</v>
      </c>
    </row>
    <row r="411" spans="1:21" ht="15" customHeight="1" x14ac:dyDescent="0.3">
      <c r="A411">
        <v>410</v>
      </c>
      <c r="B411" t="s">
        <v>1617</v>
      </c>
      <c r="C411" s="12">
        <v>43077</v>
      </c>
      <c r="D411" s="12">
        <v>43081</v>
      </c>
      <c r="E411" t="s">
        <v>233</v>
      </c>
      <c r="F411" t="s">
        <v>1618</v>
      </c>
      <c r="G411" t="s">
        <v>1619</v>
      </c>
      <c r="H411" t="s">
        <v>209</v>
      </c>
      <c r="I411" t="s">
        <v>210</v>
      </c>
      <c r="J411" t="s">
        <v>310</v>
      </c>
      <c r="K411" t="s">
        <v>226</v>
      </c>
      <c r="L411">
        <v>94110</v>
      </c>
      <c r="M411" t="s">
        <v>227</v>
      </c>
      <c r="N411" t="s">
        <v>1626</v>
      </c>
      <c r="O411" t="s">
        <v>229</v>
      </c>
      <c r="P411" t="s">
        <v>273</v>
      </c>
      <c r="Q411" t="s">
        <v>1627</v>
      </c>
      <c r="R411" s="13">
        <v>9.68</v>
      </c>
      <c r="S411">
        <v>1</v>
      </c>
      <c r="T411" s="14">
        <v>0</v>
      </c>
      <c r="U411" s="13">
        <v>4.6463999999999999</v>
      </c>
    </row>
    <row r="412" spans="1:21" ht="15" customHeight="1" x14ac:dyDescent="0.3">
      <c r="A412">
        <v>411</v>
      </c>
      <c r="B412" t="s">
        <v>1617</v>
      </c>
      <c r="C412" s="12">
        <v>43077</v>
      </c>
      <c r="D412" s="12">
        <v>43081</v>
      </c>
      <c r="E412" t="s">
        <v>233</v>
      </c>
      <c r="F412" t="s">
        <v>1618</v>
      </c>
      <c r="G412" t="s">
        <v>1619</v>
      </c>
      <c r="H412" t="s">
        <v>209</v>
      </c>
      <c r="I412" t="s">
        <v>210</v>
      </c>
      <c r="J412" t="s">
        <v>310</v>
      </c>
      <c r="K412" t="s">
        <v>226</v>
      </c>
      <c r="L412">
        <v>94110</v>
      </c>
      <c r="M412" t="s">
        <v>227</v>
      </c>
      <c r="N412" t="s">
        <v>1628</v>
      </c>
      <c r="O412" t="s">
        <v>229</v>
      </c>
      <c r="P412" t="s">
        <v>230</v>
      </c>
      <c r="Q412" t="s">
        <v>1629</v>
      </c>
      <c r="R412" s="13">
        <v>28.35</v>
      </c>
      <c r="S412">
        <v>9</v>
      </c>
      <c r="T412" s="14">
        <v>0</v>
      </c>
      <c r="U412" s="13">
        <v>13.608000000000001</v>
      </c>
    </row>
    <row r="413" spans="1:21" ht="15" customHeight="1" x14ac:dyDescent="0.3">
      <c r="A413">
        <v>412</v>
      </c>
      <c r="B413" t="s">
        <v>1617</v>
      </c>
      <c r="C413" s="12">
        <v>43077</v>
      </c>
      <c r="D413" s="12">
        <v>43081</v>
      </c>
      <c r="E413" t="s">
        <v>233</v>
      </c>
      <c r="F413" t="s">
        <v>1618</v>
      </c>
      <c r="G413" t="s">
        <v>1619</v>
      </c>
      <c r="H413" t="s">
        <v>209</v>
      </c>
      <c r="I413" t="s">
        <v>210</v>
      </c>
      <c r="J413" t="s">
        <v>310</v>
      </c>
      <c r="K413" t="s">
        <v>226</v>
      </c>
      <c r="L413">
        <v>94110</v>
      </c>
      <c r="M413" t="s">
        <v>227</v>
      </c>
      <c r="N413" t="s">
        <v>1437</v>
      </c>
      <c r="O413" t="s">
        <v>229</v>
      </c>
      <c r="P413" t="s">
        <v>273</v>
      </c>
      <c r="Q413" t="s">
        <v>1630</v>
      </c>
      <c r="R413" s="13">
        <v>55.98</v>
      </c>
      <c r="S413">
        <v>1</v>
      </c>
      <c r="T413" s="14">
        <v>0</v>
      </c>
      <c r="U413" s="13">
        <v>27.430199999999999</v>
      </c>
    </row>
    <row r="414" spans="1:21" ht="15" customHeight="1" x14ac:dyDescent="0.3">
      <c r="A414">
        <v>413</v>
      </c>
      <c r="B414" t="s">
        <v>1617</v>
      </c>
      <c r="C414" s="12">
        <v>43077</v>
      </c>
      <c r="D414" s="12">
        <v>43081</v>
      </c>
      <c r="E414" t="s">
        <v>233</v>
      </c>
      <c r="F414" t="s">
        <v>1618</v>
      </c>
      <c r="G414" t="s">
        <v>1619</v>
      </c>
      <c r="H414" t="s">
        <v>209</v>
      </c>
      <c r="I414" t="s">
        <v>210</v>
      </c>
      <c r="J414" t="s">
        <v>310</v>
      </c>
      <c r="K414" t="s">
        <v>226</v>
      </c>
      <c r="L414">
        <v>94110</v>
      </c>
      <c r="M414" t="s">
        <v>227</v>
      </c>
      <c r="N414" t="s">
        <v>1631</v>
      </c>
      <c r="O414" t="s">
        <v>215</v>
      </c>
      <c r="P414" t="s">
        <v>216</v>
      </c>
      <c r="Q414" t="s">
        <v>1632</v>
      </c>
      <c r="R414" s="13">
        <v>1336.829</v>
      </c>
      <c r="S414">
        <v>13</v>
      </c>
      <c r="T414" s="14">
        <v>0.15</v>
      </c>
      <c r="U414" s="13">
        <v>31.454799999999999</v>
      </c>
    </row>
    <row r="415" spans="1:21" ht="15" customHeight="1" x14ac:dyDescent="0.3">
      <c r="A415">
        <v>414</v>
      </c>
      <c r="B415" t="s">
        <v>1617</v>
      </c>
      <c r="C415" s="12">
        <v>43077</v>
      </c>
      <c r="D415" s="12">
        <v>43081</v>
      </c>
      <c r="E415" t="s">
        <v>233</v>
      </c>
      <c r="F415" t="s">
        <v>1618</v>
      </c>
      <c r="G415" t="s">
        <v>1619</v>
      </c>
      <c r="H415" t="s">
        <v>209</v>
      </c>
      <c r="I415" t="s">
        <v>210</v>
      </c>
      <c r="J415" t="s">
        <v>310</v>
      </c>
      <c r="K415" t="s">
        <v>226</v>
      </c>
      <c r="L415">
        <v>94110</v>
      </c>
      <c r="M415" t="s">
        <v>227</v>
      </c>
      <c r="N415" t="s">
        <v>1633</v>
      </c>
      <c r="O415" t="s">
        <v>215</v>
      </c>
      <c r="P415" t="s">
        <v>219</v>
      </c>
      <c r="Q415" t="s">
        <v>1634</v>
      </c>
      <c r="R415" s="13">
        <v>113.568</v>
      </c>
      <c r="S415">
        <v>2</v>
      </c>
      <c r="T415" s="14">
        <v>0.2</v>
      </c>
      <c r="U415" s="13">
        <v>-18.454799999999999</v>
      </c>
    </row>
    <row r="416" spans="1:21" ht="15" customHeight="1" x14ac:dyDescent="0.3">
      <c r="A416">
        <v>415</v>
      </c>
      <c r="B416" t="s">
        <v>1635</v>
      </c>
      <c r="C416" s="12">
        <v>43042</v>
      </c>
      <c r="D416" s="12">
        <v>43046</v>
      </c>
      <c r="E416" t="s">
        <v>233</v>
      </c>
      <c r="F416" t="s">
        <v>1636</v>
      </c>
      <c r="G416" t="s">
        <v>1637</v>
      </c>
      <c r="H416" t="s">
        <v>224</v>
      </c>
      <c r="I416" t="s">
        <v>210</v>
      </c>
      <c r="J416" t="s">
        <v>278</v>
      </c>
      <c r="K416" t="s">
        <v>279</v>
      </c>
      <c r="L416">
        <v>98105</v>
      </c>
      <c r="M416" t="s">
        <v>227</v>
      </c>
      <c r="N416" t="s">
        <v>1638</v>
      </c>
      <c r="O416" t="s">
        <v>229</v>
      </c>
      <c r="P416" t="s">
        <v>273</v>
      </c>
      <c r="Q416" t="s">
        <v>1639</v>
      </c>
      <c r="R416" s="13">
        <v>139.86000000000001</v>
      </c>
      <c r="S416">
        <v>7</v>
      </c>
      <c r="T416" s="14">
        <v>0</v>
      </c>
      <c r="U416" s="13">
        <v>65.734200000000001</v>
      </c>
    </row>
    <row r="417" spans="1:21" ht="15" customHeight="1" x14ac:dyDescent="0.3">
      <c r="A417">
        <v>416</v>
      </c>
      <c r="B417" t="s">
        <v>1635</v>
      </c>
      <c r="C417" s="12">
        <v>43042</v>
      </c>
      <c r="D417" s="12">
        <v>43046</v>
      </c>
      <c r="E417" t="s">
        <v>233</v>
      </c>
      <c r="F417" t="s">
        <v>1636</v>
      </c>
      <c r="G417" t="s">
        <v>1637</v>
      </c>
      <c r="H417" t="s">
        <v>224</v>
      </c>
      <c r="I417" t="s">
        <v>210</v>
      </c>
      <c r="J417" t="s">
        <v>278</v>
      </c>
      <c r="K417" t="s">
        <v>279</v>
      </c>
      <c r="L417">
        <v>98105</v>
      </c>
      <c r="M417" t="s">
        <v>227</v>
      </c>
      <c r="N417" t="s">
        <v>1270</v>
      </c>
      <c r="O417" t="s">
        <v>215</v>
      </c>
      <c r="P417" t="s">
        <v>219</v>
      </c>
      <c r="Q417" t="s">
        <v>1271</v>
      </c>
      <c r="R417" s="13">
        <v>307.13600000000002</v>
      </c>
      <c r="S417">
        <v>4</v>
      </c>
      <c r="T417" s="14">
        <v>0.2</v>
      </c>
      <c r="U417" s="13">
        <v>26.874400000000001</v>
      </c>
    </row>
    <row r="418" spans="1:21" ht="15" customHeight="1" x14ac:dyDescent="0.3">
      <c r="A418">
        <v>417</v>
      </c>
      <c r="B418" t="s">
        <v>1640</v>
      </c>
      <c r="C418" s="12">
        <v>42910</v>
      </c>
      <c r="D418" s="12">
        <v>42914</v>
      </c>
      <c r="E418" t="s">
        <v>233</v>
      </c>
      <c r="F418" t="s">
        <v>1641</v>
      </c>
      <c r="G418" t="s">
        <v>1642</v>
      </c>
      <c r="H418" t="s">
        <v>209</v>
      </c>
      <c r="I418" t="s">
        <v>210</v>
      </c>
      <c r="J418" t="s">
        <v>1643</v>
      </c>
      <c r="K418" t="s">
        <v>226</v>
      </c>
      <c r="L418">
        <v>92646</v>
      </c>
      <c r="M418" t="s">
        <v>227</v>
      </c>
      <c r="N418" t="s">
        <v>1644</v>
      </c>
      <c r="O418" t="s">
        <v>229</v>
      </c>
      <c r="P418" t="s">
        <v>251</v>
      </c>
      <c r="Q418" t="s">
        <v>1645</v>
      </c>
      <c r="R418" s="13">
        <v>95.92</v>
      </c>
      <c r="S418">
        <v>8</v>
      </c>
      <c r="T418" s="14">
        <v>0</v>
      </c>
      <c r="U418" s="13">
        <v>25.898399999999999</v>
      </c>
    </row>
    <row r="419" spans="1:21" ht="15" customHeight="1" x14ac:dyDescent="0.3">
      <c r="A419">
        <v>418</v>
      </c>
      <c r="B419" t="s">
        <v>1646</v>
      </c>
      <c r="C419" s="12">
        <v>42474</v>
      </c>
      <c r="D419" s="12">
        <v>42478</v>
      </c>
      <c r="E419" t="s">
        <v>233</v>
      </c>
      <c r="F419" t="s">
        <v>1647</v>
      </c>
      <c r="G419" t="s">
        <v>1648</v>
      </c>
      <c r="H419" t="s">
        <v>209</v>
      </c>
      <c r="I419" t="s">
        <v>210</v>
      </c>
      <c r="J419" t="s">
        <v>225</v>
      </c>
      <c r="K419" t="s">
        <v>226</v>
      </c>
      <c r="L419">
        <v>90004</v>
      </c>
      <c r="M419" t="s">
        <v>227</v>
      </c>
      <c r="N419" t="s">
        <v>1649</v>
      </c>
      <c r="O419" t="s">
        <v>215</v>
      </c>
      <c r="P419" t="s">
        <v>219</v>
      </c>
      <c r="Q419" t="s">
        <v>1650</v>
      </c>
      <c r="R419" s="13">
        <v>383.8</v>
      </c>
      <c r="S419">
        <v>5</v>
      </c>
      <c r="T419" s="14">
        <v>0.2</v>
      </c>
      <c r="U419" s="13">
        <v>38.380000000000003</v>
      </c>
    </row>
    <row r="420" spans="1:21" ht="15" customHeight="1" x14ac:dyDescent="0.3">
      <c r="A420">
        <v>419</v>
      </c>
      <c r="B420" t="s">
        <v>1651</v>
      </c>
      <c r="C420" s="12">
        <v>43045</v>
      </c>
      <c r="D420" s="12">
        <v>43049</v>
      </c>
      <c r="E420" t="s">
        <v>233</v>
      </c>
      <c r="F420" t="s">
        <v>1456</v>
      </c>
      <c r="G420" t="s">
        <v>1457</v>
      </c>
      <c r="H420" t="s">
        <v>224</v>
      </c>
      <c r="I420" t="s">
        <v>210</v>
      </c>
      <c r="J420" t="s">
        <v>1652</v>
      </c>
      <c r="K420" t="s">
        <v>212</v>
      </c>
      <c r="L420">
        <v>40475</v>
      </c>
      <c r="M420" t="s">
        <v>213</v>
      </c>
      <c r="N420" t="s">
        <v>1653</v>
      </c>
      <c r="O420" t="s">
        <v>229</v>
      </c>
      <c r="P420" t="s">
        <v>273</v>
      </c>
      <c r="Q420" t="s">
        <v>1654</v>
      </c>
      <c r="R420" s="13">
        <v>5.78</v>
      </c>
      <c r="S420">
        <v>1</v>
      </c>
      <c r="T420" s="14">
        <v>0</v>
      </c>
      <c r="U420" s="13">
        <v>2.8321999999999998</v>
      </c>
    </row>
    <row r="421" spans="1:21" ht="15" customHeight="1" x14ac:dyDescent="0.3">
      <c r="A421">
        <v>420</v>
      </c>
      <c r="B421" t="s">
        <v>1655</v>
      </c>
      <c r="C421" s="12">
        <v>42798</v>
      </c>
      <c r="D421" s="12">
        <v>42803</v>
      </c>
      <c r="E421" t="s">
        <v>233</v>
      </c>
      <c r="F421" t="s">
        <v>1343</v>
      </c>
      <c r="G421" t="s">
        <v>1344</v>
      </c>
      <c r="H421" t="s">
        <v>224</v>
      </c>
      <c r="I421" t="s">
        <v>210</v>
      </c>
      <c r="J421" t="s">
        <v>225</v>
      </c>
      <c r="K421" t="s">
        <v>226</v>
      </c>
      <c r="L421">
        <v>90045</v>
      </c>
      <c r="M421" t="s">
        <v>227</v>
      </c>
      <c r="N421" t="s">
        <v>1656</v>
      </c>
      <c r="O421" t="s">
        <v>229</v>
      </c>
      <c r="P421" t="s">
        <v>251</v>
      </c>
      <c r="Q421" t="s">
        <v>1657</v>
      </c>
      <c r="R421" s="13">
        <v>9.32</v>
      </c>
      <c r="S421">
        <v>4</v>
      </c>
      <c r="T421" s="14">
        <v>0</v>
      </c>
      <c r="U421" s="13">
        <v>2.7027999999999999</v>
      </c>
    </row>
    <row r="422" spans="1:21" ht="15" customHeight="1" x14ac:dyDescent="0.3">
      <c r="A422">
        <v>421</v>
      </c>
      <c r="B422" t="s">
        <v>1655</v>
      </c>
      <c r="C422" s="12">
        <v>42798</v>
      </c>
      <c r="D422" s="12">
        <v>42803</v>
      </c>
      <c r="E422" t="s">
        <v>233</v>
      </c>
      <c r="F422" t="s">
        <v>1343</v>
      </c>
      <c r="G422" t="s">
        <v>1344</v>
      </c>
      <c r="H422" t="s">
        <v>224</v>
      </c>
      <c r="I422" t="s">
        <v>210</v>
      </c>
      <c r="J422" t="s">
        <v>225</v>
      </c>
      <c r="K422" t="s">
        <v>226</v>
      </c>
      <c r="L422">
        <v>90045</v>
      </c>
      <c r="M422" t="s">
        <v>227</v>
      </c>
      <c r="N422" t="s">
        <v>1658</v>
      </c>
      <c r="O422" t="s">
        <v>229</v>
      </c>
      <c r="P422" t="s">
        <v>356</v>
      </c>
      <c r="Q422" t="s">
        <v>1659</v>
      </c>
      <c r="R422" s="13">
        <v>15.25</v>
      </c>
      <c r="S422">
        <v>1</v>
      </c>
      <c r="T422" s="14">
        <v>0</v>
      </c>
      <c r="U422" s="13">
        <v>7.0149999999999997</v>
      </c>
    </row>
    <row r="423" spans="1:21" ht="15" customHeight="1" x14ac:dyDescent="0.3">
      <c r="A423">
        <v>422</v>
      </c>
      <c r="B423" t="s">
        <v>1660</v>
      </c>
      <c r="C423" s="12">
        <v>41812</v>
      </c>
      <c r="D423" s="12">
        <v>41815</v>
      </c>
      <c r="E423" t="s">
        <v>371</v>
      </c>
      <c r="F423" t="s">
        <v>515</v>
      </c>
      <c r="G423" t="s">
        <v>516</v>
      </c>
      <c r="H423" t="s">
        <v>209</v>
      </c>
      <c r="I423" t="s">
        <v>210</v>
      </c>
      <c r="J423" t="s">
        <v>1661</v>
      </c>
      <c r="K423" t="s">
        <v>640</v>
      </c>
      <c r="L423">
        <v>80027</v>
      </c>
      <c r="M423" t="s">
        <v>227</v>
      </c>
      <c r="N423" t="s">
        <v>1662</v>
      </c>
      <c r="O423" t="s">
        <v>254</v>
      </c>
      <c r="P423" t="s">
        <v>344</v>
      </c>
      <c r="Q423" t="s">
        <v>1663</v>
      </c>
      <c r="R423" s="13">
        <v>196.75200000000001</v>
      </c>
      <c r="S423">
        <v>6</v>
      </c>
      <c r="T423" s="14">
        <v>0.2</v>
      </c>
      <c r="U423" s="13">
        <v>56.566200000000002</v>
      </c>
    </row>
    <row r="424" spans="1:21" ht="15" customHeight="1" x14ac:dyDescent="0.3">
      <c r="A424">
        <v>423</v>
      </c>
      <c r="B424" t="s">
        <v>1664</v>
      </c>
      <c r="C424" s="12">
        <v>43027</v>
      </c>
      <c r="D424" s="12">
        <v>43031</v>
      </c>
      <c r="E424" t="s">
        <v>233</v>
      </c>
      <c r="F424" t="s">
        <v>1665</v>
      </c>
      <c r="G424" t="s">
        <v>1666</v>
      </c>
      <c r="H424" t="s">
        <v>224</v>
      </c>
      <c r="I424" t="s">
        <v>210</v>
      </c>
      <c r="J424" t="s">
        <v>1667</v>
      </c>
      <c r="K424" t="s">
        <v>1431</v>
      </c>
      <c r="L424">
        <v>1841</v>
      </c>
      <c r="M424" t="s">
        <v>331</v>
      </c>
      <c r="N424" t="s">
        <v>1668</v>
      </c>
      <c r="O424" t="s">
        <v>215</v>
      </c>
      <c r="P424" t="s">
        <v>248</v>
      </c>
      <c r="Q424" t="s">
        <v>1669</v>
      </c>
      <c r="R424" s="13">
        <v>56.56</v>
      </c>
      <c r="S424">
        <v>4</v>
      </c>
      <c r="T424" s="14">
        <v>0</v>
      </c>
      <c r="U424" s="13">
        <v>14.7056</v>
      </c>
    </row>
    <row r="425" spans="1:21" ht="15" customHeight="1" x14ac:dyDescent="0.3">
      <c r="A425">
        <v>424</v>
      </c>
      <c r="B425" t="s">
        <v>1664</v>
      </c>
      <c r="C425" s="12">
        <v>43027</v>
      </c>
      <c r="D425" s="12">
        <v>43031</v>
      </c>
      <c r="E425" t="s">
        <v>233</v>
      </c>
      <c r="F425" t="s">
        <v>1665</v>
      </c>
      <c r="G425" t="s">
        <v>1666</v>
      </c>
      <c r="H425" t="s">
        <v>224</v>
      </c>
      <c r="I425" t="s">
        <v>210</v>
      </c>
      <c r="J425" t="s">
        <v>1667</v>
      </c>
      <c r="K425" t="s">
        <v>1431</v>
      </c>
      <c r="L425">
        <v>1841</v>
      </c>
      <c r="M425" t="s">
        <v>331</v>
      </c>
      <c r="N425" t="s">
        <v>1670</v>
      </c>
      <c r="O425" t="s">
        <v>229</v>
      </c>
      <c r="P425" t="s">
        <v>242</v>
      </c>
      <c r="Q425" t="s">
        <v>1671</v>
      </c>
      <c r="R425" s="13">
        <v>32.700000000000003</v>
      </c>
      <c r="S425">
        <v>3</v>
      </c>
      <c r="T425" s="14">
        <v>0</v>
      </c>
      <c r="U425" s="13">
        <v>8.5020000000000007</v>
      </c>
    </row>
    <row r="426" spans="1:21" ht="15" customHeight="1" x14ac:dyDescent="0.3">
      <c r="A426">
        <v>425</v>
      </c>
      <c r="B426" t="s">
        <v>1672</v>
      </c>
      <c r="C426" s="12">
        <v>42968</v>
      </c>
      <c r="D426" s="12">
        <v>42970</v>
      </c>
      <c r="E426" t="s">
        <v>206</v>
      </c>
      <c r="F426" t="s">
        <v>1673</v>
      </c>
      <c r="G426" t="s">
        <v>1674</v>
      </c>
      <c r="H426" t="s">
        <v>209</v>
      </c>
      <c r="I426" t="s">
        <v>210</v>
      </c>
      <c r="J426" t="s">
        <v>511</v>
      </c>
      <c r="K426" t="s">
        <v>1675</v>
      </c>
      <c r="L426">
        <v>39212</v>
      </c>
      <c r="M426" t="s">
        <v>213</v>
      </c>
      <c r="N426" t="s">
        <v>1676</v>
      </c>
      <c r="O426" t="s">
        <v>215</v>
      </c>
      <c r="P426" t="s">
        <v>219</v>
      </c>
      <c r="Q426" t="s">
        <v>1677</v>
      </c>
      <c r="R426" s="13">
        <v>866.4</v>
      </c>
      <c r="S426">
        <v>4</v>
      </c>
      <c r="T426" s="14">
        <v>0</v>
      </c>
      <c r="U426" s="13">
        <v>225.26400000000001</v>
      </c>
    </row>
    <row r="427" spans="1:21" ht="15" customHeight="1" x14ac:dyDescent="0.3">
      <c r="A427">
        <v>426</v>
      </c>
      <c r="B427" t="s">
        <v>1678</v>
      </c>
      <c r="C427" s="12">
        <v>43062</v>
      </c>
      <c r="D427" s="12">
        <v>43065</v>
      </c>
      <c r="E427" t="s">
        <v>206</v>
      </c>
      <c r="F427" t="s">
        <v>447</v>
      </c>
      <c r="G427" t="s">
        <v>448</v>
      </c>
      <c r="H427" t="s">
        <v>224</v>
      </c>
      <c r="I427" t="s">
        <v>210</v>
      </c>
      <c r="J427" t="s">
        <v>1679</v>
      </c>
      <c r="K427" t="s">
        <v>421</v>
      </c>
      <c r="L427">
        <v>48187</v>
      </c>
      <c r="M427" t="s">
        <v>288</v>
      </c>
      <c r="N427" t="s">
        <v>1680</v>
      </c>
      <c r="O427" t="s">
        <v>215</v>
      </c>
      <c r="P427" t="s">
        <v>248</v>
      </c>
      <c r="Q427" t="s">
        <v>1681</v>
      </c>
      <c r="R427" s="13">
        <v>28.4</v>
      </c>
      <c r="S427">
        <v>2</v>
      </c>
      <c r="T427" s="14">
        <v>0</v>
      </c>
      <c r="U427" s="13">
        <v>11.076000000000001</v>
      </c>
    </row>
    <row r="428" spans="1:21" ht="15" customHeight="1" x14ac:dyDescent="0.3">
      <c r="A428">
        <v>427</v>
      </c>
      <c r="B428" t="s">
        <v>1678</v>
      </c>
      <c r="C428" s="12">
        <v>43062</v>
      </c>
      <c r="D428" s="12">
        <v>43065</v>
      </c>
      <c r="E428" t="s">
        <v>206</v>
      </c>
      <c r="F428" t="s">
        <v>447</v>
      </c>
      <c r="G428" t="s">
        <v>448</v>
      </c>
      <c r="H428" t="s">
        <v>224</v>
      </c>
      <c r="I428" t="s">
        <v>210</v>
      </c>
      <c r="J428" t="s">
        <v>1679</v>
      </c>
      <c r="K428" t="s">
        <v>421</v>
      </c>
      <c r="L428">
        <v>48187</v>
      </c>
      <c r="M428" t="s">
        <v>288</v>
      </c>
      <c r="N428" t="s">
        <v>1682</v>
      </c>
      <c r="O428" t="s">
        <v>229</v>
      </c>
      <c r="P428" t="s">
        <v>258</v>
      </c>
      <c r="Q428" t="s">
        <v>1683</v>
      </c>
      <c r="R428" s="13">
        <v>287.92</v>
      </c>
      <c r="S428">
        <v>8</v>
      </c>
      <c r="T428" s="14">
        <v>0</v>
      </c>
      <c r="U428" s="13">
        <v>138.20160000000001</v>
      </c>
    </row>
    <row r="429" spans="1:21" ht="15" customHeight="1" x14ac:dyDescent="0.3">
      <c r="A429">
        <v>428</v>
      </c>
      <c r="B429" t="s">
        <v>1684</v>
      </c>
      <c r="C429" s="12">
        <v>41894</v>
      </c>
      <c r="D429" s="12">
        <v>41895</v>
      </c>
      <c r="E429" t="s">
        <v>371</v>
      </c>
      <c r="F429" t="s">
        <v>1685</v>
      </c>
      <c r="G429" t="s">
        <v>1686</v>
      </c>
      <c r="H429" t="s">
        <v>285</v>
      </c>
      <c r="I429" t="s">
        <v>210</v>
      </c>
      <c r="J429" t="s">
        <v>1687</v>
      </c>
      <c r="K429" t="s">
        <v>450</v>
      </c>
      <c r="L429">
        <v>10801</v>
      </c>
      <c r="M429" t="s">
        <v>331</v>
      </c>
      <c r="N429" t="s">
        <v>1688</v>
      </c>
      <c r="O429" t="s">
        <v>254</v>
      </c>
      <c r="P429" t="s">
        <v>867</v>
      </c>
      <c r="Q429" t="s">
        <v>1689</v>
      </c>
      <c r="R429" s="13">
        <v>69.989999999999995</v>
      </c>
      <c r="S429">
        <v>1</v>
      </c>
      <c r="T429" s="14">
        <v>0</v>
      </c>
      <c r="U429" s="13">
        <v>30.095700000000001</v>
      </c>
    </row>
    <row r="430" spans="1:21" ht="15" customHeight="1" x14ac:dyDescent="0.3">
      <c r="A430">
        <v>429</v>
      </c>
      <c r="B430" t="s">
        <v>1690</v>
      </c>
      <c r="C430" s="12">
        <v>43009</v>
      </c>
      <c r="D430" s="12">
        <v>43016</v>
      </c>
      <c r="E430" t="s">
        <v>233</v>
      </c>
      <c r="F430" t="s">
        <v>1691</v>
      </c>
      <c r="G430" t="s">
        <v>1692</v>
      </c>
      <c r="H430" t="s">
        <v>224</v>
      </c>
      <c r="I430" t="s">
        <v>210</v>
      </c>
      <c r="J430" t="s">
        <v>863</v>
      </c>
      <c r="K430" t="s">
        <v>287</v>
      </c>
      <c r="L430">
        <v>78207</v>
      </c>
      <c r="M430" t="s">
        <v>288</v>
      </c>
      <c r="N430" t="s">
        <v>1693</v>
      </c>
      <c r="O430" t="s">
        <v>229</v>
      </c>
      <c r="P430" t="s">
        <v>251</v>
      </c>
      <c r="Q430" t="s">
        <v>1694</v>
      </c>
      <c r="R430" s="13">
        <v>6.6719999999999997</v>
      </c>
      <c r="S430">
        <v>6</v>
      </c>
      <c r="T430" s="14">
        <v>0.2</v>
      </c>
      <c r="U430" s="13">
        <v>0.50039999999999996</v>
      </c>
    </row>
    <row r="431" spans="1:21" ht="15" customHeight="1" x14ac:dyDescent="0.3">
      <c r="A431">
        <v>430</v>
      </c>
      <c r="B431" t="s">
        <v>1695</v>
      </c>
      <c r="C431" s="12">
        <v>42475</v>
      </c>
      <c r="D431" s="12">
        <v>42481</v>
      </c>
      <c r="E431" t="s">
        <v>233</v>
      </c>
      <c r="F431" t="s">
        <v>1696</v>
      </c>
      <c r="G431" t="s">
        <v>1697</v>
      </c>
      <c r="H431" t="s">
        <v>285</v>
      </c>
      <c r="I431" t="s">
        <v>210</v>
      </c>
      <c r="J431" t="s">
        <v>1698</v>
      </c>
      <c r="K431" t="s">
        <v>271</v>
      </c>
      <c r="L431">
        <v>28052</v>
      </c>
      <c r="M431" t="s">
        <v>213</v>
      </c>
      <c r="N431" t="s">
        <v>1699</v>
      </c>
      <c r="O431" t="s">
        <v>229</v>
      </c>
      <c r="P431" t="s">
        <v>258</v>
      </c>
      <c r="Q431" t="s">
        <v>1700</v>
      </c>
      <c r="R431" s="13">
        <v>189.58799999999999</v>
      </c>
      <c r="S431">
        <v>2</v>
      </c>
      <c r="T431" s="14">
        <v>0.7</v>
      </c>
      <c r="U431" s="13">
        <v>-145.35079999999999</v>
      </c>
    </row>
    <row r="432" spans="1:21" ht="15" customHeight="1" x14ac:dyDescent="0.3">
      <c r="A432">
        <v>431</v>
      </c>
      <c r="B432" t="s">
        <v>1695</v>
      </c>
      <c r="C432" s="12">
        <v>42475</v>
      </c>
      <c r="D432" s="12">
        <v>42481</v>
      </c>
      <c r="E432" t="s">
        <v>233</v>
      </c>
      <c r="F432" t="s">
        <v>1696</v>
      </c>
      <c r="G432" t="s">
        <v>1697</v>
      </c>
      <c r="H432" t="s">
        <v>285</v>
      </c>
      <c r="I432" t="s">
        <v>210</v>
      </c>
      <c r="J432" t="s">
        <v>1698</v>
      </c>
      <c r="K432" t="s">
        <v>271</v>
      </c>
      <c r="L432">
        <v>28052</v>
      </c>
      <c r="M432" t="s">
        <v>213</v>
      </c>
      <c r="N432" t="s">
        <v>915</v>
      </c>
      <c r="O432" t="s">
        <v>254</v>
      </c>
      <c r="P432" t="s">
        <v>344</v>
      </c>
      <c r="Q432" t="s">
        <v>916</v>
      </c>
      <c r="R432" s="13">
        <v>408.74400000000003</v>
      </c>
      <c r="S432">
        <v>7</v>
      </c>
      <c r="T432" s="14">
        <v>0.2</v>
      </c>
      <c r="U432" s="13">
        <v>76.639499999999998</v>
      </c>
    </row>
    <row r="433" spans="1:21" ht="15" customHeight="1" x14ac:dyDescent="0.3">
      <c r="A433">
        <v>432</v>
      </c>
      <c r="B433" t="s">
        <v>1695</v>
      </c>
      <c r="C433" s="12">
        <v>42475</v>
      </c>
      <c r="D433" s="12">
        <v>42481</v>
      </c>
      <c r="E433" t="s">
        <v>233</v>
      </c>
      <c r="F433" t="s">
        <v>1696</v>
      </c>
      <c r="G433" t="s">
        <v>1697</v>
      </c>
      <c r="H433" t="s">
        <v>285</v>
      </c>
      <c r="I433" t="s">
        <v>210</v>
      </c>
      <c r="J433" t="s">
        <v>1698</v>
      </c>
      <c r="K433" t="s">
        <v>271</v>
      </c>
      <c r="L433">
        <v>28052</v>
      </c>
      <c r="M433" t="s">
        <v>213</v>
      </c>
      <c r="N433" t="s">
        <v>915</v>
      </c>
      <c r="O433" t="s">
        <v>254</v>
      </c>
      <c r="P433" t="s">
        <v>344</v>
      </c>
      <c r="Q433" t="s">
        <v>916</v>
      </c>
      <c r="R433" s="13">
        <v>291.95999999999998</v>
      </c>
      <c r="S433">
        <v>5</v>
      </c>
      <c r="T433" s="14">
        <v>0.2</v>
      </c>
      <c r="U433" s="13">
        <v>54.7425</v>
      </c>
    </row>
    <row r="434" spans="1:21" ht="15" customHeight="1" x14ac:dyDescent="0.3">
      <c r="A434">
        <v>433</v>
      </c>
      <c r="B434" t="s">
        <v>1695</v>
      </c>
      <c r="C434" s="12">
        <v>42475</v>
      </c>
      <c r="D434" s="12">
        <v>42481</v>
      </c>
      <c r="E434" t="s">
        <v>233</v>
      </c>
      <c r="F434" t="s">
        <v>1696</v>
      </c>
      <c r="G434" t="s">
        <v>1697</v>
      </c>
      <c r="H434" t="s">
        <v>285</v>
      </c>
      <c r="I434" t="s">
        <v>210</v>
      </c>
      <c r="J434" t="s">
        <v>1698</v>
      </c>
      <c r="K434" t="s">
        <v>271</v>
      </c>
      <c r="L434">
        <v>28052</v>
      </c>
      <c r="M434" t="s">
        <v>213</v>
      </c>
      <c r="N434" t="s">
        <v>1701</v>
      </c>
      <c r="O434" t="s">
        <v>229</v>
      </c>
      <c r="P434" t="s">
        <v>242</v>
      </c>
      <c r="Q434" t="s">
        <v>1702</v>
      </c>
      <c r="R434" s="13">
        <v>4.7679999999999998</v>
      </c>
      <c r="S434">
        <v>2</v>
      </c>
      <c r="T434" s="14">
        <v>0.2</v>
      </c>
      <c r="U434" s="13">
        <v>-0.77480000000000104</v>
      </c>
    </row>
    <row r="435" spans="1:21" ht="15" customHeight="1" x14ac:dyDescent="0.3">
      <c r="A435">
        <v>434</v>
      </c>
      <c r="B435" t="s">
        <v>1703</v>
      </c>
      <c r="C435" s="12">
        <v>42527</v>
      </c>
      <c r="D435" s="12">
        <v>42528</v>
      </c>
      <c r="E435" t="s">
        <v>371</v>
      </c>
      <c r="F435" t="s">
        <v>827</v>
      </c>
      <c r="G435" t="s">
        <v>828</v>
      </c>
      <c r="H435" t="s">
        <v>209</v>
      </c>
      <c r="I435" t="s">
        <v>210</v>
      </c>
      <c r="J435" t="s">
        <v>1430</v>
      </c>
      <c r="K435" t="s">
        <v>1431</v>
      </c>
      <c r="L435">
        <v>1852</v>
      </c>
      <c r="M435" t="s">
        <v>331</v>
      </c>
      <c r="N435" t="s">
        <v>1704</v>
      </c>
      <c r="O435" t="s">
        <v>229</v>
      </c>
      <c r="P435" t="s">
        <v>242</v>
      </c>
      <c r="Q435" t="s">
        <v>1705</v>
      </c>
      <c r="R435" s="13">
        <v>714.3</v>
      </c>
      <c r="S435">
        <v>5</v>
      </c>
      <c r="T435" s="14">
        <v>0</v>
      </c>
      <c r="U435" s="13">
        <v>207.14699999999999</v>
      </c>
    </row>
    <row r="436" spans="1:21" ht="15" customHeight="1" x14ac:dyDescent="0.3">
      <c r="A436">
        <v>435</v>
      </c>
      <c r="B436" t="s">
        <v>1706</v>
      </c>
      <c r="C436" s="12">
        <v>41992</v>
      </c>
      <c r="D436" s="12">
        <v>41998</v>
      </c>
      <c r="E436" t="s">
        <v>233</v>
      </c>
      <c r="F436" t="s">
        <v>1707</v>
      </c>
      <c r="G436" t="s">
        <v>1708</v>
      </c>
      <c r="H436" t="s">
        <v>209</v>
      </c>
      <c r="I436" t="s">
        <v>210</v>
      </c>
      <c r="J436" t="s">
        <v>1709</v>
      </c>
      <c r="K436" t="s">
        <v>237</v>
      </c>
      <c r="L436">
        <v>32216</v>
      </c>
      <c r="M436" t="s">
        <v>213</v>
      </c>
      <c r="N436" t="s">
        <v>1710</v>
      </c>
      <c r="O436" t="s">
        <v>229</v>
      </c>
      <c r="P436" t="s">
        <v>258</v>
      </c>
      <c r="Q436" t="s">
        <v>1711</v>
      </c>
      <c r="R436" s="13">
        <v>4.8120000000000003</v>
      </c>
      <c r="S436">
        <v>2</v>
      </c>
      <c r="T436" s="14">
        <v>0.7</v>
      </c>
      <c r="U436" s="13">
        <v>-3.6892</v>
      </c>
    </row>
    <row r="437" spans="1:21" ht="15" customHeight="1" x14ac:dyDescent="0.3">
      <c r="A437">
        <v>436</v>
      </c>
      <c r="B437" t="s">
        <v>1706</v>
      </c>
      <c r="C437" s="12">
        <v>41992</v>
      </c>
      <c r="D437" s="12">
        <v>41998</v>
      </c>
      <c r="E437" t="s">
        <v>233</v>
      </c>
      <c r="F437" t="s">
        <v>1707</v>
      </c>
      <c r="G437" t="s">
        <v>1708</v>
      </c>
      <c r="H437" t="s">
        <v>209</v>
      </c>
      <c r="I437" t="s">
        <v>210</v>
      </c>
      <c r="J437" t="s">
        <v>1709</v>
      </c>
      <c r="K437" t="s">
        <v>237</v>
      </c>
      <c r="L437">
        <v>32216</v>
      </c>
      <c r="M437" t="s">
        <v>213</v>
      </c>
      <c r="N437" t="s">
        <v>1712</v>
      </c>
      <c r="O437" t="s">
        <v>254</v>
      </c>
      <c r="P437" t="s">
        <v>344</v>
      </c>
      <c r="Q437" t="s">
        <v>1713</v>
      </c>
      <c r="R437" s="13">
        <v>247.8</v>
      </c>
      <c r="S437">
        <v>5</v>
      </c>
      <c r="T437" s="14">
        <v>0.2</v>
      </c>
      <c r="U437" s="13">
        <v>-18.585000000000001</v>
      </c>
    </row>
    <row r="438" spans="1:21" ht="15" customHeight="1" x14ac:dyDescent="0.3">
      <c r="A438">
        <v>437</v>
      </c>
      <c r="B438" t="s">
        <v>1714</v>
      </c>
      <c r="C438" s="12">
        <v>42533</v>
      </c>
      <c r="D438" s="12">
        <v>42535</v>
      </c>
      <c r="E438" t="s">
        <v>206</v>
      </c>
      <c r="F438" t="s">
        <v>1715</v>
      </c>
      <c r="G438" t="s">
        <v>1716</v>
      </c>
      <c r="H438" t="s">
        <v>285</v>
      </c>
      <c r="I438" t="s">
        <v>210</v>
      </c>
      <c r="J438" t="s">
        <v>486</v>
      </c>
      <c r="K438" t="s">
        <v>394</v>
      </c>
      <c r="L438">
        <v>60623</v>
      </c>
      <c r="M438" t="s">
        <v>288</v>
      </c>
      <c r="N438" t="s">
        <v>1717</v>
      </c>
      <c r="O438" t="s">
        <v>254</v>
      </c>
      <c r="P438" t="s">
        <v>867</v>
      </c>
      <c r="Q438" t="s">
        <v>1718</v>
      </c>
      <c r="R438" s="13">
        <v>1007.979</v>
      </c>
      <c r="S438">
        <v>3</v>
      </c>
      <c r="T438" s="14">
        <v>0.3</v>
      </c>
      <c r="U438" s="13">
        <v>43.199100000000001</v>
      </c>
    </row>
    <row r="439" spans="1:21" ht="15" customHeight="1" x14ac:dyDescent="0.3">
      <c r="A439">
        <v>438</v>
      </c>
      <c r="B439" t="s">
        <v>1714</v>
      </c>
      <c r="C439" s="12">
        <v>42533</v>
      </c>
      <c r="D439" s="12">
        <v>42535</v>
      </c>
      <c r="E439" t="s">
        <v>206</v>
      </c>
      <c r="F439" t="s">
        <v>1715</v>
      </c>
      <c r="G439" t="s">
        <v>1716</v>
      </c>
      <c r="H439" t="s">
        <v>285</v>
      </c>
      <c r="I439" t="s">
        <v>210</v>
      </c>
      <c r="J439" t="s">
        <v>486</v>
      </c>
      <c r="K439" t="s">
        <v>394</v>
      </c>
      <c r="L439">
        <v>60623</v>
      </c>
      <c r="M439" t="s">
        <v>288</v>
      </c>
      <c r="N439" t="s">
        <v>1437</v>
      </c>
      <c r="O439" t="s">
        <v>229</v>
      </c>
      <c r="P439" t="s">
        <v>273</v>
      </c>
      <c r="Q439" t="s">
        <v>1630</v>
      </c>
      <c r="R439" s="13">
        <v>313.488</v>
      </c>
      <c r="S439">
        <v>7</v>
      </c>
      <c r="T439" s="14">
        <v>0.2</v>
      </c>
      <c r="U439" s="13">
        <v>113.63939999999999</v>
      </c>
    </row>
    <row r="440" spans="1:21" ht="15" customHeight="1" x14ac:dyDescent="0.3">
      <c r="A440">
        <v>439</v>
      </c>
      <c r="B440" t="s">
        <v>1719</v>
      </c>
      <c r="C440" s="12">
        <v>42993</v>
      </c>
      <c r="D440" s="12">
        <v>42997</v>
      </c>
      <c r="E440" t="s">
        <v>233</v>
      </c>
      <c r="F440" t="s">
        <v>1720</v>
      </c>
      <c r="G440" t="s">
        <v>1721</v>
      </c>
      <c r="H440" t="s">
        <v>224</v>
      </c>
      <c r="I440" t="s">
        <v>210</v>
      </c>
      <c r="J440" t="s">
        <v>367</v>
      </c>
      <c r="K440" t="s">
        <v>287</v>
      </c>
      <c r="L440">
        <v>77070</v>
      </c>
      <c r="M440" t="s">
        <v>288</v>
      </c>
      <c r="N440" t="s">
        <v>1722</v>
      </c>
      <c r="O440" t="s">
        <v>229</v>
      </c>
      <c r="P440" t="s">
        <v>273</v>
      </c>
      <c r="Q440" t="s">
        <v>1723</v>
      </c>
      <c r="R440" s="13">
        <v>31.872</v>
      </c>
      <c r="S440">
        <v>8</v>
      </c>
      <c r="T440" s="14">
        <v>0.2</v>
      </c>
      <c r="U440" s="13">
        <v>11.553599999999999</v>
      </c>
    </row>
    <row r="441" spans="1:21" ht="15" customHeight="1" x14ac:dyDescent="0.3">
      <c r="A441">
        <v>440</v>
      </c>
      <c r="B441" t="s">
        <v>1724</v>
      </c>
      <c r="C441" s="12">
        <v>42755</v>
      </c>
      <c r="D441" s="12">
        <v>42758</v>
      </c>
      <c r="E441" t="s">
        <v>206</v>
      </c>
      <c r="F441" t="s">
        <v>664</v>
      </c>
      <c r="G441" t="s">
        <v>665</v>
      </c>
      <c r="H441" t="s">
        <v>224</v>
      </c>
      <c r="I441" t="s">
        <v>210</v>
      </c>
      <c r="J441" t="s">
        <v>449</v>
      </c>
      <c r="K441" t="s">
        <v>450</v>
      </c>
      <c r="L441">
        <v>10024</v>
      </c>
      <c r="M441" t="s">
        <v>331</v>
      </c>
      <c r="N441" t="s">
        <v>1725</v>
      </c>
      <c r="O441" t="s">
        <v>215</v>
      </c>
      <c r="P441" t="s">
        <v>219</v>
      </c>
      <c r="Q441" t="s">
        <v>1726</v>
      </c>
      <c r="R441" s="13">
        <v>207.846</v>
      </c>
      <c r="S441">
        <v>3</v>
      </c>
      <c r="T441" s="14">
        <v>0.1</v>
      </c>
      <c r="U441" s="13">
        <v>2.3093999999999899</v>
      </c>
    </row>
    <row r="442" spans="1:21" ht="15" customHeight="1" x14ac:dyDescent="0.3">
      <c r="A442">
        <v>441</v>
      </c>
      <c r="B442" t="s">
        <v>1727</v>
      </c>
      <c r="C442" s="12">
        <v>42618</v>
      </c>
      <c r="D442" s="12">
        <v>42620</v>
      </c>
      <c r="E442" t="s">
        <v>206</v>
      </c>
      <c r="F442" t="s">
        <v>294</v>
      </c>
      <c r="G442" t="s">
        <v>295</v>
      </c>
      <c r="H442" t="s">
        <v>209</v>
      </c>
      <c r="I442" t="s">
        <v>210</v>
      </c>
      <c r="J442" t="s">
        <v>1065</v>
      </c>
      <c r="K442" t="s">
        <v>421</v>
      </c>
      <c r="L442">
        <v>48227</v>
      </c>
      <c r="M442" t="s">
        <v>288</v>
      </c>
      <c r="N442" t="s">
        <v>1728</v>
      </c>
      <c r="O442" t="s">
        <v>215</v>
      </c>
      <c r="P442" t="s">
        <v>248</v>
      </c>
      <c r="Q442" t="s">
        <v>1729</v>
      </c>
      <c r="R442" s="13">
        <v>12.22</v>
      </c>
      <c r="S442">
        <v>1</v>
      </c>
      <c r="T442" s="14">
        <v>0</v>
      </c>
      <c r="U442" s="13">
        <v>3.6659999999999999</v>
      </c>
    </row>
    <row r="443" spans="1:21" ht="15" customHeight="1" x14ac:dyDescent="0.3">
      <c r="A443">
        <v>442</v>
      </c>
      <c r="B443" t="s">
        <v>1727</v>
      </c>
      <c r="C443" s="12">
        <v>42618</v>
      </c>
      <c r="D443" s="12">
        <v>42620</v>
      </c>
      <c r="E443" t="s">
        <v>206</v>
      </c>
      <c r="F443" t="s">
        <v>294</v>
      </c>
      <c r="G443" t="s">
        <v>295</v>
      </c>
      <c r="H443" t="s">
        <v>209</v>
      </c>
      <c r="I443" t="s">
        <v>210</v>
      </c>
      <c r="J443" t="s">
        <v>1065</v>
      </c>
      <c r="K443" t="s">
        <v>421</v>
      </c>
      <c r="L443">
        <v>48227</v>
      </c>
      <c r="M443" t="s">
        <v>288</v>
      </c>
      <c r="N443" t="s">
        <v>1730</v>
      </c>
      <c r="O443" t="s">
        <v>229</v>
      </c>
      <c r="P443" t="s">
        <v>242</v>
      </c>
      <c r="Q443" t="s">
        <v>1731</v>
      </c>
      <c r="R443" s="13">
        <v>194.94</v>
      </c>
      <c r="S443">
        <v>3</v>
      </c>
      <c r="T443" s="14">
        <v>0</v>
      </c>
      <c r="U443" s="13">
        <v>23.392800000000001</v>
      </c>
    </row>
    <row r="444" spans="1:21" ht="15" customHeight="1" x14ac:dyDescent="0.3">
      <c r="A444">
        <v>443</v>
      </c>
      <c r="B444" t="s">
        <v>1727</v>
      </c>
      <c r="C444" s="12">
        <v>42618</v>
      </c>
      <c r="D444" s="12">
        <v>42620</v>
      </c>
      <c r="E444" t="s">
        <v>206</v>
      </c>
      <c r="F444" t="s">
        <v>294</v>
      </c>
      <c r="G444" t="s">
        <v>295</v>
      </c>
      <c r="H444" t="s">
        <v>209</v>
      </c>
      <c r="I444" t="s">
        <v>210</v>
      </c>
      <c r="J444" t="s">
        <v>1065</v>
      </c>
      <c r="K444" t="s">
        <v>421</v>
      </c>
      <c r="L444">
        <v>48227</v>
      </c>
      <c r="M444" t="s">
        <v>288</v>
      </c>
      <c r="N444" t="s">
        <v>1732</v>
      </c>
      <c r="O444" t="s">
        <v>229</v>
      </c>
      <c r="P444" t="s">
        <v>242</v>
      </c>
      <c r="Q444" t="s">
        <v>1733</v>
      </c>
      <c r="R444" s="13">
        <v>70.95</v>
      </c>
      <c r="S444">
        <v>3</v>
      </c>
      <c r="T444" s="14">
        <v>0</v>
      </c>
      <c r="U444" s="13">
        <v>20.575500000000002</v>
      </c>
    </row>
    <row r="445" spans="1:21" ht="15" customHeight="1" x14ac:dyDescent="0.3">
      <c r="A445">
        <v>444</v>
      </c>
      <c r="B445" t="s">
        <v>1727</v>
      </c>
      <c r="C445" s="12">
        <v>42618</v>
      </c>
      <c r="D445" s="12">
        <v>42620</v>
      </c>
      <c r="E445" t="s">
        <v>206</v>
      </c>
      <c r="F445" t="s">
        <v>294</v>
      </c>
      <c r="G445" t="s">
        <v>295</v>
      </c>
      <c r="H445" t="s">
        <v>209</v>
      </c>
      <c r="I445" t="s">
        <v>210</v>
      </c>
      <c r="J445" t="s">
        <v>1065</v>
      </c>
      <c r="K445" t="s">
        <v>421</v>
      </c>
      <c r="L445">
        <v>48227</v>
      </c>
      <c r="M445" t="s">
        <v>288</v>
      </c>
      <c r="N445" t="s">
        <v>1734</v>
      </c>
      <c r="O445" t="s">
        <v>229</v>
      </c>
      <c r="P445" t="s">
        <v>273</v>
      </c>
      <c r="Q445" t="s">
        <v>1735</v>
      </c>
      <c r="R445" s="13">
        <v>91.36</v>
      </c>
      <c r="S445">
        <v>4</v>
      </c>
      <c r="T445" s="14">
        <v>0</v>
      </c>
      <c r="U445" s="13">
        <v>42.025599999999997</v>
      </c>
    </row>
    <row r="446" spans="1:21" ht="15" customHeight="1" x14ac:dyDescent="0.3">
      <c r="A446">
        <v>445</v>
      </c>
      <c r="B446" t="s">
        <v>1727</v>
      </c>
      <c r="C446" s="12">
        <v>42618</v>
      </c>
      <c r="D446" s="12">
        <v>42620</v>
      </c>
      <c r="E446" t="s">
        <v>206</v>
      </c>
      <c r="F446" t="s">
        <v>294</v>
      </c>
      <c r="G446" t="s">
        <v>295</v>
      </c>
      <c r="H446" t="s">
        <v>209</v>
      </c>
      <c r="I446" t="s">
        <v>210</v>
      </c>
      <c r="J446" t="s">
        <v>1065</v>
      </c>
      <c r="K446" t="s">
        <v>421</v>
      </c>
      <c r="L446">
        <v>48227</v>
      </c>
      <c r="M446" t="s">
        <v>288</v>
      </c>
      <c r="N446" t="s">
        <v>1736</v>
      </c>
      <c r="O446" t="s">
        <v>215</v>
      </c>
      <c r="P446" t="s">
        <v>219</v>
      </c>
      <c r="Q446" t="s">
        <v>1737</v>
      </c>
      <c r="R446" s="13">
        <v>242.94</v>
      </c>
      <c r="S446">
        <v>3</v>
      </c>
      <c r="T446" s="14">
        <v>0</v>
      </c>
      <c r="U446" s="13">
        <v>29.152799999999999</v>
      </c>
    </row>
    <row r="447" spans="1:21" ht="15" customHeight="1" x14ac:dyDescent="0.3">
      <c r="A447">
        <v>446</v>
      </c>
      <c r="B447" t="s">
        <v>1727</v>
      </c>
      <c r="C447" s="12">
        <v>42618</v>
      </c>
      <c r="D447" s="12">
        <v>42620</v>
      </c>
      <c r="E447" t="s">
        <v>206</v>
      </c>
      <c r="F447" t="s">
        <v>294</v>
      </c>
      <c r="G447" t="s">
        <v>295</v>
      </c>
      <c r="H447" t="s">
        <v>209</v>
      </c>
      <c r="I447" t="s">
        <v>210</v>
      </c>
      <c r="J447" t="s">
        <v>1065</v>
      </c>
      <c r="K447" t="s">
        <v>421</v>
      </c>
      <c r="L447">
        <v>48227</v>
      </c>
      <c r="M447" t="s">
        <v>288</v>
      </c>
      <c r="N447" t="s">
        <v>1738</v>
      </c>
      <c r="O447" t="s">
        <v>229</v>
      </c>
      <c r="P447" t="s">
        <v>230</v>
      </c>
      <c r="Q447" t="s">
        <v>1739</v>
      </c>
      <c r="R447" s="13">
        <v>22.05</v>
      </c>
      <c r="S447">
        <v>7</v>
      </c>
      <c r="T447" s="14">
        <v>0</v>
      </c>
      <c r="U447" s="13">
        <v>10.584</v>
      </c>
    </row>
    <row r="448" spans="1:21" ht="15" customHeight="1" x14ac:dyDescent="0.3">
      <c r="A448">
        <v>447</v>
      </c>
      <c r="B448" t="s">
        <v>1740</v>
      </c>
      <c r="C448" s="12">
        <v>42814</v>
      </c>
      <c r="D448" s="12">
        <v>42819</v>
      </c>
      <c r="E448" t="s">
        <v>206</v>
      </c>
      <c r="F448" t="s">
        <v>1741</v>
      </c>
      <c r="G448" t="s">
        <v>1742</v>
      </c>
      <c r="H448" t="s">
        <v>209</v>
      </c>
      <c r="I448" t="s">
        <v>210</v>
      </c>
      <c r="J448" t="s">
        <v>680</v>
      </c>
      <c r="K448" t="s">
        <v>437</v>
      </c>
      <c r="L448">
        <v>47201</v>
      </c>
      <c r="M448" t="s">
        <v>288</v>
      </c>
      <c r="N448" t="s">
        <v>1743</v>
      </c>
      <c r="O448" t="s">
        <v>215</v>
      </c>
      <c r="P448" t="s">
        <v>248</v>
      </c>
      <c r="Q448" t="s">
        <v>1744</v>
      </c>
      <c r="R448" s="13">
        <v>2.91</v>
      </c>
      <c r="S448">
        <v>1</v>
      </c>
      <c r="T448" s="14">
        <v>0</v>
      </c>
      <c r="U448" s="13">
        <v>1.3676999999999999</v>
      </c>
    </row>
    <row r="449" spans="1:21" ht="15" customHeight="1" x14ac:dyDescent="0.3">
      <c r="A449">
        <v>448</v>
      </c>
      <c r="B449" t="s">
        <v>1745</v>
      </c>
      <c r="C449" s="12">
        <v>42461</v>
      </c>
      <c r="D449" s="12">
        <v>42463</v>
      </c>
      <c r="E449" t="s">
        <v>206</v>
      </c>
      <c r="F449" t="s">
        <v>1746</v>
      </c>
      <c r="G449" t="s">
        <v>1747</v>
      </c>
      <c r="H449" t="s">
        <v>209</v>
      </c>
      <c r="I449" t="s">
        <v>210</v>
      </c>
      <c r="J449" t="s">
        <v>1748</v>
      </c>
      <c r="K449" t="s">
        <v>450</v>
      </c>
      <c r="L449">
        <v>13021</v>
      </c>
      <c r="M449" t="s">
        <v>331</v>
      </c>
      <c r="N449" t="s">
        <v>1749</v>
      </c>
      <c r="O449" t="s">
        <v>229</v>
      </c>
      <c r="P449" t="s">
        <v>251</v>
      </c>
      <c r="Q449" t="s">
        <v>1750</v>
      </c>
      <c r="R449" s="13">
        <v>59.52</v>
      </c>
      <c r="S449">
        <v>3</v>
      </c>
      <c r="T449" s="14">
        <v>0</v>
      </c>
      <c r="U449" s="13">
        <v>15.475199999999999</v>
      </c>
    </row>
    <row r="450" spans="1:21" ht="15" customHeight="1" x14ac:dyDescent="0.3">
      <c r="A450">
        <v>449</v>
      </c>
      <c r="B450" t="s">
        <v>1745</v>
      </c>
      <c r="C450" s="12">
        <v>42461</v>
      </c>
      <c r="D450" s="12">
        <v>42463</v>
      </c>
      <c r="E450" t="s">
        <v>206</v>
      </c>
      <c r="F450" t="s">
        <v>1746</v>
      </c>
      <c r="G450" t="s">
        <v>1747</v>
      </c>
      <c r="H450" t="s">
        <v>209</v>
      </c>
      <c r="I450" t="s">
        <v>210</v>
      </c>
      <c r="J450" t="s">
        <v>1748</v>
      </c>
      <c r="K450" t="s">
        <v>450</v>
      </c>
      <c r="L450">
        <v>13021</v>
      </c>
      <c r="M450" t="s">
        <v>331</v>
      </c>
      <c r="N450" t="s">
        <v>1751</v>
      </c>
      <c r="O450" t="s">
        <v>229</v>
      </c>
      <c r="P450" t="s">
        <v>242</v>
      </c>
      <c r="Q450" t="s">
        <v>1752</v>
      </c>
      <c r="R450" s="13">
        <v>161.94</v>
      </c>
      <c r="S450">
        <v>3</v>
      </c>
      <c r="T450" s="14">
        <v>0</v>
      </c>
      <c r="U450" s="13">
        <v>9.7163999999999895</v>
      </c>
    </row>
    <row r="451" spans="1:21" ht="15" customHeight="1" x14ac:dyDescent="0.3">
      <c r="A451">
        <v>450</v>
      </c>
      <c r="B451" t="s">
        <v>1745</v>
      </c>
      <c r="C451" s="12">
        <v>42461</v>
      </c>
      <c r="D451" s="12">
        <v>42463</v>
      </c>
      <c r="E451" t="s">
        <v>206</v>
      </c>
      <c r="F451" t="s">
        <v>1746</v>
      </c>
      <c r="G451" t="s">
        <v>1747</v>
      </c>
      <c r="H451" t="s">
        <v>209</v>
      </c>
      <c r="I451" t="s">
        <v>210</v>
      </c>
      <c r="J451" t="s">
        <v>1748</v>
      </c>
      <c r="K451" t="s">
        <v>450</v>
      </c>
      <c r="L451">
        <v>13021</v>
      </c>
      <c r="M451" t="s">
        <v>331</v>
      </c>
      <c r="N451" t="s">
        <v>1753</v>
      </c>
      <c r="O451" t="s">
        <v>229</v>
      </c>
      <c r="P451" t="s">
        <v>251</v>
      </c>
      <c r="Q451" t="s">
        <v>1754</v>
      </c>
      <c r="R451" s="13">
        <v>263.88</v>
      </c>
      <c r="S451">
        <v>6</v>
      </c>
      <c r="T451" s="14">
        <v>0</v>
      </c>
      <c r="U451" s="13">
        <v>71.247600000000006</v>
      </c>
    </row>
    <row r="452" spans="1:21" ht="15" customHeight="1" x14ac:dyDescent="0.3">
      <c r="A452">
        <v>451</v>
      </c>
      <c r="B452" t="s">
        <v>1745</v>
      </c>
      <c r="C452" s="12">
        <v>42461</v>
      </c>
      <c r="D452" s="12">
        <v>42463</v>
      </c>
      <c r="E452" t="s">
        <v>206</v>
      </c>
      <c r="F452" t="s">
        <v>1746</v>
      </c>
      <c r="G452" t="s">
        <v>1747</v>
      </c>
      <c r="H452" t="s">
        <v>209</v>
      </c>
      <c r="I452" t="s">
        <v>210</v>
      </c>
      <c r="J452" t="s">
        <v>1748</v>
      </c>
      <c r="K452" t="s">
        <v>450</v>
      </c>
      <c r="L452">
        <v>13021</v>
      </c>
      <c r="M452" t="s">
        <v>331</v>
      </c>
      <c r="N452" t="s">
        <v>1755</v>
      </c>
      <c r="O452" t="s">
        <v>229</v>
      </c>
      <c r="P452" t="s">
        <v>251</v>
      </c>
      <c r="Q452" t="s">
        <v>1756</v>
      </c>
      <c r="R452" s="13">
        <v>30.48</v>
      </c>
      <c r="S452">
        <v>3</v>
      </c>
      <c r="T452" s="14">
        <v>0</v>
      </c>
      <c r="U452" s="13">
        <v>7.9248000000000003</v>
      </c>
    </row>
    <row r="453" spans="1:21" ht="15" customHeight="1" x14ac:dyDescent="0.3">
      <c r="A453">
        <v>452</v>
      </c>
      <c r="B453" t="s">
        <v>1745</v>
      </c>
      <c r="C453" s="12">
        <v>42461</v>
      </c>
      <c r="D453" s="12">
        <v>42463</v>
      </c>
      <c r="E453" t="s">
        <v>206</v>
      </c>
      <c r="F453" t="s">
        <v>1746</v>
      </c>
      <c r="G453" t="s">
        <v>1747</v>
      </c>
      <c r="H453" t="s">
        <v>209</v>
      </c>
      <c r="I453" t="s">
        <v>210</v>
      </c>
      <c r="J453" t="s">
        <v>1748</v>
      </c>
      <c r="K453" t="s">
        <v>450</v>
      </c>
      <c r="L453">
        <v>13021</v>
      </c>
      <c r="M453" t="s">
        <v>331</v>
      </c>
      <c r="N453" t="s">
        <v>1757</v>
      </c>
      <c r="O453" t="s">
        <v>229</v>
      </c>
      <c r="P453" t="s">
        <v>251</v>
      </c>
      <c r="Q453" t="s">
        <v>1758</v>
      </c>
      <c r="R453" s="13">
        <v>9.84</v>
      </c>
      <c r="S453">
        <v>3</v>
      </c>
      <c r="T453" s="14">
        <v>0</v>
      </c>
      <c r="U453" s="13">
        <v>2.8536000000000001</v>
      </c>
    </row>
    <row r="454" spans="1:21" ht="15" customHeight="1" x14ac:dyDescent="0.3">
      <c r="A454">
        <v>453</v>
      </c>
      <c r="B454" t="s">
        <v>1745</v>
      </c>
      <c r="C454" s="12">
        <v>42461</v>
      </c>
      <c r="D454" s="12">
        <v>42463</v>
      </c>
      <c r="E454" t="s">
        <v>206</v>
      </c>
      <c r="F454" t="s">
        <v>1746</v>
      </c>
      <c r="G454" t="s">
        <v>1747</v>
      </c>
      <c r="H454" t="s">
        <v>209</v>
      </c>
      <c r="I454" t="s">
        <v>210</v>
      </c>
      <c r="J454" t="s">
        <v>1748</v>
      </c>
      <c r="K454" t="s">
        <v>450</v>
      </c>
      <c r="L454">
        <v>13021</v>
      </c>
      <c r="M454" t="s">
        <v>331</v>
      </c>
      <c r="N454" t="s">
        <v>1759</v>
      </c>
      <c r="O454" t="s">
        <v>254</v>
      </c>
      <c r="P454" t="s">
        <v>255</v>
      </c>
      <c r="Q454" t="s">
        <v>1760</v>
      </c>
      <c r="R454" s="13">
        <v>35.119999999999997</v>
      </c>
      <c r="S454">
        <v>4</v>
      </c>
      <c r="T454" s="14">
        <v>0</v>
      </c>
      <c r="U454" s="13">
        <v>9.1311999999999998</v>
      </c>
    </row>
    <row r="455" spans="1:21" ht="15" customHeight="1" x14ac:dyDescent="0.3">
      <c r="A455">
        <v>454</v>
      </c>
      <c r="B455" t="s">
        <v>1761</v>
      </c>
      <c r="C455" s="12">
        <v>43028</v>
      </c>
      <c r="D455" s="12">
        <v>43032</v>
      </c>
      <c r="E455" t="s">
        <v>233</v>
      </c>
      <c r="F455" t="s">
        <v>1762</v>
      </c>
      <c r="G455" t="s">
        <v>1763</v>
      </c>
      <c r="H455" t="s">
        <v>224</v>
      </c>
      <c r="I455" t="s">
        <v>210</v>
      </c>
      <c r="J455" t="s">
        <v>986</v>
      </c>
      <c r="K455" t="s">
        <v>681</v>
      </c>
      <c r="L455">
        <v>44312</v>
      </c>
      <c r="M455" t="s">
        <v>331</v>
      </c>
      <c r="N455" t="s">
        <v>263</v>
      </c>
      <c r="O455" t="s">
        <v>215</v>
      </c>
      <c r="P455" t="s">
        <v>239</v>
      </c>
      <c r="Q455" t="s">
        <v>264</v>
      </c>
      <c r="R455" s="13">
        <v>284.36399999999998</v>
      </c>
      <c r="S455">
        <v>2</v>
      </c>
      <c r="T455" s="14">
        <v>0.4</v>
      </c>
      <c r="U455" s="13">
        <v>-75.830400000000097</v>
      </c>
    </row>
    <row r="456" spans="1:21" ht="15" customHeight="1" x14ac:dyDescent="0.3">
      <c r="A456">
        <v>455</v>
      </c>
      <c r="B456" t="s">
        <v>1761</v>
      </c>
      <c r="C456" s="12">
        <v>43028</v>
      </c>
      <c r="D456" s="12">
        <v>43032</v>
      </c>
      <c r="E456" t="s">
        <v>233</v>
      </c>
      <c r="F456" t="s">
        <v>1762</v>
      </c>
      <c r="G456" t="s">
        <v>1763</v>
      </c>
      <c r="H456" t="s">
        <v>224</v>
      </c>
      <c r="I456" t="s">
        <v>210</v>
      </c>
      <c r="J456" t="s">
        <v>986</v>
      </c>
      <c r="K456" t="s">
        <v>681</v>
      </c>
      <c r="L456">
        <v>44312</v>
      </c>
      <c r="M456" t="s">
        <v>331</v>
      </c>
      <c r="N456" t="s">
        <v>1764</v>
      </c>
      <c r="O456" t="s">
        <v>229</v>
      </c>
      <c r="P456" t="s">
        <v>242</v>
      </c>
      <c r="Q456" t="s">
        <v>1765</v>
      </c>
      <c r="R456" s="13">
        <v>665.40800000000002</v>
      </c>
      <c r="S456">
        <v>2</v>
      </c>
      <c r="T456" s="14">
        <v>0.2</v>
      </c>
      <c r="U456" s="13">
        <v>66.540800000000004</v>
      </c>
    </row>
    <row r="457" spans="1:21" ht="15" customHeight="1" x14ac:dyDescent="0.3">
      <c r="A457">
        <v>456</v>
      </c>
      <c r="B457" t="s">
        <v>1766</v>
      </c>
      <c r="C457" s="12">
        <v>42717</v>
      </c>
      <c r="D457" s="12">
        <v>42721</v>
      </c>
      <c r="E457" t="s">
        <v>233</v>
      </c>
      <c r="F457" t="s">
        <v>1691</v>
      </c>
      <c r="G457" t="s">
        <v>1692</v>
      </c>
      <c r="H457" t="s">
        <v>224</v>
      </c>
      <c r="I457" t="s">
        <v>210</v>
      </c>
      <c r="J457" t="s">
        <v>1767</v>
      </c>
      <c r="K457" t="s">
        <v>833</v>
      </c>
      <c r="L457">
        <v>73071</v>
      </c>
      <c r="M457" t="s">
        <v>288</v>
      </c>
      <c r="N457" t="s">
        <v>1768</v>
      </c>
      <c r="O457" t="s">
        <v>254</v>
      </c>
      <c r="P457" t="s">
        <v>344</v>
      </c>
      <c r="Q457" t="s">
        <v>1769</v>
      </c>
      <c r="R457" s="13">
        <v>63.88</v>
      </c>
      <c r="S457">
        <v>4</v>
      </c>
      <c r="T457" s="14">
        <v>0</v>
      </c>
      <c r="U457" s="13">
        <v>24.9132</v>
      </c>
    </row>
    <row r="458" spans="1:21" ht="15" customHeight="1" x14ac:dyDescent="0.3">
      <c r="A458">
        <v>457</v>
      </c>
      <c r="B458" t="s">
        <v>1770</v>
      </c>
      <c r="C458" s="12">
        <v>41682</v>
      </c>
      <c r="D458" s="12">
        <v>41688</v>
      </c>
      <c r="E458" t="s">
        <v>233</v>
      </c>
      <c r="F458" t="s">
        <v>1771</v>
      </c>
      <c r="G458" t="s">
        <v>1772</v>
      </c>
      <c r="H458" t="s">
        <v>209</v>
      </c>
      <c r="I458" t="s">
        <v>210</v>
      </c>
      <c r="J458" t="s">
        <v>270</v>
      </c>
      <c r="K458" t="s">
        <v>226</v>
      </c>
      <c r="L458">
        <v>94521</v>
      </c>
      <c r="M458" t="s">
        <v>227</v>
      </c>
      <c r="N458" t="s">
        <v>1773</v>
      </c>
      <c r="O458" t="s">
        <v>215</v>
      </c>
      <c r="P458" t="s">
        <v>219</v>
      </c>
      <c r="Q458" t="s">
        <v>1774</v>
      </c>
      <c r="R458" s="13">
        <v>129.56800000000001</v>
      </c>
      <c r="S458">
        <v>2</v>
      </c>
      <c r="T458" s="14">
        <v>0.2</v>
      </c>
      <c r="U458" s="13">
        <v>-24.294</v>
      </c>
    </row>
    <row r="459" spans="1:21" ht="15" customHeight="1" x14ac:dyDescent="0.3">
      <c r="A459">
        <v>458</v>
      </c>
      <c r="B459" t="s">
        <v>1775</v>
      </c>
      <c r="C459" s="12">
        <v>42639</v>
      </c>
      <c r="D459" s="12">
        <v>42644</v>
      </c>
      <c r="E459" t="s">
        <v>233</v>
      </c>
      <c r="F459" t="s">
        <v>1673</v>
      </c>
      <c r="G459" t="s">
        <v>1674</v>
      </c>
      <c r="H459" t="s">
        <v>209</v>
      </c>
      <c r="I459" t="s">
        <v>210</v>
      </c>
      <c r="J459" t="s">
        <v>540</v>
      </c>
      <c r="K459" t="s">
        <v>394</v>
      </c>
      <c r="L459">
        <v>62521</v>
      </c>
      <c r="M459" t="s">
        <v>288</v>
      </c>
      <c r="N459" t="s">
        <v>1776</v>
      </c>
      <c r="O459" t="s">
        <v>215</v>
      </c>
      <c r="P459" t="s">
        <v>219</v>
      </c>
      <c r="Q459" t="s">
        <v>1777</v>
      </c>
      <c r="R459" s="13">
        <v>747.55799999999999</v>
      </c>
      <c r="S459">
        <v>3</v>
      </c>
      <c r="T459" s="14">
        <v>0.3</v>
      </c>
      <c r="U459" s="13">
        <v>-96.114600000000095</v>
      </c>
    </row>
    <row r="460" spans="1:21" ht="15" customHeight="1" x14ac:dyDescent="0.3">
      <c r="A460">
        <v>459</v>
      </c>
      <c r="B460" t="s">
        <v>1775</v>
      </c>
      <c r="C460" s="12">
        <v>42639</v>
      </c>
      <c r="D460" s="12">
        <v>42644</v>
      </c>
      <c r="E460" t="s">
        <v>233</v>
      </c>
      <c r="F460" t="s">
        <v>1673</v>
      </c>
      <c r="G460" t="s">
        <v>1674</v>
      </c>
      <c r="H460" t="s">
        <v>209</v>
      </c>
      <c r="I460" t="s">
        <v>210</v>
      </c>
      <c r="J460" t="s">
        <v>540</v>
      </c>
      <c r="K460" t="s">
        <v>394</v>
      </c>
      <c r="L460">
        <v>62521</v>
      </c>
      <c r="M460" t="s">
        <v>288</v>
      </c>
      <c r="N460" t="s">
        <v>1778</v>
      </c>
      <c r="O460" t="s">
        <v>229</v>
      </c>
      <c r="P460" t="s">
        <v>356</v>
      </c>
      <c r="Q460" t="s">
        <v>854</v>
      </c>
      <c r="R460" s="13">
        <v>8.9280000000000008</v>
      </c>
      <c r="S460">
        <v>2</v>
      </c>
      <c r="T460" s="14">
        <v>0.2</v>
      </c>
      <c r="U460" s="13">
        <v>3.3479999999999999</v>
      </c>
    </row>
    <row r="461" spans="1:21" ht="15" customHeight="1" x14ac:dyDescent="0.3">
      <c r="A461">
        <v>460</v>
      </c>
      <c r="B461" t="s">
        <v>1779</v>
      </c>
      <c r="C461" s="12">
        <v>42353</v>
      </c>
      <c r="D461" s="12">
        <v>42360</v>
      </c>
      <c r="E461" t="s">
        <v>233</v>
      </c>
      <c r="F461" t="s">
        <v>1015</v>
      </c>
      <c r="G461" t="s">
        <v>1016</v>
      </c>
      <c r="H461" t="s">
        <v>209</v>
      </c>
      <c r="I461" t="s">
        <v>210</v>
      </c>
      <c r="J461" t="s">
        <v>278</v>
      </c>
      <c r="K461" t="s">
        <v>279</v>
      </c>
      <c r="L461">
        <v>98115</v>
      </c>
      <c r="M461" t="s">
        <v>227</v>
      </c>
      <c r="N461" t="s">
        <v>1780</v>
      </c>
      <c r="O461" t="s">
        <v>229</v>
      </c>
      <c r="P461" t="s">
        <v>261</v>
      </c>
      <c r="Q461" t="s">
        <v>1781</v>
      </c>
      <c r="R461" s="13">
        <v>103.92</v>
      </c>
      <c r="S461">
        <v>4</v>
      </c>
      <c r="T461" s="14">
        <v>0</v>
      </c>
      <c r="U461" s="13">
        <v>36.372</v>
      </c>
    </row>
    <row r="462" spans="1:21" ht="15" customHeight="1" x14ac:dyDescent="0.3">
      <c r="A462">
        <v>461</v>
      </c>
      <c r="B462" t="s">
        <v>1779</v>
      </c>
      <c r="C462" s="12">
        <v>42353</v>
      </c>
      <c r="D462" s="12">
        <v>42360</v>
      </c>
      <c r="E462" t="s">
        <v>233</v>
      </c>
      <c r="F462" t="s">
        <v>1015</v>
      </c>
      <c r="G462" t="s">
        <v>1016</v>
      </c>
      <c r="H462" t="s">
        <v>209</v>
      </c>
      <c r="I462" t="s">
        <v>210</v>
      </c>
      <c r="J462" t="s">
        <v>278</v>
      </c>
      <c r="K462" t="s">
        <v>279</v>
      </c>
      <c r="L462">
        <v>98115</v>
      </c>
      <c r="M462" t="s">
        <v>227</v>
      </c>
      <c r="N462" t="s">
        <v>1782</v>
      </c>
      <c r="O462" t="s">
        <v>254</v>
      </c>
      <c r="P462" t="s">
        <v>344</v>
      </c>
      <c r="Q462" t="s">
        <v>1783</v>
      </c>
      <c r="R462" s="13">
        <v>899.91</v>
      </c>
      <c r="S462">
        <v>9</v>
      </c>
      <c r="T462" s="14">
        <v>0</v>
      </c>
      <c r="U462" s="13">
        <v>377.9622</v>
      </c>
    </row>
    <row r="463" spans="1:21" ht="15" customHeight="1" x14ac:dyDescent="0.3">
      <c r="A463">
        <v>462</v>
      </c>
      <c r="B463" t="s">
        <v>1779</v>
      </c>
      <c r="C463" s="12">
        <v>42353</v>
      </c>
      <c r="D463" s="12">
        <v>42360</v>
      </c>
      <c r="E463" t="s">
        <v>233</v>
      </c>
      <c r="F463" t="s">
        <v>1015</v>
      </c>
      <c r="G463" t="s">
        <v>1016</v>
      </c>
      <c r="H463" t="s">
        <v>209</v>
      </c>
      <c r="I463" t="s">
        <v>210</v>
      </c>
      <c r="J463" t="s">
        <v>278</v>
      </c>
      <c r="K463" t="s">
        <v>279</v>
      </c>
      <c r="L463">
        <v>98115</v>
      </c>
      <c r="M463" t="s">
        <v>227</v>
      </c>
      <c r="N463" t="s">
        <v>1784</v>
      </c>
      <c r="O463" t="s">
        <v>229</v>
      </c>
      <c r="P463" t="s">
        <v>258</v>
      </c>
      <c r="Q463" t="s">
        <v>1785</v>
      </c>
      <c r="R463" s="13">
        <v>51.311999999999998</v>
      </c>
      <c r="S463">
        <v>3</v>
      </c>
      <c r="T463" s="14">
        <v>0.2</v>
      </c>
      <c r="U463" s="13">
        <v>18.6006</v>
      </c>
    </row>
    <row r="464" spans="1:21" ht="15" customHeight="1" x14ac:dyDescent="0.3">
      <c r="A464">
        <v>463</v>
      </c>
      <c r="B464" t="s">
        <v>1786</v>
      </c>
      <c r="C464" s="12">
        <v>42482</v>
      </c>
      <c r="D464" s="12">
        <v>42489</v>
      </c>
      <c r="E464" t="s">
        <v>233</v>
      </c>
      <c r="F464" t="s">
        <v>1787</v>
      </c>
      <c r="G464" t="s">
        <v>1788</v>
      </c>
      <c r="H464" t="s">
        <v>285</v>
      </c>
      <c r="I464" t="s">
        <v>210</v>
      </c>
      <c r="J464" t="s">
        <v>727</v>
      </c>
      <c r="K464" t="s">
        <v>493</v>
      </c>
      <c r="L464">
        <v>85023</v>
      </c>
      <c r="M464" t="s">
        <v>227</v>
      </c>
      <c r="N464" t="s">
        <v>1470</v>
      </c>
      <c r="O464" t="s">
        <v>215</v>
      </c>
      <c r="P464" t="s">
        <v>248</v>
      </c>
      <c r="Q464" t="s">
        <v>1471</v>
      </c>
      <c r="R464" s="13">
        <v>23.56</v>
      </c>
      <c r="S464">
        <v>5</v>
      </c>
      <c r="T464" s="14">
        <v>0.2</v>
      </c>
      <c r="U464" s="13">
        <v>7.0679999999999996</v>
      </c>
    </row>
    <row r="465" spans="1:21" ht="15" customHeight="1" x14ac:dyDescent="0.3">
      <c r="A465">
        <v>464</v>
      </c>
      <c r="B465" t="s">
        <v>1786</v>
      </c>
      <c r="C465" s="12">
        <v>42482</v>
      </c>
      <c r="D465" s="12">
        <v>42489</v>
      </c>
      <c r="E465" t="s">
        <v>233</v>
      </c>
      <c r="F465" t="s">
        <v>1787</v>
      </c>
      <c r="G465" t="s">
        <v>1788</v>
      </c>
      <c r="H465" t="s">
        <v>285</v>
      </c>
      <c r="I465" t="s">
        <v>210</v>
      </c>
      <c r="J465" t="s">
        <v>727</v>
      </c>
      <c r="K465" t="s">
        <v>493</v>
      </c>
      <c r="L465">
        <v>85023</v>
      </c>
      <c r="M465" t="s">
        <v>227</v>
      </c>
      <c r="N465" t="s">
        <v>1789</v>
      </c>
      <c r="O465" t="s">
        <v>215</v>
      </c>
      <c r="P465" t="s">
        <v>239</v>
      </c>
      <c r="Q465" t="s">
        <v>1790</v>
      </c>
      <c r="R465" s="13">
        <v>1272.6300000000001</v>
      </c>
      <c r="S465">
        <v>6</v>
      </c>
      <c r="T465" s="14">
        <v>0.5</v>
      </c>
      <c r="U465" s="13">
        <v>-814.48320000000001</v>
      </c>
    </row>
    <row r="466" spans="1:21" ht="15" customHeight="1" x14ac:dyDescent="0.3">
      <c r="A466">
        <v>465</v>
      </c>
      <c r="B466" t="s">
        <v>1786</v>
      </c>
      <c r="C466" s="12">
        <v>42482</v>
      </c>
      <c r="D466" s="12">
        <v>42489</v>
      </c>
      <c r="E466" t="s">
        <v>233</v>
      </c>
      <c r="F466" t="s">
        <v>1787</v>
      </c>
      <c r="G466" t="s">
        <v>1788</v>
      </c>
      <c r="H466" t="s">
        <v>285</v>
      </c>
      <c r="I466" t="s">
        <v>210</v>
      </c>
      <c r="J466" t="s">
        <v>727</v>
      </c>
      <c r="K466" t="s">
        <v>493</v>
      </c>
      <c r="L466">
        <v>85023</v>
      </c>
      <c r="M466" t="s">
        <v>227</v>
      </c>
      <c r="N466" t="s">
        <v>1791</v>
      </c>
      <c r="O466" t="s">
        <v>229</v>
      </c>
      <c r="P466" t="s">
        <v>258</v>
      </c>
      <c r="Q466" t="s">
        <v>1792</v>
      </c>
      <c r="R466" s="13">
        <v>28.484999999999999</v>
      </c>
      <c r="S466">
        <v>5</v>
      </c>
      <c r="T466" s="14">
        <v>0.7</v>
      </c>
      <c r="U466" s="13">
        <v>-20.888999999999999</v>
      </c>
    </row>
    <row r="467" spans="1:21" ht="15" customHeight="1" x14ac:dyDescent="0.3">
      <c r="A467">
        <v>466</v>
      </c>
      <c r="B467" t="s">
        <v>1786</v>
      </c>
      <c r="C467" s="12">
        <v>42482</v>
      </c>
      <c r="D467" s="12">
        <v>42489</v>
      </c>
      <c r="E467" t="s">
        <v>233</v>
      </c>
      <c r="F467" t="s">
        <v>1787</v>
      </c>
      <c r="G467" t="s">
        <v>1788</v>
      </c>
      <c r="H467" t="s">
        <v>285</v>
      </c>
      <c r="I467" t="s">
        <v>210</v>
      </c>
      <c r="J467" t="s">
        <v>727</v>
      </c>
      <c r="K467" t="s">
        <v>493</v>
      </c>
      <c r="L467">
        <v>85023</v>
      </c>
      <c r="M467" t="s">
        <v>227</v>
      </c>
      <c r="N467" t="s">
        <v>1793</v>
      </c>
      <c r="O467" t="s">
        <v>229</v>
      </c>
      <c r="P467" t="s">
        <v>762</v>
      </c>
      <c r="Q467" t="s">
        <v>1794</v>
      </c>
      <c r="R467" s="13">
        <v>185.376</v>
      </c>
      <c r="S467">
        <v>2</v>
      </c>
      <c r="T467" s="14">
        <v>0.2</v>
      </c>
      <c r="U467" s="13">
        <v>-34.758000000000003</v>
      </c>
    </row>
    <row r="468" spans="1:21" ht="15" customHeight="1" x14ac:dyDescent="0.3">
      <c r="A468">
        <v>467</v>
      </c>
      <c r="B468" t="s">
        <v>1786</v>
      </c>
      <c r="C468" s="12">
        <v>42482</v>
      </c>
      <c r="D468" s="12">
        <v>42489</v>
      </c>
      <c r="E468" t="s">
        <v>233</v>
      </c>
      <c r="F468" t="s">
        <v>1787</v>
      </c>
      <c r="G468" t="s">
        <v>1788</v>
      </c>
      <c r="H468" t="s">
        <v>285</v>
      </c>
      <c r="I468" t="s">
        <v>210</v>
      </c>
      <c r="J468" t="s">
        <v>727</v>
      </c>
      <c r="K468" t="s">
        <v>493</v>
      </c>
      <c r="L468">
        <v>85023</v>
      </c>
      <c r="M468" t="s">
        <v>227</v>
      </c>
      <c r="N468" t="s">
        <v>1795</v>
      </c>
      <c r="O468" t="s">
        <v>229</v>
      </c>
      <c r="P468" t="s">
        <v>261</v>
      </c>
      <c r="Q468" t="s">
        <v>1796</v>
      </c>
      <c r="R468" s="13">
        <v>78.272000000000006</v>
      </c>
      <c r="S468">
        <v>2</v>
      </c>
      <c r="T468" s="14">
        <v>0.2</v>
      </c>
      <c r="U468" s="13">
        <v>5.8704000000000001</v>
      </c>
    </row>
    <row r="469" spans="1:21" ht="15" customHeight="1" x14ac:dyDescent="0.3">
      <c r="A469">
        <v>468</v>
      </c>
      <c r="B469" t="s">
        <v>1797</v>
      </c>
      <c r="C469" s="12">
        <v>42021</v>
      </c>
      <c r="D469" s="12">
        <v>42028</v>
      </c>
      <c r="E469" t="s">
        <v>233</v>
      </c>
      <c r="F469" t="s">
        <v>1798</v>
      </c>
      <c r="G469" t="s">
        <v>1799</v>
      </c>
      <c r="H469" t="s">
        <v>285</v>
      </c>
      <c r="I469" t="s">
        <v>210</v>
      </c>
      <c r="J469" t="s">
        <v>1800</v>
      </c>
      <c r="K469" t="s">
        <v>394</v>
      </c>
      <c r="L469">
        <v>60068</v>
      </c>
      <c r="M469" t="s">
        <v>288</v>
      </c>
      <c r="N469" t="s">
        <v>1272</v>
      </c>
      <c r="O469" t="s">
        <v>215</v>
      </c>
      <c r="P469" t="s">
        <v>248</v>
      </c>
      <c r="Q469" t="s">
        <v>1273</v>
      </c>
      <c r="R469" s="13">
        <v>254.744</v>
      </c>
      <c r="S469">
        <v>7</v>
      </c>
      <c r="T469" s="14">
        <v>0.6</v>
      </c>
      <c r="U469" s="13">
        <v>-312.06139999999999</v>
      </c>
    </row>
    <row r="470" spans="1:21" ht="15" customHeight="1" x14ac:dyDescent="0.3">
      <c r="A470">
        <v>469</v>
      </c>
      <c r="B470" t="s">
        <v>1801</v>
      </c>
      <c r="C470" s="12">
        <v>42825</v>
      </c>
      <c r="D470" s="12">
        <v>42829</v>
      </c>
      <c r="E470" t="s">
        <v>233</v>
      </c>
      <c r="F470" t="s">
        <v>1063</v>
      </c>
      <c r="G470" t="s">
        <v>1064</v>
      </c>
      <c r="H470" t="s">
        <v>224</v>
      </c>
      <c r="I470" t="s">
        <v>210</v>
      </c>
      <c r="J470" t="s">
        <v>1802</v>
      </c>
      <c r="K470" t="s">
        <v>287</v>
      </c>
      <c r="L470">
        <v>79109</v>
      </c>
      <c r="M470" t="s">
        <v>288</v>
      </c>
      <c r="N470" t="s">
        <v>1803</v>
      </c>
      <c r="O470" t="s">
        <v>215</v>
      </c>
      <c r="P470" t="s">
        <v>216</v>
      </c>
      <c r="Q470" t="s">
        <v>1804</v>
      </c>
      <c r="R470" s="13">
        <v>205.33279999999999</v>
      </c>
      <c r="S470">
        <v>2</v>
      </c>
      <c r="T470" s="14">
        <v>0.32</v>
      </c>
      <c r="U470" s="13">
        <v>-36.235199999999999</v>
      </c>
    </row>
    <row r="471" spans="1:21" ht="15" customHeight="1" x14ac:dyDescent="0.3">
      <c r="A471">
        <v>470</v>
      </c>
      <c r="B471" t="s">
        <v>1805</v>
      </c>
      <c r="C471" s="12">
        <v>42720</v>
      </c>
      <c r="D471" s="12">
        <v>42724</v>
      </c>
      <c r="E471" t="s">
        <v>206</v>
      </c>
      <c r="F471" t="s">
        <v>1151</v>
      </c>
      <c r="G471" t="s">
        <v>1152</v>
      </c>
      <c r="H471" t="s">
        <v>209</v>
      </c>
      <c r="I471" t="s">
        <v>210</v>
      </c>
      <c r="J471" t="s">
        <v>486</v>
      </c>
      <c r="K471" t="s">
        <v>394</v>
      </c>
      <c r="L471">
        <v>60610</v>
      </c>
      <c r="M471" t="s">
        <v>288</v>
      </c>
      <c r="N471" t="s">
        <v>1806</v>
      </c>
      <c r="O471" t="s">
        <v>229</v>
      </c>
      <c r="P471" t="s">
        <v>258</v>
      </c>
      <c r="Q471" t="s">
        <v>1807</v>
      </c>
      <c r="R471" s="13">
        <v>4.7880000000000003</v>
      </c>
      <c r="S471">
        <v>3</v>
      </c>
      <c r="T471" s="14">
        <v>0.8</v>
      </c>
      <c r="U471" s="13">
        <v>-7.9001999999999999</v>
      </c>
    </row>
    <row r="472" spans="1:21" ht="15" customHeight="1" x14ac:dyDescent="0.3">
      <c r="A472">
        <v>471</v>
      </c>
      <c r="B472" t="s">
        <v>1808</v>
      </c>
      <c r="C472" s="12">
        <v>42358</v>
      </c>
      <c r="D472" s="12">
        <v>42362</v>
      </c>
      <c r="E472" t="s">
        <v>233</v>
      </c>
      <c r="F472" t="s">
        <v>1809</v>
      </c>
      <c r="G472" t="s">
        <v>1810</v>
      </c>
      <c r="H472" t="s">
        <v>224</v>
      </c>
      <c r="I472" t="s">
        <v>210</v>
      </c>
      <c r="J472" t="s">
        <v>1811</v>
      </c>
      <c r="K472" t="s">
        <v>450</v>
      </c>
      <c r="L472">
        <v>11757</v>
      </c>
      <c r="M472" t="s">
        <v>331</v>
      </c>
      <c r="N472" t="s">
        <v>1812</v>
      </c>
      <c r="O472" t="s">
        <v>229</v>
      </c>
      <c r="P472" t="s">
        <v>273</v>
      </c>
      <c r="Q472" t="s">
        <v>1813</v>
      </c>
      <c r="R472" s="13">
        <v>55.48</v>
      </c>
      <c r="S472">
        <v>1</v>
      </c>
      <c r="T472" s="14">
        <v>0</v>
      </c>
      <c r="U472" s="13">
        <v>26.630400000000002</v>
      </c>
    </row>
    <row r="473" spans="1:21" ht="15" customHeight="1" x14ac:dyDescent="0.3">
      <c r="A473">
        <v>472</v>
      </c>
      <c r="B473" t="s">
        <v>1814</v>
      </c>
      <c r="C473" s="12">
        <v>41952</v>
      </c>
      <c r="D473" s="12">
        <v>41954</v>
      </c>
      <c r="E473" t="s">
        <v>206</v>
      </c>
      <c r="F473" t="s">
        <v>1815</v>
      </c>
      <c r="G473" t="s">
        <v>1816</v>
      </c>
      <c r="H473" t="s">
        <v>209</v>
      </c>
      <c r="I473" t="s">
        <v>210</v>
      </c>
      <c r="J473" t="s">
        <v>310</v>
      </c>
      <c r="K473" t="s">
        <v>226</v>
      </c>
      <c r="L473">
        <v>94110</v>
      </c>
      <c r="M473" t="s">
        <v>227</v>
      </c>
      <c r="N473" t="s">
        <v>1817</v>
      </c>
      <c r="O473" t="s">
        <v>229</v>
      </c>
      <c r="P473" t="s">
        <v>242</v>
      </c>
      <c r="Q473" t="s">
        <v>1818</v>
      </c>
      <c r="R473" s="13">
        <v>340.92</v>
      </c>
      <c r="S473">
        <v>3</v>
      </c>
      <c r="T473" s="14">
        <v>0</v>
      </c>
      <c r="U473" s="13">
        <v>3.4091999999999798</v>
      </c>
    </row>
    <row r="474" spans="1:21" ht="15" customHeight="1" x14ac:dyDescent="0.3">
      <c r="A474">
        <v>473</v>
      </c>
      <c r="B474" t="s">
        <v>1814</v>
      </c>
      <c r="C474" s="12">
        <v>41952</v>
      </c>
      <c r="D474" s="12">
        <v>41954</v>
      </c>
      <c r="E474" t="s">
        <v>206</v>
      </c>
      <c r="F474" t="s">
        <v>1815</v>
      </c>
      <c r="G474" t="s">
        <v>1816</v>
      </c>
      <c r="H474" t="s">
        <v>209</v>
      </c>
      <c r="I474" t="s">
        <v>210</v>
      </c>
      <c r="J474" t="s">
        <v>310</v>
      </c>
      <c r="K474" t="s">
        <v>226</v>
      </c>
      <c r="L474">
        <v>94110</v>
      </c>
      <c r="M474" t="s">
        <v>227</v>
      </c>
      <c r="N474" t="s">
        <v>1819</v>
      </c>
      <c r="O474" t="s">
        <v>215</v>
      </c>
      <c r="P474" t="s">
        <v>216</v>
      </c>
      <c r="Q474" t="s">
        <v>1820</v>
      </c>
      <c r="R474" s="13">
        <v>222.666</v>
      </c>
      <c r="S474">
        <v>2</v>
      </c>
      <c r="T474" s="14">
        <v>0.15</v>
      </c>
      <c r="U474" s="13">
        <v>10.478400000000001</v>
      </c>
    </row>
    <row r="475" spans="1:21" ht="15" customHeight="1" x14ac:dyDescent="0.3">
      <c r="A475">
        <v>474</v>
      </c>
      <c r="B475" t="s">
        <v>1814</v>
      </c>
      <c r="C475" s="12">
        <v>41952</v>
      </c>
      <c r="D475" s="12">
        <v>41954</v>
      </c>
      <c r="E475" t="s">
        <v>206</v>
      </c>
      <c r="F475" t="s">
        <v>1815</v>
      </c>
      <c r="G475" t="s">
        <v>1816</v>
      </c>
      <c r="H475" t="s">
        <v>209</v>
      </c>
      <c r="I475" t="s">
        <v>210</v>
      </c>
      <c r="J475" t="s">
        <v>310</v>
      </c>
      <c r="K475" t="s">
        <v>226</v>
      </c>
      <c r="L475">
        <v>94110</v>
      </c>
      <c r="M475" t="s">
        <v>227</v>
      </c>
      <c r="N475" t="s">
        <v>1821</v>
      </c>
      <c r="O475" t="s">
        <v>254</v>
      </c>
      <c r="P475" t="s">
        <v>255</v>
      </c>
      <c r="Q475" t="s">
        <v>1822</v>
      </c>
      <c r="R475" s="13">
        <v>703.96799999999996</v>
      </c>
      <c r="S475">
        <v>4</v>
      </c>
      <c r="T475" s="14">
        <v>0.2</v>
      </c>
      <c r="U475" s="13">
        <v>87.995999999999896</v>
      </c>
    </row>
    <row r="476" spans="1:21" ht="15" customHeight="1" x14ac:dyDescent="0.3">
      <c r="A476">
        <v>475</v>
      </c>
      <c r="B476" t="s">
        <v>1814</v>
      </c>
      <c r="C476" s="12">
        <v>41952</v>
      </c>
      <c r="D476" s="12">
        <v>41954</v>
      </c>
      <c r="E476" t="s">
        <v>206</v>
      </c>
      <c r="F476" t="s">
        <v>1815</v>
      </c>
      <c r="G476" t="s">
        <v>1816</v>
      </c>
      <c r="H476" t="s">
        <v>209</v>
      </c>
      <c r="I476" t="s">
        <v>210</v>
      </c>
      <c r="J476" t="s">
        <v>310</v>
      </c>
      <c r="K476" t="s">
        <v>226</v>
      </c>
      <c r="L476">
        <v>94110</v>
      </c>
      <c r="M476" t="s">
        <v>227</v>
      </c>
      <c r="N476" t="s">
        <v>1823</v>
      </c>
      <c r="O476" t="s">
        <v>229</v>
      </c>
      <c r="P476" t="s">
        <v>242</v>
      </c>
      <c r="Q476" t="s">
        <v>1824</v>
      </c>
      <c r="R476" s="13">
        <v>92.52</v>
      </c>
      <c r="S476">
        <v>6</v>
      </c>
      <c r="T476" s="14">
        <v>0</v>
      </c>
      <c r="U476" s="13">
        <v>24.980399999999999</v>
      </c>
    </row>
    <row r="477" spans="1:21" ht="15" customHeight="1" x14ac:dyDescent="0.3">
      <c r="A477">
        <v>476</v>
      </c>
      <c r="B477" t="s">
        <v>1814</v>
      </c>
      <c r="C477" s="12">
        <v>41952</v>
      </c>
      <c r="D477" s="12">
        <v>41954</v>
      </c>
      <c r="E477" t="s">
        <v>206</v>
      </c>
      <c r="F477" t="s">
        <v>1815</v>
      </c>
      <c r="G477" t="s">
        <v>1816</v>
      </c>
      <c r="H477" t="s">
        <v>209</v>
      </c>
      <c r="I477" t="s">
        <v>210</v>
      </c>
      <c r="J477" t="s">
        <v>310</v>
      </c>
      <c r="K477" t="s">
        <v>226</v>
      </c>
      <c r="L477">
        <v>94110</v>
      </c>
      <c r="M477" t="s">
        <v>227</v>
      </c>
      <c r="N477" t="s">
        <v>1825</v>
      </c>
      <c r="O477" t="s">
        <v>229</v>
      </c>
      <c r="P477" t="s">
        <v>273</v>
      </c>
      <c r="Q477" t="s">
        <v>1826</v>
      </c>
      <c r="R477" s="13">
        <v>62.65</v>
      </c>
      <c r="S477">
        <v>7</v>
      </c>
      <c r="T477" s="14">
        <v>0</v>
      </c>
      <c r="U477" s="13">
        <v>28.818999999999999</v>
      </c>
    </row>
    <row r="478" spans="1:21" ht="15" customHeight="1" x14ac:dyDescent="0.3">
      <c r="A478">
        <v>477</v>
      </c>
      <c r="B478" t="s">
        <v>1814</v>
      </c>
      <c r="C478" s="12">
        <v>41952</v>
      </c>
      <c r="D478" s="12">
        <v>41954</v>
      </c>
      <c r="E478" t="s">
        <v>206</v>
      </c>
      <c r="F478" t="s">
        <v>1815</v>
      </c>
      <c r="G478" t="s">
        <v>1816</v>
      </c>
      <c r="H478" t="s">
        <v>209</v>
      </c>
      <c r="I478" t="s">
        <v>210</v>
      </c>
      <c r="J478" t="s">
        <v>310</v>
      </c>
      <c r="K478" t="s">
        <v>226</v>
      </c>
      <c r="L478">
        <v>94110</v>
      </c>
      <c r="M478" t="s">
        <v>227</v>
      </c>
      <c r="N478" t="s">
        <v>1827</v>
      </c>
      <c r="O478" t="s">
        <v>229</v>
      </c>
      <c r="P478" t="s">
        <v>273</v>
      </c>
      <c r="Q478" t="s">
        <v>1828</v>
      </c>
      <c r="R478" s="13">
        <v>94.85</v>
      </c>
      <c r="S478">
        <v>5</v>
      </c>
      <c r="T478" s="14">
        <v>0</v>
      </c>
      <c r="U478" s="13">
        <v>45.527999999999999</v>
      </c>
    </row>
    <row r="479" spans="1:21" ht="15" customHeight="1" x14ac:dyDescent="0.3">
      <c r="A479">
        <v>478</v>
      </c>
      <c r="B479" t="s">
        <v>1829</v>
      </c>
      <c r="C479" s="12">
        <v>42563</v>
      </c>
      <c r="D479" s="12">
        <v>42570</v>
      </c>
      <c r="E479" t="s">
        <v>233</v>
      </c>
      <c r="F479" t="s">
        <v>1199</v>
      </c>
      <c r="G479" t="s">
        <v>1200</v>
      </c>
      <c r="H479" t="s">
        <v>224</v>
      </c>
      <c r="I479" t="s">
        <v>210</v>
      </c>
      <c r="J479" t="s">
        <v>225</v>
      </c>
      <c r="K479" t="s">
        <v>226</v>
      </c>
      <c r="L479">
        <v>90008</v>
      </c>
      <c r="M479" t="s">
        <v>227</v>
      </c>
      <c r="N479" t="s">
        <v>1830</v>
      </c>
      <c r="O479" t="s">
        <v>254</v>
      </c>
      <c r="P479" t="s">
        <v>255</v>
      </c>
      <c r="Q479" t="s">
        <v>1831</v>
      </c>
      <c r="R479" s="13">
        <v>95.76</v>
      </c>
      <c r="S479">
        <v>6</v>
      </c>
      <c r="T479" s="14">
        <v>0.2</v>
      </c>
      <c r="U479" s="13">
        <v>7.1820000000000004</v>
      </c>
    </row>
    <row r="480" spans="1:21" ht="15" customHeight="1" x14ac:dyDescent="0.3">
      <c r="A480">
        <v>479</v>
      </c>
      <c r="B480" t="s">
        <v>1832</v>
      </c>
      <c r="C480" s="12">
        <v>42670</v>
      </c>
      <c r="D480" s="12">
        <v>42676</v>
      </c>
      <c r="E480" t="s">
        <v>233</v>
      </c>
      <c r="F480" t="s">
        <v>1833</v>
      </c>
      <c r="G480" t="s">
        <v>1834</v>
      </c>
      <c r="H480" t="s">
        <v>209</v>
      </c>
      <c r="I480" t="s">
        <v>210</v>
      </c>
      <c r="J480" t="s">
        <v>459</v>
      </c>
      <c r="K480" t="s">
        <v>450</v>
      </c>
      <c r="L480">
        <v>12180</v>
      </c>
      <c r="M480" t="s">
        <v>331</v>
      </c>
      <c r="N480" t="s">
        <v>1296</v>
      </c>
      <c r="O480" t="s">
        <v>215</v>
      </c>
      <c r="P480" t="s">
        <v>248</v>
      </c>
      <c r="Q480" t="s">
        <v>1297</v>
      </c>
      <c r="R480" s="13">
        <v>40.200000000000003</v>
      </c>
      <c r="S480">
        <v>3</v>
      </c>
      <c r="T480" s="14">
        <v>0</v>
      </c>
      <c r="U480" s="13">
        <v>19.295999999999999</v>
      </c>
    </row>
    <row r="481" spans="1:21" ht="15" customHeight="1" x14ac:dyDescent="0.3">
      <c r="A481">
        <v>480</v>
      </c>
      <c r="B481" t="s">
        <v>1835</v>
      </c>
      <c r="C481" s="12">
        <v>42547</v>
      </c>
      <c r="D481" s="12">
        <v>42553</v>
      </c>
      <c r="E481" t="s">
        <v>233</v>
      </c>
      <c r="F481" t="s">
        <v>1836</v>
      </c>
      <c r="G481" t="s">
        <v>1837</v>
      </c>
      <c r="H481" t="s">
        <v>224</v>
      </c>
      <c r="I481" t="s">
        <v>210</v>
      </c>
      <c r="J481" t="s">
        <v>449</v>
      </c>
      <c r="K481" t="s">
        <v>450</v>
      </c>
      <c r="L481">
        <v>10024</v>
      </c>
      <c r="M481" t="s">
        <v>331</v>
      </c>
      <c r="N481" t="s">
        <v>1838</v>
      </c>
      <c r="O481" t="s">
        <v>229</v>
      </c>
      <c r="P481" t="s">
        <v>251</v>
      </c>
      <c r="Q481" t="s">
        <v>1839</v>
      </c>
      <c r="R481" s="13">
        <v>14.7</v>
      </c>
      <c r="S481">
        <v>5</v>
      </c>
      <c r="T481" s="14">
        <v>0</v>
      </c>
      <c r="U481" s="13">
        <v>6.6150000000000002</v>
      </c>
    </row>
    <row r="482" spans="1:21" ht="15" customHeight="1" x14ac:dyDescent="0.3">
      <c r="A482">
        <v>481</v>
      </c>
      <c r="B482" t="s">
        <v>1835</v>
      </c>
      <c r="C482" s="12">
        <v>42547</v>
      </c>
      <c r="D482" s="12">
        <v>42553</v>
      </c>
      <c r="E482" t="s">
        <v>233</v>
      </c>
      <c r="F482" t="s">
        <v>1836</v>
      </c>
      <c r="G482" t="s">
        <v>1837</v>
      </c>
      <c r="H482" t="s">
        <v>224</v>
      </c>
      <c r="I482" t="s">
        <v>210</v>
      </c>
      <c r="J482" t="s">
        <v>449</v>
      </c>
      <c r="K482" t="s">
        <v>450</v>
      </c>
      <c r="L482">
        <v>10024</v>
      </c>
      <c r="M482" t="s">
        <v>331</v>
      </c>
      <c r="N482" t="s">
        <v>1840</v>
      </c>
      <c r="O482" t="s">
        <v>229</v>
      </c>
      <c r="P482" t="s">
        <v>242</v>
      </c>
      <c r="Q482" t="s">
        <v>1841</v>
      </c>
      <c r="R482" s="13">
        <v>704.25</v>
      </c>
      <c r="S482">
        <v>5</v>
      </c>
      <c r="T482" s="14">
        <v>0</v>
      </c>
      <c r="U482" s="13">
        <v>84.51</v>
      </c>
    </row>
    <row r="483" spans="1:21" ht="15" customHeight="1" x14ac:dyDescent="0.3">
      <c r="A483">
        <v>482</v>
      </c>
      <c r="B483" t="s">
        <v>1842</v>
      </c>
      <c r="C483" s="12">
        <v>41918</v>
      </c>
      <c r="D483" s="12">
        <v>41922</v>
      </c>
      <c r="E483" t="s">
        <v>233</v>
      </c>
      <c r="F483" t="s">
        <v>1843</v>
      </c>
      <c r="G483" t="s">
        <v>1844</v>
      </c>
      <c r="H483" t="s">
        <v>209</v>
      </c>
      <c r="I483" t="s">
        <v>210</v>
      </c>
      <c r="J483" t="s">
        <v>1133</v>
      </c>
      <c r="K483" t="s">
        <v>226</v>
      </c>
      <c r="L483">
        <v>92024</v>
      </c>
      <c r="M483" t="s">
        <v>227</v>
      </c>
      <c r="N483" t="s">
        <v>1845</v>
      </c>
      <c r="O483" t="s">
        <v>254</v>
      </c>
      <c r="P483" t="s">
        <v>344</v>
      </c>
      <c r="Q483" t="s">
        <v>1846</v>
      </c>
      <c r="R483" s="13">
        <v>9.09</v>
      </c>
      <c r="S483">
        <v>3</v>
      </c>
      <c r="T483" s="14">
        <v>0</v>
      </c>
      <c r="U483" s="13">
        <v>1.9089</v>
      </c>
    </row>
    <row r="484" spans="1:21" ht="15" customHeight="1" x14ac:dyDescent="0.3">
      <c r="A484">
        <v>483</v>
      </c>
      <c r="B484" t="s">
        <v>1847</v>
      </c>
      <c r="C484" s="12">
        <v>41842</v>
      </c>
      <c r="D484" s="12">
        <v>41847</v>
      </c>
      <c r="E484" t="s">
        <v>233</v>
      </c>
      <c r="F484" t="s">
        <v>1848</v>
      </c>
      <c r="G484" t="s">
        <v>1849</v>
      </c>
      <c r="H484" t="s">
        <v>209</v>
      </c>
      <c r="I484" t="s">
        <v>210</v>
      </c>
      <c r="J484" t="s">
        <v>449</v>
      </c>
      <c r="K484" t="s">
        <v>450</v>
      </c>
      <c r="L484">
        <v>10024</v>
      </c>
      <c r="M484" t="s">
        <v>331</v>
      </c>
      <c r="N484" t="s">
        <v>549</v>
      </c>
      <c r="O484" t="s">
        <v>229</v>
      </c>
      <c r="P484" t="s">
        <v>251</v>
      </c>
      <c r="Q484" t="s">
        <v>550</v>
      </c>
      <c r="R484" s="13">
        <v>5.96</v>
      </c>
      <c r="S484">
        <v>2</v>
      </c>
      <c r="T484" s="14">
        <v>0</v>
      </c>
      <c r="U484" s="13">
        <v>1.6688000000000001</v>
      </c>
    </row>
    <row r="485" spans="1:21" ht="15" customHeight="1" x14ac:dyDescent="0.3">
      <c r="A485">
        <v>484</v>
      </c>
      <c r="B485" t="s">
        <v>1847</v>
      </c>
      <c r="C485" s="12">
        <v>41842</v>
      </c>
      <c r="D485" s="12">
        <v>41847</v>
      </c>
      <c r="E485" t="s">
        <v>233</v>
      </c>
      <c r="F485" t="s">
        <v>1848</v>
      </c>
      <c r="G485" t="s">
        <v>1849</v>
      </c>
      <c r="H485" t="s">
        <v>209</v>
      </c>
      <c r="I485" t="s">
        <v>210</v>
      </c>
      <c r="J485" t="s">
        <v>449</v>
      </c>
      <c r="K485" t="s">
        <v>450</v>
      </c>
      <c r="L485">
        <v>10024</v>
      </c>
      <c r="M485" t="s">
        <v>331</v>
      </c>
      <c r="N485" t="s">
        <v>1850</v>
      </c>
      <c r="O485" t="s">
        <v>254</v>
      </c>
      <c r="P485" t="s">
        <v>344</v>
      </c>
      <c r="Q485" t="s">
        <v>1851</v>
      </c>
      <c r="R485" s="13">
        <v>159.97999999999999</v>
      </c>
      <c r="S485">
        <v>2</v>
      </c>
      <c r="T485" s="14">
        <v>0</v>
      </c>
      <c r="U485" s="13">
        <v>57.592799999999997</v>
      </c>
    </row>
    <row r="486" spans="1:21" ht="15" customHeight="1" x14ac:dyDescent="0.3">
      <c r="A486">
        <v>485</v>
      </c>
      <c r="B486" t="s">
        <v>1852</v>
      </c>
      <c r="C486" s="12">
        <v>42896</v>
      </c>
      <c r="D486" s="12">
        <v>42899</v>
      </c>
      <c r="E486" t="s">
        <v>371</v>
      </c>
      <c r="F486" t="s">
        <v>1853</v>
      </c>
      <c r="G486" t="s">
        <v>1854</v>
      </c>
      <c r="H486" t="s">
        <v>285</v>
      </c>
      <c r="I486" t="s">
        <v>210</v>
      </c>
      <c r="J486" t="s">
        <v>225</v>
      </c>
      <c r="K486" t="s">
        <v>226</v>
      </c>
      <c r="L486">
        <v>90045</v>
      </c>
      <c r="M486" t="s">
        <v>227</v>
      </c>
      <c r="N486" t="s">
        <v>1855</v>
      </c>
      <c r="O486" t="s">
        <v>229</v>
      </c>
      <c r="P486" t="s">
        <v>230</v>
      </c>
      <c r="Q486" t="s">
        <v>1856</v>
      </c>
      <c r="R486" s="13">
        <v>29.6</v>
      </c>
      <c r="S486">
        <v>2</v>
      </c>
      <c r="T486" s="14">
        <v>0</v>
      </c>
      <c r="U486" s="13">
        <v>14.8</v>
      </c>
    </row>
    <row r="487" spans="1:21" ht="15" customHeight="1" x14ac:dyDescent="0.3">
      <c r="A487">
        <v>486</v>
      </c>
      <c r="B487" t="s">
        <v>1852</v>
      </c>
      <c r="C487" s="12">
        <v>42896</v>
      </c>
      <c r="D487" s="12">
        <v>42899</v>
      </c>
      <c r="E487" t="s">
        <v>371</v>
      </c>
      <c r="F487" t="s">
        <v>1853</v>
      </c>
      <c r="G487" t="s">
        <v>1854</v>
      </c>
      <c r="H487" t="s">
        <v>285</v>
      </c>
      <c r="I487" t="s">
        <v>210</v>
      </c>
      <c r="J487" t="s">
        <v>225</v>
      </c>
      <c r="K487" t="s">
        <v>226</v>
      </c>
      <c r="L487">
        <v>90045</v>
      </c>
      <c r="M487" t="s">
        <v>227</v>
      </c>
      <c r="N487" t="s">
        <v>1857</v>
      </c>
      <c r="O487" t="s">
        <v>215</v>
      </c>
      <c r="P487" t="s">
        <v>216</v>
      </c>
      <c r="Q487" t="s">
        <v>1858</v>
      </c>
      <c r="R487" s="13">
        <v>514.16499999999996</v>
      </c>
      <c r="S487">
        <v>5</v>
      </c>
      <c r="T487" s="14">
        <v>0.15</v>
      </c>
      <c r="U487" s="13">
        <v>-30.245000000000001</v>
      </c>
    </row>
    <row r="488" spans="1:21" ht="15" customHeight="1" x14ac:dyDescent="0.3">
      <c r="A488">
        <v>487</v>
      </c>
      <c r="B488" t="s">
        <v>1852</v>
      </c>
      <c r="C488" s="12">
        <v>42896</v>
      </c>
      <c r="D488" s="12">
        <v>42899</v>
      </c>
      <c r="E488" t="s">
        <v>371</v>
      </c>
      <c r="F488" t="s">
        <v>1853</v>
      </c>
      <c r="G488" t="s">
        <v>1854</v>
      </c>
      <c r="H488" t="s">
        <v>285</v>
      </c>
      <c r="I488" t="s">
        <v>210</v>
      </c>
      <c r="J488" t="s">
        <v>225</v>
      </c>
      <c r="K488" t="s">
        <v>226</v>
      </c>
      <c r="L488">
        <v>90045</v>
      </c>
      <c r="M488" t="s">
        <v>227</v>
      </c>
      <c r="N488" t="s">
        <v>1859</v>
      </c>
      <c r="O488" t="s">
        <v>254</v>
      </c>
      <c r="P488" t="s">
        <v>255</v>
      </c>
      <c r="Q488" t="s">
        <v>1860</v>
      </c>
      <c r="R488" s="13">
        <v>279.95999999999998</v>
      </c>
      <c r="S488">
        <v>5</v>
      </c>
      <c r="T488" s="14">
        <v>0.2</v>
      </c>
      <c r="U488" s="13">
        <v>17.497499999999999</v>
      </c>
    </row>
    <row r="489" spans="1:21" ht="15" customHeight="1" x14ac:dyDescent="0.3">
      <c r="A489">
        <v>488</v>
      </c>
      <c r="B489" t="s">
        <v>1861</v>
      </c>
      <c r="C489" s="12">
        <v>41941</v>
      </c>
      <c r="D489" s="12">
        <v>41943</v>
      </c>
      <c r="E489" t="s">
        <v>371</v>
      </c>
      <c r="F489" t="s">
        <v>1862</v>
      </c>
      <c r="G489" t="s">
        <v>1863</v>
      </c>
      <c r="H489" t="s">
        <v>209</v>
      </c>
      <c r="I489" t="s">
        <v>210</v>
      </c>
      <c r="J489" t="s">
        <v>486</v>
      </c>
      <c r="K489" t="s">
        <v>394</v>
      </c>
      <c r="L489">
        <v>60610</v>
      </c>
      <c r="M489" t="s">
        <v>288</v>
      </c>
      <c r="N489" t="s">
        <v>1864</v>
      </c>
      <c r="O489" t="s">
        <v>254</v>
      </c>
      <c r="P489" t="s">
        <v>255</v>
      </c>
      <c r="Q489" t="s">
        <v>1865</v>
      </c>
      <c r="R489" s="13">
        <v>2735.9520000000002</v>
      </c>
      <c r="S489">
        <v>6</v>
      </c>
      <c r="T489" s="14">
        <v>0.2</v>
      </c>
      <c r="U489" s="13">
        <v>341.99400000000003</v>
      </c>
    </row>
    <row r="490" spans="1:21" ht="15" customHeight="1" x14ac:dyDescent="0.3">
      <c r="A490">
        <v>489</v>
      </c>
      <c r="B490" t="s">
        <v>1866</v>
      </c>
      <c r="C490" s="12">
        <v>41799</v>
      </c>
      <c r="D490" s="12">
        <v>41803</v>
      </c>
      <c r="E490" t="s">
        <v>206</v>
      </c>
      <c r="F490" t="s">
        <v>1867</v>
      </c>
      <c r="G490" t="s">
        <v>1868</v>
      </c>
      <c r="H490" t="s">
        <v>285</v>
      </c>
      <c r="I490" t="s">
        <v>210</v>
      </c>
      <c r="J490" t="s">
        <v>1869</v>
      </c>
      <c r="K490" t="s">
        <v>287</v>
      </c>
      <c r="L490">
        <v>77340</v>
      </c>
      <c r="M490" t="s">
        <v>288</v>
      </c>
      <c r="N490" t="s">
        <v>1870</v>
      </c>
      <c r="O490" t="s">
        <v>254</v>
      </c>
      <c r="P490" t="s">
        <v>255</v>
      </c>
      <c r="Q490" t="s">
        <v>1871</v>
      </c>
      <c r="R490" s="13">
        <v>7.992</v>
      </c>
      <c r="S490">
        <v>1</v>
      </c>
      <c r="T490" s="14">
        <v>0.2</v>
      </c>
      <c r="U490" s="13">
        <v>0.59940000000000004</v>
      </c>
    </row>
    <row r="491" spans="1:21" ht="15" customHeight="1" x14ac:dyDescent="0.3">
      <c r="A491">
        <v>490</v>
      </c>
      <c r="B491" t="s">
        <v>1866</v>
      </c>
      <c r="C491" s="12">
        <v>41799</v>
      </c>
      <c r="D491" s="12">
        <v>41803</v>
      </c>
      <c r="E491" t="s">
        <v>206</v>
      </c>
      <c r="F491" t="s">
        <v>1867</v>
      </c>
      <c r="G491" t="s">
        <v>1868</v>
      </c>
      <c r="H491" t="s">
        <v>285</v>
      </c>
      <c r="I491" t="s">
        <v>210</v>
      </c>
      <c r="J491" t="s">
        <v>1869</v>
      </c>
      <c r="K491" t="s">
        <v>287</v>
      </c>
      <c r="L491">
        <v>77340</v>
      </c>
      <c r="M491" t="s">
        <v>288</v>
      </c>
      <c r="N491" t="s">
        <v>1872</v>
      </c>
      <c r="O491" t="s">
        <v>254</v>
      </c>
      <c r="P491" t="s">
        <v>344</v>
      </c>
      <c r="Q491" t="s">
        <v>1873</v>
      </c>
      <c r="R491" s="13">
        <v>63.984000000000002</v>
      </c>
      <c r="S491">
        <v>2</v>
      </c>
      <c r="T491" s="14">
        <v>0.2</v>
      </c>
      <c r="U491" s="13">
        <v>10.397399999999999</v>
      </c>
    </row>
    <row r="492" spans="1:21" ht="15" customHeight="1" x14ac:dyDescent="0.3">
      <c r="A492">
        <v>491</v>
      </c>
      <c r="B492" t="s">
        <v>1866</v>
      </c>
      <c r="C492" s="12">
        <v>41799</v>
      </c>
      <c r="D492" s="12">
        <v>41803</v>
      </c>
      <c r="E492" t="s">
        <v>206</v>
      </c>
      <c r="F492" t="s">
        <v>1867</v>
      </c>
      <c r="G492" t="s">
        <v>1868</v>
      </c>
      <c r="H492" t="s">
        <v>285</v>
      </c>
      <c r="I492" t="s">
        <v>210</v>
      </c>
      <c r="J492" t="s">
        <v>1869</v>
      </c>
      <c r="K492" t="s">
        <v>287</v>
      </c>
      <c r="L492">
        <v>77340</v>
      </c>
      <c r="M492" t="s">
        <v>288</v>
      </c>
      <c r="N492" t="s">
        <v>1753</v>
      </c>
      <c r="O492" t="s">
        <v>229</v>
      </c>
      <c r="P492" t="s">
        <v>251</v>
      </c>
      <c r="Q492" t="s">
        <v>1754</v>
      </c>
      <c r="R492" s="13">
        <v>70.367999999999995</v>
      </c>
      <c r="S492">
        <v>2</v>
      </c>
      <c r="T492" s="14">
        <v>0.2</v>
      </c>
      <c r="U492" s="13">
        <v>6.1571999999999996</v>
      </c>
    </row>
    <row r="493" spans="1:21" ht="15" customHeight="1" x14ac:dyDescent="0.3">
      <c r="A493">
        <v>492</v>
      </c>
      <c r="B493" t="s">
        <v>1874</v>
      </c>
      <c r="C493" s="12">
        <v>41896</v>
      </c>
      <c r="D493" s="12">
        <v>41901</v>
      </c>
      <c r="E493" t="s">
        <v>233</v>
      </c>
      <c r="F493" t="s">
        <v>1875</v>
      </c>
      <c r="G493" t="s">
        <v>1876</v>
      </c>
      <c r="H493" t="s">
        <v>209</v>
      </c>
      <c r="I493" t="s">
        <v>210</v>
      </c>
      <c r="J493" t="s">
        <v>572</v>
      </c>
      <c r="K493" t="s">
        <v>450</v>
      </c>
      <c r="L493">
        <v>14609</v>
      </c>
      <c r="M493" t="s">
        <v>331</v>
      </c>
      <c r="N493" t="s">
        <v>1877</v>
      </c>
      <c r="O493" t="s">
        <v>229</v>
      </c>
      <c r="P493" t="s">
        <v>242</v>
      </c>
      <c r="Q493" t="s">
        <v>1878</v>
      </c>
      <c r="R493" s="13">
        <v>449.15</v>
      </c>
      <c r="S493">
        <v>5</v>
      </c>
      <c r="T493" s="14">
        <v>0</v>
      </c>
      <c r="U493" s="13">
        <v>8.9829999999999899</v>
      </c>
    </row>
    <row r="494" spans="1:21" ht="15" customHeight="1" x14ac:dyDescent="0.3">
      <c r="A494">
        <v>493</v>
      </c>
      <c r="B494" t="s">
        <v>1874</v>
      </c>
      <c r="C494" s="12">
        <v>41896</v>
      </c>
      <c r="D494" s="12">
        <v>41901</v>
      </c>
      <c r="E494" t="s">
        <v>233</v>
      </c>
      <c r="F494" t="s">
        <v>1875</v>
      </c>
      <c r="G494" t="s">
        <v>1876</v>
      </c>
      <c r="H494" t="s">
        <v>209</v>
      </c>
      <c r="I494" t="s">
        <v>210</v>
      </c>
      <c r="J494" t="s">
        <v>572</v>
      </c>
      <c r="K494" t="s">
        <v>450</v>
      </c>
      <c r="L494">
        <v>14609</v>
      </c>
      <c r="M494" t="s">
        <v>331</v>
      </c>
      <c r="N494" t="s">
        <v>1879</v>
      </c>
      <c r="O494" t="s">
        <v>229</v>
      </c>
      <c r="P494" t="s">
        <v>356</v>
      </c>
      <c r="Q494" t="s">
        <v>1880</v>
      </c>
      <c r="R494" s="13">
        <v>11.07</v>
      </c>
      <c r="S494">
        <v>3</v>
      </c>
      <c r="T494" s="14">
        <v>0</v>
      </c>
      <c r="U494" s="13">
        <v>5.0922000000000001</v>
      </c>
    </row>
    <row r="495" spans="1:21" ht="15" customHeight="1" x14ac:dyDescent="0.3">
      <c r="A495">
        <v>494</v>
      </c>
      <c r="B495" t="s">
        <v>1881</v>
      </c>
      <c r="C495" s="12">
        <v>42499</v>
      </c>
      <c r="D495" s="12">
        <v>42504</v>
      </c>
      <c r="E495" t="s">
        <v>233</v>
      </c>
      <c r="F495" t="s">
        <v>1882</v>
      </c>
      <c r="G495" t="s">
        <v>1883</v>
      </c>
      <c r="H495" t="s">
        <v>209</v>
      </c>
      <c r="I495" t="s">
        <v>210</v>
      </c>
      <c r="J495" t="s">
        <v>278</v>
      </c>
      <c r="K495" t="s">
        <v>279</v>
      </c>
      <c r="L495">
        <v>98115</v>
      </c>
      <c r="M495" t="s">
        <v>227</v>
      </c>
      <c r="N495" t="s">
        <v>1884</v>
      </c>
      <c r="O495" t="s">
        <v>254</v>
      </c>
      <c r="P495" t="s">
        <v>344</v>
      </c>
      <c r="Q495" t="s">
        <v>1885</v>
      </c>
      <c r="R495" s="13">
        <v>93.98</v>
      </c>
      <c r="S495">
        <v>2</v>
      </c>
      <c r="T495" s="14">
        <v>0</v>
      </c>
      <c r="U495" s="13">
        <v>13.1572</v>
      </c>
    </row>
    <row r="496" spans="1:21" ht="15" customHeight="1" x14ac:dyDescent="0.3">
      <c r="A496">
        <v>495</v>
      </c>
      <c r="B496" t="s">
        <v>1886</v>
      </c>
      <c r="C496" s="12">
        <v>42447</v>
      </c>
      <c r="D496" s="12">
        <v>42450</v>
      </c>
      <c r="E496" t="s">
        <v>206</v>
      </c>
      <c r="F496" t="s">
        <v>1887</v>
      </c>
      <c r="G496" t="s">
        <v>1888</v>
      </c>
      <c r="H496" t="s">
        <v>209</v>
      </c>
      <c r="I496" t="s">
        <v>210</v>
      </c>
      <c r="J496" t="s">
        <v>517</v>
      </c>
      <c r="K496" t="s">
        <v>518</v>
      </c>
      <c r="L496">
        <v>38109</v>
      </c>
      <c r="M496" t="s">
        <v>213</v>
      </c>
      <c r="N496" t="s">
        <v>1889</v>
      </c>
      <c r="O496" t="s">
        <v>215</v>
      </c>
      <c r="P496" t="s">
        <v>239</v>
      </c>
      <c r="Q496" t="s">
        <v>1890</v>
      </c>
      <c r="R496" s="13">
        <v>189.88200000000001</v>
      </c>
      <c r="S496">
        <v>3</v>
      </c>
      <c r="T496" s="14">
        <v>0.4</v>
      </c>
      <c r="U496" s="13">
        <v>-94.941000000000003</v>
      </c>
    </row>
    <row r="497" spans="1:21" ht="15" customHeight="1" x14ac:dyDescent="0.3">
      <c r="A497">
        <v>496</v>
      </c>
      <c r="B497" t="s">
        <v>1891</v>
      </c>
      <c r="C497" s="12">
        <v>42365</v>
      </c>
      <c r="D497" s="12">
        <v>42369</v>
      </c>
      <c r="E497" t="s">
        <v>233</v>
      </c>
      <c r="F497" t="s">
        <v>1892</v>
      </c>
      <c r="G497" t="s">
        <v>1893</v>
      </c>
      <c r="H497" t="s">
        <v>209</v>
      </c>
      <c r="I497" t="s">
        <v>210</v>
      </c>
      <c r="J497" t="s">
        <v>1894</v>
      </c>
      <c r="K497" t="s">
        <v>1895</v>
      </c>
      <c r="L497">
        <v>72701</v>
      </c>
      <c r="M497" t="s">
        <v>213</v>
      </c>
      <c r="N497" t="s">
        <v>1896</v>
      </c>
      <c r="O497" t="s">
        <v>229</v>
      </c>
      <c r="P497" t="s">
        <v>356</v>
      </c>
      <c r="Q497" t="s">
        <v>1897</v>
      </c>
      <c r="R497" s="13">
        <v>105.42</v>
      </c>
      <c r="S497">
        <v>2</v>
      </c>
      <c r="T497" s="14">
        <v>0</v>
      </c>
      <c r="U497" s="13">
        <v>51.655799999999999</v>
      </c>
    </row>
    <row r="498" spans="1:21" ht="15" customHeight="1" x14ac:dyDescent="0.3">
      <c r="A498">
        <v>497</v>
      </c>
      <c r="B498" t="s">
        <v>1898</v>
      </c>
      <c r="C498" s="12">
        <v>42576</v>
      </c>
      <c r="D498" s="12">
        <v>42582</v>
      </c>
      <c r="E498" t="s">
        <v>233</v>
      </c>
      <c r="F498" t="s">
        <v>1771</v>
      </c>
      <c r="G498" t="s">
        <v>1772</v>
      </c>
      <c r="H498" t="s">
        <v>209</v>
      </c>
      <c r="I498" t="s">
        <v>210</v>
      </c>
      <c r="J498" t="s">
        <v>1899</v>
      </c>
      <c r="K498" t="s">
        <v>226</v>
      </c>
      <c r="L498">
        <v>92627</v>
      </c>
      <c r="M498" t="s">
        <v>227</v>
      </c>
      <c r="N498" t="s">
        <v>1900</v>
      </c>
      <c r="O498" t="s">
        <v>229</v>
      </c>
      <c r="P498" t="s">
        <v>258</v>
      </c>
      <c r="Q498" t="s">
        <v>1901</v>
      </c>
      <c r="R498" s="13">
        <v>119.616</v>
      </c>
      <c r="S498">
        <v>8</v>
      </c>
      <c r="T498" s="14">
        <v>0.2</v>
      </c>
      <c r="U498" s="13">
        <v>40.370399999999997</v>
      </c>
    </row>
    <row r="499" spans="1:21" ht="15" customHeight="1" x14ac:dyDescent="0.3">
      <c r="A499">
        <v>498</v>
      </c>
      <c r="B499" t="s">
        <v>1898</v>
      </c>
      <c r="C499" s="12">
        <v>42576</v>
      </c>
      <c r="D499" s="12">
        <v>42582</v>
      </c>
      <c r="E499" t="s">
        <v>233</v>
      </c>
      <c r="F499" t="s">
        <v>1771</v>
      </c>
      <c r="G499" t="s">
        <v>1772</v>
      </c>
      <c r="H499" t="s">
        <v>209</v>
      </c>
      <c r="I499" t="s">
        <v>210</v>
      </c>
      <c r="J499" t="s">
        <v>1899</v>
      </c>
      <c r="K499" t="s">
        <v>226</v>
      </c>
      <c r="L499">
        <v>92627</v>
      </c>
      <c r="M499" t="s">
        <v>227</v>
      </c>
      <c r="N499" t="s">
        <v>1902</v>
      </c>
      <c r="O499" t="s">
        <v>215</v>
      </c>
      <c r="P499" t="s">
        <v>248</v>
      </c>
      <c r="Q499" t="s">
        <v>1903</v>
      </c>
      <c r="R499" s="13">
        <v>255.76</v>
      </c>
      <c r="S499">
        <v>4</v>
      </c>
      <c r="T499" s="14">
        <v>0</v>
      </c>
      <c r="U499" s="13">
        <v>81.843199999999996</v>
      </c>
    </row>
    <row r="500" spans="1:21" ht="15" customHeight="1" x14ac:dyDescent="0.3">
      <c r="A500">
        <v>499</v>
      </c>
      <c r="B500" t="s">
        <v>1898</v>
      </c>
      <c r="C500" s="12">
        <v>42576</v>
      </c>
      <c r="D500" s="12">
        <v>42582</v>
      </c>
      <c r="E500" t="s">
        <v>233</v>
      </c>
      <c r="F500" t="s">
        <v>1771</v>
      </c>
      <c r="G500" t="s">
        <v>1772</v>
      </c>
      <c r="H500" t="s">
        <v>209</v>
      </c>
      <c r="I500" t="s">
        <v>210</v>
      </c>
      <c r="J500" t="s">
        <v>1899</v>
      </c>
      <c r="K500" t="s">
        <v>226</v>
      </c>
      <c r="L500">
        <v>92627</v>
      </c>
      <c r="M500" t="s">
        <v>227</v>
      </c>
      <c r="N500" t="s">
        <v>1350</v>
      </c>
      <c r="O500" t="s">
        <v>215</v>
      </c>
      <c r="P500" t="s">
        <v>219</v>
      </c>
      <c r="Q500" t="s">
        <v>1351</v>
      </c>
      <c r="R500" s="13">
        <v>241.56800000000001</v>
      </c>
      <c r="S500">
        <v>2</v>
      </c>
      <c r="T500" s="14">
        <v>0.2</v>
      </c>
      <c r="U500" s="13">
        <v>18.117599999999999</v>
      </c>
    </row>
    <row r="501" spans="1:21" ht="15" customHeight="1" x14ac:dyDescent="0.3">
      <c r="A501">
        <v>500</v>
      </c>
      <c r="B501" t="s">
        <v>1898</v>
      </c>
      <c r="C501" s="12">
        <v>42576</v>
      </c>
      <c r="D501" s="12">
        <v>42582</v>
      </c>
      <c r="E501" t="s">
        <v>233</v>
      </c>
      <c r="F501" t="s">
        <v>1771</v>
      </c>
      <c r="G501" t="s">
        <v>1772</v>
      </c>
      <c r="H501" t="s">
        <v>209</v>
      </c>
      <c r="I501" t="s">
        <v>210</v>
      </c>
      <c r="J501" t="s">
        <v>1899</v>
      </c>
      <c r="K501" t="s">
        <v>226</v>
      </c>
      <c r="L501">
        <v>92627</v>
      </c>
      <c r="M501" t="s">
        <v>227</v>
      </c>
      <c r="N501" t="s">
        <v>1904</v>
      </c>
      <c r="O501" t="s">
        <v>215</v>
      </c>
      <c r="P501" t="s">
        <v>248</v>
      </c>
      <c r="Q501" t="s">
        <v>1905</v>
      </c>
      <c r="R501" s="13">
        <v>69.3</v>
      </c>
      <c r="S501">
        <v>9</v>
      </c>
      <c r="T501" s="14">
        <v>0</v>
      </c>
      <c r="U501" s="13">
        <v>22.869</v>
      </c>
    </row>
    <row r="502" spans="1:21" ht="15" customHeight="1" x14ac:dyDescent="0.3">
      <c r="A502">
        <v>501</v>
      </c>
      <c r="B502" t="s">
        <v>1906</v>
      </c>
      <c r="C502" s="12">
        <v>42520</v>
      </c>
      <c r="D502" s="12">
        <v>42525</v>
      </c>
      <c r="E502" t="s">
        <v>233</v>
      </c>
      <c r="F502" t="s">
        <v>1907</v>
      </c>
      <c r="G502" t="s">
        <v>1908</v>
      </c>
      <c r="H502" t="s">
        <v>224</v>
      </c>
      <c r="I502" t="s">
        <v>210</v>
      </c>
      <c r="J502" t="s">
        <v>1909</v>
      </c>
      <c r="K502" t="s">
        <v>640</v>
      </c>
      <c r="L502">
        <v>80134</v>
      </c>
      <c r="M502" t="s">
        <v>227</v>
      </c>
      <c r="N502" t="s">
        <v>1910</v>
      </c>
      <c r="O502" t="s">
        <v>229</v>
      </c>
      <c r="P502" t="s">
        <v>258</v>
      </c>
      <c r="Q502" t="s">
        <v>1911</v>
      </c>
      <c r="R502" s="13">
        <v>22.62</v>
      </c>
      <c r="S502">
        <v>2</v>
      </c>
      <c r="T502" s="14">
        <v>0.7</v>
      </c>
      <c r="U502" s="13">
        <v>-15.08</v>
      </c>
    </row>
    <row r="503" spans="1:21" ht="15" customHeight="1" x14ac:dyDescent="0.3">
      <c r="A503">
        <v>502</v>
      </c>
      <c r="B503" t="s">
        <v>1906</v>
      </c>
      <c r="C503" s="12">
        <v>42520</v>
      </c>
      <c r="D503" s="12">
        <v>42525</v>
      </c>
      <c r="E503" t="s">
        <v>233</v>
      </c>
      <c r="F503" t="s">
        <v>1907</v>
      </c>
      <c r="G503" t="s">
        <v>1908</v>
      </c>
      <c r="H503" t="s">
        <v>224</v>
      </c>
      <c r="I503" t="s">
        <v>210</v>
      </c>
      <c r="J503" t="s">
        <v>1909</v>
      </c>
      <c r="K503" t="s">
        <v>640</v>
      </c>
      <c r="L503">
        <v>80134</v>
      </c>
      <c r="M503" t="s">
        <v>227</v>
      </c>
      <c r="N503" t="s">
        <v>1912</v>
      </c>
      <c r="O503" t="s">
        <v>229</v>
      </c>
      <c r="P503" t="s">
        <v>258</v>
      </c>
      <c r="Q503" t="s">
        <v>1913</v>
      </c>
      <c r="R503" s="13">
        <v>14.952</v>
      </c>
      <c r="S503">
        <v>2</v>
      </c>
      <c r="T503" s="14">
        <v>0.7</v>
      </c>
      <c r="U503" s="13">
        <v>-11.961600000000001</v>
      </c>
    </row>
    <row r="504" spans="1:21" ht="15" customHeight="1" x14ac:dyDescent="0.3">
      <c r="A504">
        <v>503</v>
      </c>
      <c r="B504" t="s">
        <v>1906</v>
      </c>
      <c r="C504" s="12">
        <v>42520</v>
      </c>
      <c r="D504" s="12">
        <v>42525</v>
      </c>
      <c r="E504" t="s">
        <v>233</v>
      </c>
      <c r="F504" t="s">
        <v>1907</v>
      </c>
      <c r="G504" t="s">
        <v>1908</v>
      </c>
      <c r="H504" t="s">
        <v>224</v>
      </c>
      <c r="I504" t="s">
        <v>210</v>
      </c>
      <c r="J504" t="s">
        <v>1909</v>
      </c>
      <c r="K504" t="s">
        <v>640</v>
      </c>
      <c r="L504">
        <v>80134</v>
      </c>
      <c r="M504" t="s">
        <v>227</v>
      </c>
      <c r="N504" t="s">
        <v>1914</v>
      </c>
      <c r="O504" t="s">
        <v>215</v>
      </c>
      <c r="P504" t="s">
        <v>219</v>
      </c>
      <c r="Q504" t="s">
        <v>1915</v>
      </c>
      <c r="R504" s="13">
        <v>801.56799999999998</v>
      </c>
      <c r="S504">
        <v>2</v>
      </c>
      <c r="T504" s="14">
        <v>0.2</v>
      </c>
      <c r="U504" s="13">
        <v>50.097999999999999</v>
      </c>
    </row>
    <row r="505" spans="1:21" ht="15" customHeight="1" x14ac:dyDescent="0.3">
      <c r="A505">
        <v>504</v>
      </c>
      <c r="B505" t="s">
        <v>1906</v>
      </c>
      <c r="C505" s="12">
        <v>42520</v>
      </c>
      <c r="D505" s="12">
        <v>42525</v>
      </c>
      <c r="E505" t="s">
        <v>233</v>
      </c>
      <c r="F505" t="s">
        <v>1907</v>
      </c>
      <c r="G505" t="s">
        <v>1908</v>
      </c>
      <c r="H505" t="s">
        <v>224</v>
      </c>
      <c r="I505" t="s">
        <v>210</v>
      </c>
      <c r="J505" t="s">
        <v>1909</v>
      </c>
      <c r="K505" t="s">
        <v>640</v>
      </c>
      <c r="L505">
        <v>80134</v>
      </c>
      <c r="M505" t="s">
        <v>227</v>
      </c>
      <c r="N505" t="s">
        <v>1916</v>
      </c>
      <c r="O505" t="s">
        <v>229</v>
      </c>
      <c r="P505" t="s">
        <v>258</v>
      </c>
      <c r="Q505" t="s">
        <v>1917</v>
      </c>
      <c r="R505" s="13">
        <v>2.3759999999999999</v>
      </c>
      <c r="S505">
        <v>3</v>
      </c>
      <c r="T505" s="14">
        <v>0.7</v>
      </c>
      <c r="U505" s="13">
        <v>-1.9008</v>
      </c>
    </row>
    <row r="506" spans="1:21" ht="15" customHeight="1" x14ac:dyDescent="0.3">
      <c r="A506">
        <v>505</v>
      </c>
      <c r="B506" t="s">
        <v>1906</v>
      </c>
      <c r="C506" s="12">
        <v>42520</v>
      </c>
      <c r="D506" s="12">
        <v>42525</v>
      </c>
      <c r="E506" t="s">
        <v>233</v>
      </c>
      <c r="F506" t="s">
        <v>1907</v>
      </c>
      <c r="G506" t="s">
        <v>1908</v>
      </c>
      <c r="H506" t="s">
        <v>224</v>
      </c>
      <c r="I506" t="s">
        <v>210</v>
      </c>
      <c r="J506" t="s">
        <v>1909</v>
      </c>
      <c r="K506" t="s">
        <v>640</v>
      </c>
      <c r="L506">
        <v>80134</v>
      </c>
      <c r="M506" t="s">
        <v>227</v>
      </c>
      <c r="N506" t="s">
        <v>1918</v>
      </c>
      <c r="O506" t="s">
        <v>229</v>
      </c>
      <c r="P506" t="s">
        <v>273</v>
      </c>
      <c r="Q506" t="s">
        <v>1919</v>
      </c>
      <c r="R506" s="13">
        <v>32.792000000000002</v>
      </c>
      <c r="S506">
        <v>1</v>
      </c>
      <c r="T506" s="14">
        <v>0.2</v>
      </c>
      <c r="U506" s="13">
        <v>11.8871</v>
      </c>
    </row>
    <row r="507" spans="1:21" ht="15" customHeight="1" x14ac:dyDescent="0.3">
      <c r="A507">
        <v>506</v>
      </c>
      <c r="B507" t="s">
        <v>1920</v>
      </c>
      <c r="C507" s="12">
        <v>43051</v>
      </c>
      <c r="D507" s="12">
        <v>43054</v>
      </c>
      <c r="E507" t="s">
        <v>206</v>
      </c>
      <c r="F507" t="s">
        <v>1762</v>
      </c>
      <c r="G507" t="s">
        <v>1763</v>
      </c>
      <c r="H507" t="s">
        <v>224</v>
      </c>
      <c r="I507" t="s">
        <v>210</v>
      </c>
      <c r="J507" t="s">
        <v>449</v>
      </c>
      <c r="K507" t="s">
        <v>450</v>
      </c>
      <c r="L507">
        <v>10024</v>
      </c>
      <c r="M507" t="s">
        <v>331</v>
      </c>
      <c r="N507" t="s">
        <v>728</v>
      </c>
      <c r="O507" t="s">
        <v>229</v>
      </c>
      <c r="P507" t="s">
        <v>258</v>
      </c>
      <c r="Q507" t="s">
        <v>729</v>
      </c>
      <c r="R507" s="13">
        <v>15.92</v>
      </c>
      <c r="S507">
        <v>5</v>
      </c>
      <c r="T507" s="14">
        <v>0.2</v>
      </c>
      <c r="U507" s="13">
        <v>5.3730000000000002</v>
      </c>
    </row>
    <row r="508" spans="1:21" ht="15" customHeight="1" x14ac:dyDescent="0.3">
      <c r="A508">
        <v>507</v>
      </c>
      <c r="B508" t="s">
        <v>1921</v>
      </c>
      <c r="C508" s="12">
        <v>42079</v>
      </c>
      <c r="D508" s="12">
        <v>42085</v>
      </c>
      <c r="E508" t="s">
        <v>233</v>
      </c>
      <c r="F508" t="s">
        <v>1922</v>
      </c>
      <c r="G508" t="s">
        <v>1923</v>
      </c>
      <c r="H508" t="s">
        <v>209</v>
      </c>
      <c r="I508" t="s">
        <v>210</v>
      </c>
      <c r="J508" t="s">
        <v>1924</v>
      </c>
      <c r="K508" t="s">
        <v>1458</v>
      </c>
      <c r="L508">
        <v>30318</v>
      </c>
      <c r="M508" t="s">
        <v>213</v>
      </c>
      <c r="N508" t="s">
        <v>1925</v>
      </c>
      <c r="O508" t="s">
        <v>229</v>
      </c>
      <c r="P508" t="s">
        <v>251</v>
      </c>
      <c r="Q508" t="s">
        <v>1926</v>
      </c>
      <c r="R508" s="13">
        <v>2.74</v>
      </c>
      <c r="S508">
        <v>1</v>
      </c>
      <c r="T508" s="14">
        <v>0</v>
      </c>
      <c r="U508" s="13">
        <v>0.73980000000000001</v>
      </c>
    </row>
    <row r="509" spans="1:21" ht="15" customHeight="1" x14ac:dyDescent="0.3">
      <c r="A509">
        <v>508</v>
      </c>
      <c r="B509" t="s">
        <v>1921</v>
      </c>
      <c r="C509" s="12">
        <v>42079</v>
      </c>
      <c r="D509" s="12">
        <v>42085</v>
      </c>
      <c r="E509" t="s">
        <v>233</v>
      </c>
      <c r="F509" t="s">
        <v>1922</v>
      </c>
      <c r="G509" t="s">
        <v>1923</v>
      </c>
      <c r="H509" t="s">
        <v>209</v>
      </c>
      <c r="I509" t="s">
        <v>210</v>
      </c>
      <c r="J509" t="s">
        <v>1924</v>
      </c>
      <c r="K509" t="s">
        <v>1458</v>
      </c>
      <c r="L509">
        <v>30318</v>
      </c>
      <c r="M509" t="s">
        <v>213</v>
      </c>
      <c r="N509" t="s">
        <v>1927</v>
      </c>
      <c r="O509" t="s">
        <v>229</v>
      </c>
      <c r="P509" t="s">
        <v>251</v>
      </c>
      <c r="Q509" t="s">
        <v>1928</v>
      </c>
      <c r="R509" s="13">
        <v>8.34</v>
      </c>
      <c r="S509">
        <v>3</v>
      </c>
      <c r="T509" s="14">
        <v>0</v>
      </c>
      <c r="U509" s="13">
        <v>2.1684000000000001</v>
      </c>
    </row>
    <row r="510" spans="1:21" ht="15" customHeight="1" x14ac:dyDescent="0.3">
      <c r="A510">
        <v>509</v>
      </c>
      <c r="B510" t="s">
        <v>1921</v>
      </c>
      <c r="C510" s="12">
        <v>42079</v>
      </c>
      <c r="D510" s="12">
        <v>42085</v>
      </c>
      <c r="E510" t="s">
        <v>233</v>
      </c>
      <c r="F510" t="s">
        <v>1922</v>
      </c>
      <c r="G510" t="s">
        <v>1923</v>
      </c>
      <c r="H510" t="s">
        <v>209</v>
      </c>
      <c r="I510" t="s">
        <v>210</v>
      </c>
      <c r="J510" t="s">
        <v>1924</v>
      </c>
      <c r="K510" t="s">
        <v>1458</v>
      </c>
      <c r="L510">
        <v>30318</v>
      </c>
      <c r="M510" t="s">
        <v>213</v>
      </c>
      <c r="N510" t="s">
        <v>1139</v>
      </c>
      <c r="O510" t="s">
        <v>229</v>
      </c>
      <c r="P510" t="s">
        <v>242</v>
      </c>
      <c r="Q510" t="s">
        <v>1929</v>
      </c>
      <c r="R510" s="13">
        <v>46.74</v>
      </c>
      <c r="S510">
        <v>3</v>
      </c>
      <c r="T510" s="14">
        <v>0</v>
      </c>
      <c r="U510" s="13">
        <v>11.685</v>
      </c>
    </row>
    <row r="511" spans="1:21" ht="15" customHeight="1" x14ac:dyDescent="0.3">
      <c r="A511">
        <v>510</v>
      </c>
      <c r="B511" t="s">
        <v>1921</v>
      </c>
      <c r="C511" s="12">
        <v>42079</v>
      </c>
      <c r="D511" s="12">
        <v>42085</v>
      </c>
      <c r="E511" t="s">
        <v>233</v>
      </c>
      <c r="F511" t="s">
        <v>1922</v>
      </c>
      <c r="G511" t="s">
        <v>1923</v>
      </c>
      <c r="H511" t="s">
        <v>209</v>
      </c>
      <c r="I511" t="s">
        <v>210</v>
      </c>
      <c r="J511" t="s">
        <v>1924</v>
      </c>
      <c r="K511" t="s">
        <v>1458</v>
      </c>
      <c r="L511">
        <v>30318</v>
      </c>
      <c r="M511" t="s">
        <v>213</v>
      </c>
      <c r="N511" t="s">
        <v>1930</v>
      </c>
      <c r="O511" t="s">
        <v>229</v>
      </c>
      <c r="P511" t="s">
        <v>258</v>
      </c>
      <c r="Q511" t="s">
        <v>1931</v>
      </c>
      <c r="R511" s="13">
        <v>6354.95</v>
      </c>
      <c r="S511">
        <v>5</v>
      </c>
      <c r="T511" s="14">
        <v>0</v>
      </c>
      <c r="U511" s="13">
        <v>3177.4749999999999</v>
      </c>
    </row>
    <row r="512" spans="1:21" ht="15" customHeight="1" x14ac:dyDescent="0.3">
      <c r="A512">
        <v>511</v>
      </c>
      <c r="B512" t="s">
        <v>1932</v>
      </c>
      <c r="C512" s="12">
        <v>43065</v>
      </c>
      <c r="D512" s="12">
        <v>43066</v>
      </c>
      <c r="E512" t="s">
        <v>371</v>
      </c>
      <c r="F512" t="s">
        <v>1933</v>
      </c>
      <c r="G512" t="s">
        <v>1934</v>
      </c>
      <c r="H512" t="s">
        <v>209</v>
      </c>
      <c r="I512" t="s">
        <v>210</v>
      </c>
      <c r="J512" t="s">
        <v>1935</v>
      </c>
      <c r="K512" t="s">
        <v>780</v>
      </c>
      <c r="L512">
        <v>64118</v>
      </c>
      <c r="M512" t="s">
        <v>288</v>
      </c>
      <c r="N512" t="s">
        <v>1936</v>
      </c>
      <c r="O512" t="s">
        <v>215</v>
      </c>
      <c r="P512" t="s">
        <v>248</v>
      </c>
      <c r="Q512" t="s">
        <v>1937</v>
      </c>
      <c r="R512" s="13">
        <v>126.3</v>
      </c>
      <c r="S512">
        <v>3</v>
      </c>
      <c r="T512" s="14">
        <v>0</v>
      </c>
      <c r="U512" s="13">
        <v>40.415999999999997</v>
      </c>
    </row>
    <row r="513" spans="1:21" ht="15" customHeight="1" x14ac:dyDescent="0.3">
      <c r="A513">
        <v>512</v>
      </c>
      <c r="B513" t="s">
        <v>1932</v>
      </c>
      <c r="C513" s="12">
        <v>43065</v>
      </c>
      <c r="D513" s="12">
        <v>43066</v>
      </c>
      <c r="E513" t="s">
        <v>371</v>
      </c>
      <c r="F513" t="s">
        <v>1933</v>
      </c>
      <c r="G513" t="s">
        <v>1934</v>
      </c>
      <c r="H513" t="s">
        <v>209</v>
      </c>
      <c r="I513" t="s">
        <v>210</v>
      </c>
      <c r="J513" t="s">
        <v>1935</v>
      </c>
      <c r="K513" t="s">
        <v>780</v>
      </c>
      <c r="L513">
        <v>64118</v>
      </c>
      <c r="M513" t="s">
        <v>288</v>
      </c>
      <c r="N513" t="s">
        <v>1938</v>
      </c>
      <c r="O513" t="s">
        <v>254</v>
      </c>
      <c r="P513" t="s">
        <v>344</v>
      </c>
      <c r="Q513" t="s">
        <v>1939</v>
      </c>
      <c r="R513" s="13">
        <v>38.04</v>
      </c>
      <c r="S513">
        <v>2</v>
      </c>
      <c r="T513" s="14">
        <v>0</v>
      </c>
      <c r="U513" s="13">
        <v>12.172800000000001</v>
      </c>
    </row>
    <row r="514" spans="1:21" ht="15" customHeight="1" x14ac:dyDescent="0.3">
      <c r="A514">
        <v>513</v>
      </c>
      <c r="B514" t="s">
        <v>1940</v>
      </c>
      <c r="C514" s="12">
        <v>42663</v>
      </c>
      <c r="D514" s="12">
        <v>42666</v>
      </c>
      <c r="E514" t="s">
        <v>371</v>
      </c>
      <c r="F514" t="s">
        <v>1604</v>
      </c>
      <c r="G514" t="s">
        <v>1605</v>
      </c>
      <c r="H514" t="s">
        <v>209</v>
      </c>
      <c r="I514" t="s">
        <v>210</v>
      </c>
      <c r="J514" t="s">
        <v>790</v>
      </c>
      <c r="K514" t="s">
        <v>681</v>
      </c>
      <c r="L514">
        <v>43055</v>
      </c>
      <c r="M514" t="s">
        <v>331</v>
      </c>
      <c r="N514" t="s">
        <v>549</v>
      </c>
      <c r="O514" t="s">
        <v>229</v>
      </c>
      <c r="P514" t="s">
        <v>251</v>
      </c>
      <c r="Q514" t="s">
        <v>550</v>
      </c>
      <c r="R514" s="13">
        <v>7.1520000000000001</v>
      </c>
      <c r="S514">
        <v>3</v>
      </c>
      <c r="T514" s="14">
        <v>0.2</v>
      </c>
      <c r="U514" s="13">
        <v>0.71519999999999995</v>
      </c>
    </row>
    <row r="515" spans="1:21" ht="15" customHeight="1" x14ac:dyDescent="0.3">
      <c r="A515">
        <v>514</v>
      </c>
      <c r="B515" t="s">
        <v>1941</v>
      </c>
      <c r="C515" s="12">
        <v>43090</v>
      </c>
      <c r="D515" s="12">
        <v>43094</v>
      </c>
      <c r="E515" t="s">
        <v>233</v>
      </c>
      <c r="F515" t="s">
        <v>1942</v>
      </c>
      <c r="G515" t="s">
        <v>1943</v>
      </c>
      <c r="H515" t="s">
        <v>209</v>
      </c>
      <c r="I515" t="s">
        <v>210</v>
      </c>
      <c r="J515" t="s">
        <v>225</v>
      </c>
      <c r="K515" t="s">
        <v>226</v>
      </c>
      <c r="L515">
        <v>90049</v>
      </c>
      <c r="M515" t="s">
        <v>227</v>
      </c>
      <c r="N515" t="s">
        <v>1944</v>
      </c>
      <c r="O515" t="s">
        <v>229</v>
      </c>
      <c r="P515" t="s">
        <v>251</v>
      </c>
      <c r="Q515" t="s">
        <v>1945</v>
      </c>
      <c r="R515" s="13">
        <v>6.63</v>
      </c>
      <c r="S515">
        <v>3</v>
      </c>
      <c r="T515" s="14">
        <v>0</v>
      </c>
      <c r="U515" s="13">
        <v>1.7901</v>
      </c>
    </row>
    <row r="516" spans="1:21" ht="15" customHeight="1" x14ac:dyDescent="0.3">
      <c r="A516">
        <v>515</v>
      </c>
      <c r="B516" t="s">
        <v>1941</v>
      </c>
      <c r="C516" s="12">
        <v>43090</v>
      </c>
      <c r="D516" s="12">
        <v>43094</v>
      </c>
      <c r="E516" t="s">
        <v>233</v>
      </c>
      <c r="F516" t="s">
        <v>1942</v>
      </c>
      <c r="G516" t="s">
        <v>1943</v>
      </c>
      <c r="H516" t="s">
        <v>209</v>
      </c>
      <c r="I516" t="s">
        <v>210</v>
      </c>
      <c r="J516" t="s">
        <v>225</v>
      </c>
      <c r="K516" t="s">
        <v>226</v>
      </c>
      <c r="L516">
        <v>90049</v>
      </c>
      <c r="M516" t="s">
        <v>227</v>
      </c>
      <c r="N516" t="s">
        <v>1946</v>
      </c>
      <c r="O516" t="s">
        <v>229</v>
      </c>
      <c r="P516" t="s">
        <v>251</v>
      </c>
      <c r="Q516" t="s">
        <v>1947</v>
      </c>
      <c r="R516" s="13">
        <v>5.88</v>
      </c>
      <c r="S516">
        <v>2</v>
      </c>
      <c r="T516" s="14">
        <v>0</v>
      </c>
      <c r="U516" s="13">
        <v>1.7052</v>
      </c>
    </row>
    <row r="517" spans="1:21" ht="15" customHeight="1" x14ac:dyDescent="0.3">
      <c r="A517">
        <v>516</v>
      </c>
      <c r="B517" t="s">
        <v>1948</v>
      </c>
      <c r="C517" s="12">
        <v>42757</v>
      </c>
      <c r="D517" s="12">
        <v>42762</v>
      </c>
      <c r="E517" t="s">
        <v>233</v>
      </c>
      <c r="F517" t="s">
        <v>714</v>
      </c>
      <c r="G517" t="s">
        <v>715</v>
      </c>
      <c r="H517" t="s">
        <v>285</v>
      </c>
      <c r="I517" t="s">
        <v>210</v>
      </c>
      <c r="J517" t="s">
        <v>1949</v>
      </c>
      <c r="K517" t="s">
        <v>1950</v>
      </c>
      <c r="L517">
        <v>59405</v>
      </c>
      <c r="M517" t="s">
        <v>227</v>
      </c>
      <c r="N517" t="s">
        <v>1951</v>
      </c>
      <c r="O517" t="s">
        <v>254</v>
      </c>
      <c r="P517" t="s">
        <v>1402</v>
      </c>
      <c r="Q517" t="s">
        <v>1952</v>
      </c>
      <c r="R517" s="13">
        <v>2999.95</v>
      </c>
      <c r="S517">
        <v>5</v>
      </c>
      <c r="T517" s="14">
        <v>0</v>
      </c>
      <c r="U517" s="13">
        <v>1379.9770000000001</v>
      </c>
    </row>
    <row r="518" spans="1:21" ht="15" customHeight="1" x14ac:dyDescent="0.3">
      <c r="A518">
        <v>517</v>
      </c>
      <c r="B518" t="s">
        <v>1948</v>
      </c>
      <c r="C518" s="12">
        <v>42757</v>
      </c>
      <c r="D518" s="12">
        <v>42762</v>
      </c>
      <c r="E518" t="s">
        <v>233</v>
      </c>
      <c r="F518" t="s">
        <v>714</v>
      </c>
      <c r="G518" t="s">
        <v>715</v>
      </c>
      <c r="H518" t="s">
        <v>285</v>
      </c>
      <c r="I518" t="s">
        <v>210</v>
      </c>
      <c r="J518" t="s">
        <v>1949</v>
      </c>
      <c r="K518" t="s">
        <v>1950</v>
      </c>
      <c r="L518">
        <v>59405</v>
      </c>
      <c r="M518" t="s">
        <v>227</v>
      </c>
      <c r="N518" t="s">
        <v>1953</v>
      </c>
      <c r="O518" t="s">
        <v>229</v>
      </c>
      <c r="P518" t="s">
        <v>242</v>
      </c>
      <c r="Q518" t="s">
        <v>1954</v>
      </c>
      <c r="R518" s="13">
        <v>51.45</v>
      </c>
      <c r="S518">
        <v>3</v>
      </c>
      <c r="T518" s="14">
        <v>0</v>
      </c>
      <c r="U518" s="13">
        <v>13.891500000000001</v>
      </c>
    </row>
    <row r="519" spans="1:21" ht="15" customHeight="1" x14ac:dyDescent="0.3">
      <c r="A519">
        <v>518</v>
      </c>
      <c r="B519" t="s">
        <v>1948</v>
      </c>
      <c r="C519" s="12">
        <v>42757</v>
      </c>
      <c r="D519" s="12">
        <v>42762</v>
      </c>
      <c r="E519" t="s">
        <v>233</v>
      </c>
      <c r="F519" t="s">
        <v>714</v>
      </c>
      <c r="G519" t="s">
        <v>715</v>
      </c>
      <c r="H519" t="s">
        <v>285</v>
      </c>
      <c r="I519" t="s">
        <v>210</v>
      </c>
      <c r="J519" t="s">
        <v>1949</v>
      </c>
      <c r="K519" t="s">
        <v>1950</v>
      </c>
      <c r="L519">
        <v>59405</v>
      </c>
      <c r="M519" t="s">
        <v>227</v>
      </c>
      <c r="N519" t="s">
        <v>1955</v>
      </c>
      <c r="O519" t="s">
        <v>229</v>
      </c>
      <c r="P519" t="s">
        <v>273</v>
      </c>
      <c r="Q519" t="s">
        <v>1956</v>
      </c>
      <c r="R519" s="13">
        <v>11.96</v>
      </c>
      <c r="S519">
        <v>2</v>
      </c>
      <c r="T519" s="14">
        <v>0</v>
      </c>
      <c r="U519" s="13">
        <v>5.3819999999999997</v>
      </c>
    </row>
    <row r="520" spans="1:21" ht="15" customHeight="1" x14ac:dyDescent="0.3">
      <c r="A520">
        <v>519</v>
      </c>
      <c r="B520" t="s">
        <v>1948</v>
      </c>
      <c r="C520" s="12">
        <v>42757</v>
      </c>
      <c r="D520" s="12">
        <v>42762</v>
      </c>
      <c r="E520" t="s">
        <v>233</v>
      </c>
      <c r="F520" t="s">
        <v>714</v>
      </c>
      <c r="G520" t="s">
        <v>715</v>
      </c>
      <c r="H520" t="s">
        <v>285</v>
      </c>
      <c r="I520" t="s">
        <v>210</v>
      </c>
      <c r="J520" t="s">
        <v>1949</v>
      </c>
      <c r="K520" t="s">
        <v>1950</v>
      </c>
      <c r="L520">
        <v>59405</v>
      </c>
      <c r="M520" t="s">
        <v>227</v>
      </c>
      <c r="N520" t="s">
        <v>1957</v>
      </c>
      <c r="O520" t="s">
        <v>229</v>
      </c>
      <c r="P520" t="s">
        <v>242</v>
      </c>
      <c r="Q520" t="s">
        <v>1958</v>
      </c>
      <c r="R520" s="13">
        <v>1126.02</v>
      </c>
      <c r="S520">
        <v>3</v>
      </c>
      <c r="T520" s="14">
        <v>0</v>
      </c>
      <c r="U520" s="13">
        <v>56.301000000000002</v>
      </c>
    </row>
    <row r="521" spans="1:21" ht="15" customHeight="1" x14ac:dyDescent="0.3">
      <c r="A521">
        <v>520</v>
      </c>
      <c r="B521" t="s">
        <v>1959</v>
      </c>
      <c r="C521" s="12">
        <v>42085</v>
      </c>
      <c r="D521" s="12">
        <v>42089</v>
      </c>
      <c r="E521" t="s">
        <v>233</v>
      </c>
      <c r="F521" t="s">
        <v>1960</v>
      </c>
      <c r="G521" t="s">
        <v>1961</v>
      </c>
      <c r="H521" t="s">
        <v>209</v>
      </c>
      <c r="I521" t="s">
        <v>210</v>
      </c>
      <c r="J521" t="s">
        <v>367</v>
      </c>
      <c r="K521" t="s">
        <v>287</v>
      </c>
      <c r="L521">
        <v>77041</v>
      </c>
      <c r="M521" t="s">
        <v>288</v>
      </c>
      <c r="N521" t="s">
        <v>413</v>
      </c>
      <c r="O521" t="s">
        <v>254</v>
      </c>
      <c r="P521" t="s">
        <v>344</v>
      </c>
      <c r="Q521" t="s">
        <v>414</v>
      </c>
      <c r="R521" s="13">
        <v>18.391999999999999</v>
      </c>
      <c r="S521">
        <v>1</v>
      </c>
      <c r="T521" s="14">
        <v>0.2</v>
      </c>
      <c r="U521" s="13">
        <v>5.2877000000000001</v>
      </c>
    </row>
    <row r="522" spans="1:21" ht="15" customHeight="1" x14ac:dyDescent="0.3">
      <c r="A522">
        <v>521</v>
      </c>
      <c r="B522" t="s">
        <v>1959</v>
      </c>
      <c r="C522" s="12">
        <v>42085</v>
      </c>
      <c r="D522" s="12">
        <v>42089</v>
      </c>
      <c r="E522" t="s">
        <v>233</v>
      </c>
      <c r="F522" t="s">
        <v>1960</v>
      </c>
      <c r="G522" t="s">
        <v>1961</v>
      </c>
      <c r="H522" t="s">
        <v>209</v>
      </c>
      <c r="I522" t="s">
        <v>210</v>
      </c>
      <c r="J522" t="s">
        <v>367</v>
      </c>
      <c r="K522" t="s">
        <v>287</v>
      </c>
      <c r="L522">
        <v>77041</v>
      </c>
      <c r="M522" t="s">
        <v>288</v>
      </c>
      <c r="N522" t="s">
        <v>1962</v>
      </c>
      <c r="O522" t="s">
        <v>229</v>
      </c>
      <c r="P522" t="s">
        <v>242</v>
      </c>
      <c r="Q522" t="s">
        <v>1963</v>
      </c>
      <c r="R522" s="13">
        <v>129.56800000000001</v>
      </c>
      <c r="S522">
        <v>2</v>
      </c>
      <c r="T522" s="14">
        <v>0.2</v>
      </c>
      <c r="U522" s="13">
        <v>-25.913599999999999</v>
      </c>
    </row>
    <row r="523" spans="1:21" ht="15" customHeight="1" x14ac:dyDescent="0.3">
      <c r="A523">
        <v>522</v>
      </c>
      <c r="B523" t="s">
        <v>1959</v>
      </c>
      <c r="C523" s="12">
        <v>42085</v>
      </c>
      <c r="D523" s="12">
        <v>42089</v>
      </c>
      <c r="E523" t="s">
        <v>233</v>
      </c>
      <c r="F523" t="s">
        <v>1960</v>
      </c>
      <c r="G523" t="s">
        <v>1961</v>
      </c>
      <c r="H523" t="s">
        <v>209</v>
      </c>
      <c r="I523" t="s">
        <v>210</v>
      </c>
      <c r="J523" t="s">
        <v>367</v>
      </c>
      <c r="K523" t="s">
        <v>287</v>
      </c>
      <c r="L523">
        <v>77041</v>
      </c>
      <c r="M523" t="s">
        <v>288</v>
      </c>
      <c r="N523" t="s">
        <v>1964</v>
      </c>
      <c r="O523" t="s">
        <v>229</v>
      </c>
      <c r="P523" t="s">
        <v>258</v>
      </c>
      <c r="Q523" t="s">
        <v>1965</v>
      </c>
      <c r="R523" s="13">
        <v>14.112</v>
      </c>
      <c r="S523">
        <v>9</v>
      </c>
      <c r="T523" s="14">
        <v>0.8</v>
      </c>
      <c r="U523" s="13">
        <v>-21.167999999999999</v>
      </c>
    </row>
    <row r="524" spans="1:21" ht="15" customHeight="1" x14ac:dyDescent="0.3">
      <c r="A524">
        <v>523</v>
      </c>
      <c r="B524" t="s">
        <v>1966</v>
      </c>
      <c r="C524" s="12">
        <v>42758</v>
      </c>
      <c r="D524" s="12">
        <v>42760</v>
      </c>
      <c r="E524" t="s">
        <v>371</v>
      </c>
      <c r="F524" t="s">
        <v>1967</v>
      </c>
      <c r="G524" t="s">
        <v>1968</v>
      </c>
      <c r="H524" t="s">
        <v>224</v>
      </c>
      <c r="I524" t="s">
        <v>210</v>
      </c>
      <c r="J524" t="s">
        <v>1065</v>
      </c>
      <c r="K524" t="s">
        <v>421</v>
      </c>
      <c r="L524">
        <v>48234</v>
      </c>
      <c r="M524" t="s">
        <v>288</v>
      </c>
      <c r="N524" t="s">
        <v>1889</v>
      </c>
      <c r="O524" t="s">
        <v>215</v>
      </c>
      <c r="P524" t="s">
        <v>239</v>
      </c>
      <c r="Q524" t="s">
        <v>1890</v>
      </c>
      <c r="R524" s="13">
        <v>210.98</v>
      </c>
      <c r="S524">
        <v>2</v>
      </c>
      <c r="T524" s="14">
        <v>0</v>
      </c>
      <c r="U524" s="13">
        <v>21.097999999999999</v>
      </c>
    </row>
    <row r="525" spans="1:21" ht="15" customHeight="1" x14ac:dyDescent="0.3">
      <c r="A525">
        <v>524</v>
      </c>
      <c r="B525" t="s">
        <v>1969</v>
      </c>
      <c r="C525" s="12">
        <v>42511</v>
      </c>
      <c r="D525" s="12">
        <v>42513</v>
      </c>
      <c r="E525" t="s">
        <v>371</v>
      </c>
      <c r="F525" t="s">
        <v>1126</v>
      </c>
      <c r="G525" t="s">
        <v>1127</v>
      </c>
      <c r="H525" t="s">
        <v>209</v>
      </c>
      <c r="I525" t="s">
        <v>210</v>
      </c>
      <c r="J525" t="s">
        <v>225</v>
      </c>
      <c r="K525" t="s">
        <v>226</v>
      </c>
      <c r="L525">
        <v>90032</v>
      </c>
      <c r="M525" t="s">
        <v>227</v>
      </c>
      <c r="N525" t="s">
        <v>1970</v>
      </c>
      <c r="O525" t="s">
        <v>254</v>
      </c>
      <c r="P525" t="s">
        <v>255</v>
      </c>
      <c r="Q525" t="s">
        <v>1971</v>
      </c>
      <c r="R525" s="13">
        <v>55.176000000000002</v>
      </c>
      <c r="S525">
        <v>3</v>
      </c>
      <c r="T525" s="14">
        <v>0.2</v>
      </c>
      <c r="U525" s="13">
        <v>-12.4146</v>
      </c>
    </row>
    <row r="526" spans="1:21" ht="15" customHeight="1" x14ac:dyDescent="0.3">
      <c r="A526">
        <v>525</v>
      </c>
      <c r="B526" t="s">
        <v>1969</v>
      </c>
      <c r="C526" s="12">
        <v>42511</v>
      </c>
      <c r="D526" s="12">
        <v>42513</v>
      </c>
      <c r="E526" t="s">
        <v>371</v>
      </c>
      <c r="F526" t="s">
        <v>1126</v>
      </c>
      <c r="G526" t="s">
        <v>1127</v>
      </c>
      <c r="H526" t="s">
        <v>209</v>
      </c>
      <c r="I526" t="s">
        <v>210</v>
      </c>
      <c r="J526" t="s">
        <v>225</v>
      </c>
      <c r="K526" t="s">
        <v>226</v>
      </c>
      <c r="L526">
        <v>90032</v>
      </c>
      <c r="M526" t="s">
        <v>227</v>
      </c>
      <c r="N526" t="s">
        <v>1092</v>
      </c>
      <c r="O526" t="s">
        <v>254</v>
      </c>
      <c r="P526" t="s">
        <v>344</v>
      </c>
      <c r="Q526" t="s">
        <v>1972</v>
      </c>
      <c r="R526" s="13">
        <v>66.260000000000005</v>
      </c>
      <c r="S526">
        <v>2</v>
      </c>
      <c r="T526" s="14">
        <v>0</v>
      </c>
      <c r="U526" s="13">
        <v>27.166599999999999</v>
      </c>
    </row>
    <row r="527" spans="1:21" ht="15" customHeight="1" x14ac:dyDescent="0.3">
      <c r="A527">
        <v>526</v>
      </c>
      <c r="B527" t="s">
        <v>1973</v>
      </c>
      <c r="C527" s="12">
        <v>42364</v>
      </c>
      <c r="D527" s="12">
        <v>42371</v>
      </c>
      <c r="E527" t="s">
        <v>233</v>
      </c>
      <c r="F527" t="s">
        <v>1974</v>
      </c>
      <c r="G527" t="s">
        <v>1975</v>
      </c>
      <c r="H527" t="s">
        <v>209</v>
      </c>
      <c r="I527" t="s">
        <v>210</v>
      </c>
      <c r="J527" t="s">
        <v>1667</v>
      </c>
      <c r="K527" t="s">
        <v>1431</v>
      </c>
      <c r="L527">
        <v>1841</v>
      </c>
      <c r="M527" t="s">
        <v>331</v>
      </c>
      <c r="N527" t="s">
        <v>1976</v>
      </c>
      <c r="O527" t="s">
        <v>229</v>
      </c>
      <c r="P527" t="s">
        <v>452</v>
      </c>
      <c r="Q527" t="s">
        <v>746</v>
      </c>
      <c r="R527" s="13">
        <v>22.2</v>
      </c>
      <c r="S527">
        <v>5</v>
      </c>
      <c r="T527" s="14">
        <v>0</v>
      </c>
      <c r="U527" s="13">
        <v>10.433999999999999</v>
      </c>
    </row>
    <row r="528" spans="1:21" ht="15" customHeight="1" x14ac:dyDescent="0.3">
      <c r="A528">
        <v>527</v>
      </c>
      <c r="B528" t="s">
        <v>1977</v>
      </c>
      <c r="C528" s="12">
        <v>43029</v>
      </c>
      <c r="D528" s="12">
        <v>43034</v>
      </c>
      <c r="E528" t="s">
        <v>233</v>
      </c>
      <c r="F528" t="s">
        <v>1978</v>
      </c>
      <c r="G528" t="s">
        <v>1979</v>
      </c>
      <c r="H528" t="s">
        <v>285</v>
      </c>
      <c r="I528" t="s">
        <v>210</v>
      </c>
      <c r="J528" t="s">
        <v>1980</v>
      </c>
      <c r="K528" t="s">
        <v>237</v>
      </c>
      <c r="L528">
        <v>33801</v>
      </c>
      <c r="M528" t="s">
        <v>213</v>
      </c>
      <c r="N528" t="s">
        <v>1981</v>
      </c>
      <c r="O528" t="s">
        <v>215</v>
      </c>
      <c r="P528" t="s">
        <v>219</v>
      </c>
      <c r="Q528" t="s">
        <v>1982</v>
      </c>
      <c r="R528" s="13">
        <v>683.952</v>
      </c>
      <c r="S528">
        <v>3</v>
      </c>
      <c r="T528" s="14">
        <v>0.2</v>
      </c>
      <c r="U528" s="13">
        <v>42.747</v>
      </c>
    </row>
    <row r="529" spans="1:21" ht="15" customHeight="1" x14ac:dyDescent="0.3">
      <c r="A529">
        <v>528</v>
      </c>
      <c r="B529" t="s">
        <v>1977</v>
      </c>
      <c r="C529" s="12">
        <v>43029</v>
      </c>
      <c r="D529" s="12">
        <v>43034</v>
      </c>
      <c r="E529" t="s">
        <v>233</v>
      </c>
      <c r="F529" t="s">
        <v>1978</v>
      </c>
      <c r="G529" t="s">
        <v>1979</v>
      </c>
      <c r="H529" t="s">
        <v>285</v>
      </c>
      <c r="I529" t="s">
        <v>210</v>
      </c>
      <c r="J529" t="s">
        <v>1980</v>
      </c>
      <c r="K529" t="s">
        <v>237</v>
      </c>
      <c r="L529">
        <v>33801</v>
      </c>
      <c r="M529" t="s">
        <v>213</v>
      </c>
      <c r="N529" t="s">
        <v>1324</v>
      </c>
      <c r="O529" t="s">
        <v>215</v>
      </c>
      <c r="P529" t="s">
        <v>248</v>
      </c>
      <c r="Q529" t="s">
        <v>1325</v>
      </c>
      <c r="R529" s="13">
        <v>45.695999999999998</v>
      </c>
      <c r="S529">
        <v>3</v>
      </c>
      <c r="T529" s="14">
        <v>0.2</v>
      </c>
      <c r="U529" s="13">
        <v>5.1407999999999898</v>
      </c>
    </row>
    <row r="530" spans="1:21" ht="15" customHeight="1" x14ac:dyDescent="0.3">
      <c r="A530">
        <v>529</v>
      </c>
      <c r="B530" t="s">
        <v>1983</v>
      </c>
      <c r="C530" s="12">
        <v>42250</v>
      </c>
      <c r="D530" s="12">
        <v>42254</v>
      </c>
      <c r="E530" t="s">
        <v>233</v>
      </c>
      <c r="F530" t="s">
        <v>1984</v>
      </c>
      <c r="G530" t="s">
        <v>1985</v>
      </c>
      <c r="H530" t="s">
        <v>209</v>
      </c>
      <c r="I530" t="s">
        <v>210</v>
      </c>
      <c r="J530" t="s">
        <v>329</v>
      </c>
      <c r="K530" t="s">
        <v>330</v>
      </c>
      <c r="L530">
        <v>19134</v>
      </c>
      <c r="M530" t="s">
        <v>331</v>
      </c>
      <c r="N530" t="s">
        <v>1986</v>
      </c>
      <c r="O530" t="s">
        <v>229</v>
      </c>
      <c r="P530" t="s">
        <v>242</v>
      </c>
      <c r="Q530" t="s">
        <v>1987</v>
      </c>
      <c r="R530" s="13">
        <v>36.335999999999999</v>
      </c>
      <c r="S530">
        <v>3</v>
      </c>
      <c r="T530" s="14">
        <v>0.2</v>
      </c>
      <c r="U530" s="13">
        <v>-7.2671999999999999</v>
      </c>
    </row>
    <row r="531" spans="1:21" ht="15" customHeight="1" x14ac:dyDescent="0.3">
      <c r="A531">
        <v>530</v>
      </c>
      <c r="B531" t="s">
        <v>1983</v>
      </c>
      <c r="C531" s="12">
        <v>42250</v>
      </c>
      <c r="D531" s="12">
        <v>42254</v>
      </c>
      <c r="E531" t="s">
        <v>233</v>
      </c>
      <c r="F531" t="s">
        <v>1984</v>
      </c>
      <c r="G531" t="s">
        <v>1985</v>
      </c>
      <c r="H531" t="s">
        <v>209</v>
      </c>
      <c r="I531" t="s">
        <v>210</v>
      </c>
      <c r="J531" t="s">
        <v>329</v>
      </c>
      <c r="K531" t="s">
        <v>330</v>
      </c>
      <c r="L531">
        <v>19134</v>
      </c>
      <c r="M531" t="s">
        <v>331</v>
      </c>
      <c r="N531" t="s">
        <v>1988</v>
      </c>
      <c r="O531" t="s">
        <v>229</v>
      </c>
      <c r="P531" t="s">
        <v>762</v>
      </c>
      <c r="Q531" t="s">
        <v>1989</v>
      </c>
      <c r="R531" s="13">
        <v>666.24800000000005</v>
      </c>
      <c r="S531">
        <v>1</v>
      </c>
      <c r="T531" s="14">
        <v>0.2</v>
      </c>
      <c r="U531" s="13">
        <v>-149.9058</v>
      </c>
    </row>
    <row r="532" spans="1:21" ht="15" customHeight="1" x14ac:dyDescent="0.3">
      <c r="A532">
        <v>531</v>
      </c>
      <c r="B532" t="s">
        <v>1983</v>
      </c>
      <c r="C532" s="12">
        <v>42250</v>
      </c>
      <c r="D532" s="12">
        <v>42254</v>
      </c>
      <c r="E532" t="s">
        <v>233</v>
      </c>
      <c r="F532" t="s">
        <v>1984</v>
      </c>
      <c r="G532" t="s">
        <v>1985</v>
      </c>
      <c r="H532" t="s">
        <v>209</v>
      </c>
      <c r="I532" t="s">
        <v>210</v>
      </c>
      <c r="J532" t="s">
        <v>329</v>
      </c>
      <c r="K532" t="s">
        <v>330</v>
      </c>
      <c r="L532">
        <v>19134</v>
      </c>
      <c r="M532" t="s">
        <v>331</v>
      </c>
      <c r="N532" t="s">
        <v>1990</v>
      </c>
      <c r="O532" t="s">
        <v>229</v>
      </c>
      <c r="P532" t="s">
        <v>356</v>
      </c>
      <c r="Q532" t="s">
        <v>1991</v>
      </c>
      <c r="R532" s="13">
        <v>52.512</v>
      </c>
      <c r="S532">
        <v>6</v>
      </c>
      <c r="T532" s="14">
        <v>0.2</v>
      </c>
      <c r="U532" s="13">
        <v>19.692</v>
      </c>
    </row>
    <row r="533" spans="1:21" ht="15" customHeight="1" x14ac:dyDescent="0.3">
      <c r="A533">
        <v>532</v>
      </c>
      <c r="B533" t="s">
        <v>1992</v>
      </c>
      <c r="C533" s="12">
        <v>42315</v>
      </c>
      <c r="D533" s="12">
        <v>42317</v>
      </c>
      <c r="E533" t="s">
        <v>206</v>
      </c>
      <c r="F533" t="s">
        <v>1993</v>
      </c>
      <c r="G533" t="s">
        <v>1994</v>
      </c>
      <c r="H533" t="s">
        <v>224</v>
      </c>
      <c r="I533" t="s">
        <v>210</v>
      </c>
      <c r="J533" t="s">
        <v>225</v>
      </c>
      <c r="K533" t="s">
        <v>226</v>
      </c>
      <c r="L533">
        <v>90036</v>
      </c>
      <c r="M533" t="s">
        <v>227</v>
      </c>
      <c r="N533" t="s">
        <v>1995</v>
      </c>
      <c r="O533" t="s">
        <v>215</v>
      </c>
      <c r="P533" t="s">
        <v>219</v>
      </c>
      <c r="Q533" t="s">
        <v>1996</v>
      </c>
      <c r="R533" s="13">
        <v>190.72</v>
      </c>
      <c r="S533">
        <v>1</v>
      </c>
      <c r="T533" s="14">
        <v>0.2</v>
      </c>
      <c r="U533" s="13">
        <v>11.92</v>
      </c>
    </row>
    <row r="534" spans="1:21" ht="15" customHeight="1" x14ac:dyDescent="0.3">
      <c r="A534">
        <v>533</v>
      </c>
      <c r="B534" t="s">
        <v>1997</v>
      </c>
      <c r="C534" s="12">
        <v>42985</v>
      </c>
      <c r="D534" s="12">
        <v>42989</v>
      </c>
      <c r="E534" t="s">
        <v>233</v>
      </c>
      <c r="F534" t="s">
        <v>1998</v>
      </c>
      <c r="G534" t="s">
        <v>1999</v>
      </c>
      <c r="H534" t="s">
        <v>209</v>
      </c>
      <c r="I534" t="s">
        <v>210</v>
      </c>
      <c r="J534" t="s">
        <v>225</v>
      </c>
      <c r="K534" t="s">
        <v>226</v>
      </c>
      <c r="L534">
        <v>90032</v>
      </c>
      <c r="M534" t="s">
        <v>227</v>
      </c>
      <c r="N534" t="s">
        <v>2000</v>
      </c>
      <c r="O534" t="s">
        <v>215</v>
      </c>
      <c r="P534" t="s">
        <v>248</v>
      </c>
      <c r="Q534" t="s">
        <v>2001</v>
      </c>
      <c r="R534" s="13">
        <v>47.94</v>
      </c>
      <c r="S534">
        <v>3</v>
      </c>
      <c r="T534" s="14">
        <v>0</v>
      </c>
      <c r="U534" s="13">
        <v>2.3969999999999998</v>
      </c>
    </row>
    <row r="535" spans="1:21" ht="15" customHeight="1" x14ac:dyDescent="0.3">
      <c r="A535">
        <v>534</v>
      </c>
      <c r="B535" t="s">
        <v>2002</v>
      </c>
      <c r="C535" s="12">
        <v>42519</v>
      </c>
      <c r="D535" s="12">
        <v>42522</v>
      </c>
      <c r="E535" t="s">
        <v>206</v>
      </c>
      <c r="F535" t="s">
        <v>2003</v>
      </c>
      <c r="G535" t="s">
        <v>2004</v>
      </c>
      <c r="H535" t="s">
        <v>209</v>
      </c>
      <c r="I535" t="s">
        <v>210</v>
      </c>
      <c r="J535" t="s">
        <v>2005</v>
      </c>
      <c r="K535" t="s">
        <v>541</v>
      </c>
      <c r="L535">
        <v>36116</v>
      </c>
      <c r="M535" t="s">
        <v>213</v>
      </c>
      <c r="N535" t="s">
        <v>2006</v>
      </c>
      <c r="O535" t="s">
        <v>254</v>
      </c>
      <c r="P535" t="s">
        <v>255</v>
      </c>
      <c r="Q535" t="s">
        <v>2007</v>
      </c>
      <c r="R535" s="13">
        <v>979.95</v>
      </c>
      <c r="S535">
        <v>5</v>
      </c>
      <c r="T535" s="14">
        <v>0</v>
      </c>
      <c r="U535" s="13">
        <v>274.38600000000002</v>
      </c>
    </row>
    <row r="536" spans="1:21" ht="15" customHeight="1" x14ac:dyDescent="0.3">
      <c r="A536">
        <v>535</v>
      </c>
      <c r="B536" t="s">
        <v>2002</v>
      </c>
      <c r="C536" s="12">
        <v>42519</v>
      </c>
      <c r="D536" s="12">
        <v>42522</v>
      </c>
      <c r="E536" t="s">
        <v>206</v>
      </c>
      <c r="F536" t="s">
        <v>2003</v>
      </c>
      <c r="G536" t="s">
        <v>2004</v>
      </c>
      <c r="H536" t="s">
        <v>209</v>
      </c>
      <c r="I536" t="s">
        <v>210</v>
      </c>
      <c r="J536" t="s">
        <v>2005</v>
      </c>
      <c r="K536" t="s">
        <v>541</v>
      </c>
      <c r="L536">
        <v>36116</v>
      </c>
      <c r="M536" t="s">
        <v>213</v>
      </c>
      <c r="N536" t="s">
        <v>1208</v>
      </c>
      <c r="O536" t="s">
        <v>229</v>
      </c>
      <c r="P536" t="s">
        <v>258</v>
      </c>
      <c r="Q536" t="s">
        <v>1209</v>
      </c>
      <c r="R536" s="13">
        <v>22.75</v>
      </c>
      <c r="S536">
        <v>5</v>
      </c>
      <c r="T536" s="14">
        <v>0</v>
      </c>
      <c r="U536" s="13">
        <v>11.375</v>
      </c>
    </row>
    <row r="537" spans="1:21" ht="15" customHeight="1" x14ac:dyDescent="0.3">
      <c r="A537">
        <v>536</v>
      </c>
      <c r="B537" t="s">
        <v>2008</v>
      </c>
      <c r="C537" s="12">
        <v>42561</v>
      </c>
      <c r="D537" s="12">
        <v>42567</v>
      </c>
      <c r="E537" t="s">
        <v>233</v>
      </c>
      <c r="F537" t="s">
        <v>2009</v>
      </c>
      <c r="G537" t="s">
        <v>2010</v>
      </c>
      <c r="H537" t="s">
        <v>209</v>
      </c>
      <c r="I537" t="s">
        <v>210</v>
      </c>
      <c r="J537" t="s">
        <v>2011</v>
      </c>
      <c r="K537" t="s">
        <v>493</v>
      </c>
      <c r="L537">
        <v>85204</v>
      </c>
      <c r="M537" t="s">
        <v>227</v>
      </c>
      <c r="N537" t="s">
        <v>2012</v>
      </c>
      <c r="O537" t="s">
        <v>229</v>
      </c>
      <c r="P537" t="s">
        <v>242</v>
      </c>
      <c r="Q537" t="s">
        <v>2013</v>
      </c>
      <c r="R537" s="13">
        <v>16.768000000000001</v>
      </c>
      <c r="S537">
        <v>2</v>
      </c>
      <c r="T537" s="14">
        <v>0.2</v>
      </c>
      <c r="U537" s="13">
        <v>1.4672000000000001</v>
      </c>
    </row>
    <row r="538" spans="1:21" ht="15" customHeight="1" x14ac:dyDescent="0.3">
      <c r="A538">
        <v>537</v>
      </c>
      <c r="B538" t="s">
        <v>2014</v>
      </c>
      <c r="C538" s="12">
        <v>42981</v>
      </c>
      <c r="D538" s="12">
        <v>42986</v>
      </c>
      <c r="E538" t="s">
        <v>206</v>
      </c>
      <c r="F538" t="s">
        <v>2015</v>
      </c>
      <c r="G538" t="s">
        <v>2016</v>
      </c>
      <c r="H538" t="s">
        <v>209</v>
      </c>
      <c r="I538" t="s">
        <v>210</v>
      </c>
      <c r="J538" t="s">
        <v>486</v>
      </c>
      <c r="K538" t="s">
        <v>394</v>
      </c>
      <c r="L538">
        <v>60653</v>
      </c>
      <c r="M538" t="s">
        <v>288</v>
      </c>
      <c r="N538" t="s">
        <v>2017</v>
      </c>
      <c r="O538" t="s">
        <v>229</v>
      </c>
      <c r="P538" t="s">
        <v>258</v>
      </c>
      <c r="Q538" t="s">
        <v>2018</v>
      </c>
      <c r="R538" s="13">
        <v>42.616</v>
      </c>
      <c r="S538">
        <v>7</v>
      </c>
      <c r="T538" s="14">
        <v>0.8</v>
      </c>
      <c r="U538" s="13">
        <v>-68.185599999999994</v>
      </c>
    </row>
    <row r="539" spans="1:21" ht="15" customHeight="1" x14ac:dyDescent="0.3">
      <c r="A539">
        <v>538</v>
      </c>
      <c r="B539" t="s">
        <v>2019</v>
      </c>
      <c r="C539" s="12">
        <v>42341</v>
      </c>
      <c r="D539" s="12">
        <v>42346</v>
      </c>
      <c r="E539" t="s">
        <v>233</v>
      </c>
      <c r="F539" t="s">
        <v>947</v>
      </c>
      <c r="G539" t="s">
        <v>948</v>
      </c>
      <c r="H539" t="s">
        <v>285</v>
      </c>
      <c r="I539" t="s">
        <v>210</v>
      </c>
      <c r="J539" t="s">
        <v>449</v>
      </c>
      <c r="K539" t="s">
        <v>450</v>
      </c>
      <c r="L539">
        <v>10009</v>
      </c>
      <c r="M539" t="s">
        <v>331</v>
      </c>
      <c r="N539" t="s">
        <v>2020</v>
      </c>
      <c r="O539" t="s">
        <v>229</v>
      </c>
      <c r="P539" t="s">
        <v>258</v>
      </c>
      <c r="Q539" t="s">
        <v>2021</v>
      </c>
      <c r="R539" s="13">
        <v>10.752000000000001</v>
      </c>
      <c r="S539">
        <v>4</v>
      </c>
      <c r="T539" s="14">
        <v>0.2</v>
      </c>
      <c r="U539" s="13">
        <v>3.36</v>
      </c>
    </row>
    <row r="540" spans="1:21" ht="15" customHeight="1" x14ac:dyDescent="0.3">
      <c r="A540">
        <v>539</v>
      </c>
      <c r="B540" t="s">
        <v>2022</v>
      </c>
      <c r="C540" s="12">
        <v>42345</v>
      </c>
      <c r="D540" s="12">
        <v>42349</v>
      </c>
      <c r="E540" t="s">
        <v>233</v>
      </c>
      <c r="F540" t="s">
        <v>2023</v>
      </c>
      <c r="G540" t="s">
        <v>2024</v>
      </c>
      <c r="H540" t="s">
        <v>209</v>
      </c>
      <c r="I540" t="s">
        <v>210</v>
      </c>
      <c r="J540" t="s">
        <v>211</v>
      </c>
      <c r="K540" t="s">
        <v>212</v>
      </c>
      <c r="L540">
        <v>42420</v>
      </c>
      <c r="M540" t="s">
        <v>213</v>
      </c>
      <c r="N540" t="s">
        <v>2025</v>
      </c>
      <c r="O540" t="s">
        <v>229</v>
      </c>
      <c r="P540" t="s">
        <v>261</v>
      </c>
      <c r="Q540" t="s">
        <v>2026</v>
      </c>
      <c r="R540" s="13">
        <v>152.94</v>
      </c>
      <c r="S540">
        <v>3</v>
      </c>
      <c r="T540" s="14">
        <v>0</v>
      </c>
      <c r="U540" s="13">
        <v>41.293799999999997</v>
      </c>
    </row>
    <row r="541" spans="1:21" ht="15" customHeight="1" x14ac:dyDescent="0.3">
      <c r="A541">
        <v>540</v>
      </c>
      <c r="B541" t="s">
        <v>2022</v>
      </c>
      <c r="C541" s="12">
        <v>42345</v>
      </c>
      <c r="D541" s="12">
        <v>42349</v>
      </c>
      <c r="E541" t="s">
        <v>233</v>
      </c>
      <c r="F541" t="s">
        <v>2023</v>
      </c>
      <c r="G541" t="s">
        <v>2024</v>
      </c>
      <c r="H541" t="s">
        <v>209</v>
      </c>
      <c r="I541" t="s">
        <v>210</v>
      </c>
      <c r="J541" t="s">
        <v>211</v>
      </c>
      <c r="K541" t="s">
        <v>212</v>
      </c>
      <c r="L541">
        <v>42420</v>
      </c>
      <c r="M541" t="s">
        <v>213</v>
      </c>
      <c r="N541" t="s">
        <v>2027</v>
      </c>
      <c r="O541" t="s">
        <v>215</v>
      </c>
      <c r="P541" t="s">
        <v>219</v>
      </c>
      <c r="Q541" t="s">
        <v>2028</v>
      </c>
      <c r="R541" s="13">
        <v>283.92</v>
      </c>
      <c r="S541">
        <v>4</v>
      </c>
      <c r="T541" s="14">
        <v>0</v>
      </c>
      <c r="U541" s="13">
        <v>70.98</v>
      </c>
    </row>
    <row r="542" spans="1:21" ht="15" customHeight="1" x14ac:dyDescent="0.3">
      <c r="A542">
        <v>541</v>
      </c>
      <c r="B542" t="s">
        <v>2029</v>
      </c>
      <c r="C542" s="12">
        <v>41671</v>
      </c>
      <c r="D542" s="12">
        <v>41673</v>
      </c>
      <c r="E542" t="s">
        <v>371</v>
      </c>
      <c r="F542" t="s">
        <v>2030</v>
      </c>
      <c r="G542" t="s">
        <v>2031</v>
      </c>
      <c r="H542" t="s">
        <v>209</v>
      </c>
      <c r="I542" t="s">
        <v>210</v>
      </c>
      <c r="J542" t="s">
        <v>2032</v>
      </c>
      <c r="K542" t="s">
        <v>297</v>
      </c>
      <c r="L542">
        <v>54302</v>
      </c>
      <c r="M542" t="s">
        <v>288</v>
      </c>
      <c r="N542" t="s">
        <v>2033</v>
      </c>
      <c r="O542" t="s">
        <v>254</v>
      </c>
      <c r="P542" t="s">
        <v>344</v>
      </c>
      <c r="Q542" t="s">
        <v>2034</v>
      </c>
      <c r="R542" s="13">
        <v>468.9</v>
      </c>
      <c r="S542">
        <v>6</v>
      </c>
      <c r="T542" s="14">
        <v>0</v>
      </c>
      <c r="U542" s="13">
        <v>206.316</v>
      </c>
    </row>
    <row r="543" spans="1:21" ht="15" customHeight="1" x14ac:dyDescent="0.3">
      <c r="A543">
        <v>542</v>
      </c>
      <c r="B543" t="s">
        <v>2035</v>
      </c>
      <c r="C543" s="12">
        <v>42565</v>
      </c>
      <c r="D543" s="12">
        <v>42568</v>
      </c>
      <c r="E543" t="s">
        <v>371</v>
      </c>
      <c r="F543" t="s">
        <v>403</v>
      </c>
      <c r="G543" t="s">
        <v>404</v>
      </c>
      <c r="H543" t="s">
        <v>224</v>
      </c>
      <c r="I543" t="s">
        <v>210</v>
      </c>
      <c r="J543" t="s">
        <v>1497</v>
      </c>
      <c r="K543" t="s">
        <v>493</v>
      </c>
      <c r="L543">
        <v>85705</v>
      </c>
      <c r="M543" t="s">
        <v>227</v>
      </c>
      <c r="N543" t="s">
        <v>2036</v>
      </c>
      <c r="O543" t="s">
        <v>254</v>
      </c>
      <c r="P543" t="s">
        <v>255</v>
      </c>
      <c r="Q543" t="s">
        <v>2037</v>
      </c>
      <c r="R543" s="13">
        <v>380.86399999999998</v>
      </c>
      <c r="S543">
        <v>8</v>
      </c>
      <c r="T543" s="14">
        <v>0.2</v>
      </c>
      <c r="U543" s="13">
        <v>38.086399999999998</v>
      </c>
    </row>
    <row r="544" spans="1:21" ht="15" customHeight="1" x14ac:dyDescent="0.3">
      <c r="A544">
        <v>543</v>
      </c>
      <c r="B544" t="s">
        <v>2038</v>
      </c>
      <c r="C544" s="12">
        <v>42356</v>
      </c>
      <c r="D544" s="12">
        <v>42361</v>
      </c>
      <c r="E544" t="s">
        <v>233</v>
      </c>
      <c r="F544" t="s">
        <v>2039</v>
      </c>
      <c r="G544" t="s">
        <v>2040</v>
      </c>
      <c r="H544" t="s">
        <v>209</v>
      </c>
      <c r="I544" t="s">
        <v>210</v>
      </c>
      <c r="J544" t="s">
        <v>501</v>
      </c>
      <c r="K544" t="s">
        <v>681</v>
      </c>
      <c r="L544">
        <v>45503</v>
      </c>
      <c r="M544" t="s">
        <v>331</v>
      </c>
      <c r="N544" t="s">
        <v>1877</v>
      </c>
      <c r="O544" t="s">
        <v>229</v>
      </c>
      <c r="P544" t="s">
        <v>242</v>
      </c>
      <c r="Q544" t="s">
        <v>1878</v>
      </c>
      <c r="R544" s="13">
        <v>646.77599999999995</v>
      </c>
      <c r="S544">
        <v>9</v>
      </c>
      <c r="T544" s="14">
        <v>0.2</v>
      </c>
      <c r="U544" s="13">
        <v>-145.52459999999999</v>
      </c>
    </row>
    <row r="545" spans="1:21" ht="15" customHeight="1" x14ac:dyDescent="0.3">
      <c r="A545">
        <v>544</v>
      </c>
      <c r="B545" t="s">
        <v>2041</v>
      </c>
      <c r="C545" s="12">
        <v>41770</v>
      </c>
      <c r="D545" s="12">
        <v>41775</v>
      </c>
      <c r="E545" t="s">
        <v>233</v>
      </c>
      <c r="F545" t="s">
        <v>570</v>
      </c>
      <c r="G545" t="s">
        <v>571</v>
      </c>
      <c r="H545" t="s">
        <v>209</v>
      </c>
      <c r="I545" t="s">
        <v>210</v>
      </c>
      <c r="J545" t="s">
        <v>286</v>
      </c>
      <c r="K545" t="s">
        <v>287</v>
      </c>
      <c r="L545">
        <v>76106</v>
      </c>
      <c r="M545" t="s">
        <v>288</v>
      </c>
      <c r="N545" t="s">
        <v>2042</v>
      </c>
      <c r="O545" t="s">
        <v>254</v>
      </c>
      <c r="P545" t="s">
        <v>344</v>
      </c>
      <c r="Q545" t="s">
        <v>2043</v>
      </c>
      <c r="R545" s="13">
        <v>58.112000000000002</v>
      </c>
      <c r="S545">
        <v>2</v>
      </c>
      <c r="T545" s="14">
        <v>0.2</v>
      </c>
      <c r="U545" s="13">
        <v>7.2639999999999896</v>
      </c>
    </row>
    <row r="546" spans="1:21" ht="15" customHeight="1" x14ac:dyDescent="0.3">
      <c r="A546">
        <v>545</v>
      </c>
      <c r="B546" t="s">
        <v>2041</v>
      </c>
      <c r="C546" s="12">
        <v>41770</v>
      </c>
      <c r="D546" s="12">
        <v>41775</v>
      </c>
      <c r="E546" t="s">
        <v>233</v>
      </c>
      <c r="F546" t="s">
        <v>570</v>
      </c>
      <c r="G546" t="s">
        <v>571</v>
      </c>
      <c r="H546" t="s">
        <v>209</v>
      </c>
      <c r="I546" t="s">
        <v>210</v>
      </c>
      <c r="J546" t="s">
        <v>286</v>
      </c>
      <c r="K546" t="s">
        <v>287</v>
      </c>
      <c r="L546">
        <v>76106</v>
      </c>
      <c r="M546" t="s">
        <v>288</v>
      </c>
      <c r="N546" t="s">
        <v>2044</v>
      </c>
      <c r="O546" t="s">
        <v>254</v>
      </c>
      <c r="P546" t="s">
        <v>255</v>
      </c>
      <c r="Q546" t="s">
        <v>2045</v>
      </c>
      <c r="R546" s="13">
        <v>100.792</v>
      </c>
      <c r="S546">
        <v>1</v>
      </c>
      <c r="T546" s="14">
        <v>0.2</v>
      </c>
      <c r="U546" s="13">
        <v>6.2995000000000001</v>
      </c>
    </row>
    <row r="547" spans="1:21" ht="15" customHeight="1" x14ac:dyDescent="0.3">
      <c r="A547">
        <v>546</v>
      </c>
      <c r="B547" t="s">
        <v>2041</v>
      </c>
      <c r="C547" s="12">
        <v>41770</v>
      </c>
      <c r="D547" s="12">
        <v>41775</v>
      </c>
      <c r="E547" t="s">
        <v>233</v>
      </c>
      <c r="F547" t="s">
        <v>570</v>
      </c>
      <c r="G547" t="s">
        <v>571</v>
      </c>
      <c r="H547" t="s">
        <v>209</v>
      </c>
      <c r="I547" t="s">
        <v>210</v>
      </c>
      <c r="J547" t="s">
        <v>286</v>
      </c>
      <c r="K547" t="s">
        <v>287</v>
      </c>
      <c r="L547">
        <v>76106</v>
      </c>
      <c r="M547" t="s">
        <v>288</v>
      </c>
      <c r="N547" t="s">
        <v>2046</v>
      </c>
      <c r="O547" t="s">
        <v>215</v>
      </c>
      <c r="P547" t="s">
        <v>248</v>
      </c>
      <c r="Q547" t="s">
        <v>2047</v>
      </c>
      <c r="R547" s="13">
        <v>66.111999999999995</v>
      </c>
      <c r="S547">
        <v>4</v>
      </c>
      <c r="T547" s="14">
        <v>0.6</v>
      </c>
      <c r="U547" s="13">
        <v>-84.2928</v>
      </c>
    </row>
    <row r="548" spans="1:21" ht="15" customHeight="1" x14ac:dyDescent="0.3">
      <c r="A548">
        <v>547</v>
      </c>
      <c r="B548" t="s">
        <v>2048</v>
      </c>
      <c r="C548" s="12">
        <v>43058</v>
      </c>
      <c r="D548" s="12">
        <v>43061</v>
      </c>
      <c r="E548" t="s">
        <v>371</v>
      </c>
      <c r="F548" t="s">
        <v>2049</v>
      </c>
      <c r="G548" t="s">
        <v>2050</v>
      </c>
      <c r="H548" t="s">
        <v>285</v>
      </c>
      <c r="I548" t="s">
        <v>210</v>
      </c>
      <c r="J548" t="s">
        <v>449</v>
      </c>
      <c r="K548" t="s">
        <v>450</v>
      </c>
      <c r="L548">
        <v>10035</v>
      </c>
      <c r="M548" t="s">
        <v>331</v>
      </c>
      <c r="N548" t="s">
        <v>2051</v>
      </c>
      <c r="O548" t="s">
        <v>229</v>
      </c>
      <c r="P548" t="s">
        <v>258</v>
      </c>
      <c r="Q548" t="s">
        <v>2052</v>
      </c>
      <c r="R548" s="13">
        <v>41.28</v>
      </c>
      <c r="S548">
        <v>6</v>
      </c>
      <c r="T548" s="14">
        <v>0.2</v>
      </c>
      <c r="U548" s="13">
        <v>13.932</v>
      </c>
    </row>
    <row r="549" spans="1:21" ht="15" customHeight="1" x14ac:dyDescent="0.3">
      <c r="A549">
        <v>548</v>
      </c>
      <c r="B549" t="s">
        <v>2048</v>
      </c>
      <c r="C549" s="12">
        <v>43058</v>
      </c>
      <c r="D549" s="12">
        <v>43061</v>
      </c>
      <c r="E549" t="s">
        <v>371</v>
      </c>
      <c r="F549" t="s">
        <v>2049</v>
      </c>
      <c r="G549" t="s">
        <v>2050</v>
      </c>
      <c r="H549" t="s">
        <v>285</v>
      </c>
      <c r="I549" t="s">
        <v>210</v>
      </c>
      <c r="J549" t="s">
        <v>449</v>
      </c>
      <c r="K549" t="s">
        <v>450</v>
      </c>
      <c r="L549">
        <v>10035</v>
      </c>
      <c r="M549" t="s">
        <v>331</v>
      </c>
      <c r="N549" t="s">
        <v>2053</v>
      </c>
      <c r="O549" t="s">
        <v>229</v>
      </c>
      <c r="P549" t="s">
        <v>273</v>
      </c>
      <c r="Q549" t="s">
        <v>2054</v>
      </c>
      <c r="R549" s="13">
        <v>13.36</v>
      </c>
      <c r="S549">
        <v>2</v>
      </c>
      <c r="T549" s="14">
        <v>0</v>
      </c>
      <c r="U549" s="13">
        <v>6.4127999999999998</v>
      </c>
    </row>
    <row r="550" spans="1:21" ht="15" customHeight="1" x14ac:dyDescent="0.3">
      <c r="A550">
        <v>549</v>
      </c>
      <c r="B550" t="s">
        <v>2055</v>
      </c>
      <c r="C550" s="12">
        <v>42323</v>
      </c>
      <c r="D550" s="12">
        <v>42325</v>
      </c>
      <c r="E550" t="s">
        <v>206</v>
      </c>
      <c r="F550" t="s">
        <v>1545</v>
      </c>
      <c r="G550" t="s">
        <v>1546</v>
      </c>
      <c r="H550" t="s">
        <v>224</v>
      </c>
      <c r="I550" t="s">
        <v>210</v>
      </c>
      <c r="J550" t="s">
        <v>486</v>
      </c>
      <c r="K550" t="s">
        <v>394</v>
      </c>
      <c r="L550">
        <v>60653</v>
      </c>
      <c r="M550" t="s">
        <v>288</v>
      </c>
      <c r="N550" t="s">
        <v>460</v>
      </c>
      <c r="O550" t="s">
        <v>229</v>
      </c>
      <c r="P550" t="s">
        <v>242</v>
      </c>
      <c r="Q550" t="s">
        <v>461</v>
      </c>
      <c r="R550" s="13">
        <v>250.27199999999999</v>
      </c>
      <c r="S550">
        <v>9</v>
      </c>
      <c r="T550" s="14">
        <v>0.2</v>
      </c>
      <c r="U550" s="13">
        <v>15.641999999999999</v>
      </c>
    </row>
    <row r="551" spans="1:21" ht="15" customHeight="1" x14ac:dyDescent="0.3">
      <c r="A551">
        <v>550</v>
      </c>
      <c r="B551" t="s">
        <v>2055</v>
      </c>
      <c r="C551" s="12">
        <v>42323</v>
      </c>
      <c r="D551" s="12">
        <v>42325</v>
      </c>
      <c r="E551" t="s">
        <v>206</v>
      </c>
      <c r="F551" t="s">
        <v>1545</v>
      </c>
      <c r="G551" t="s">
        <v>1546</v>
      </c>
      <c r="H551" t="s">
        <v>224</v>
      </c>
      <c r="I551" t="s">
        <v>210</v>
      </c>
      <c r="J551" t="s">
        <v>486</v>
      </c>
      <c r="K551" t="s">
        <v>394</v>
      </c>
      <c r="L551">
        <v>60653</v>
      </c>
      <c r="M551" t="s">
        <v>288</v>
      </c>
      <c r="N551" t="s">
        <v>604</v>
      </c>
      <c r="O551" t="s">
        <v>229</v>
      </c>
      <c r="P551" t="s">
        <v>258</v>
      </c>
      <c r="Q551" t="s">
        <v>605</v>
      </c>
      <c r="R551" s="13">
        <v>11.364000000000001</v>
      </c>
      <c r="S551">
        <v>3</v>
      </c>
      <c r="T551" s="14">
        <v>0.8</v>
      </c>
      <c r="U551" s="13">
        <v>-17.045999999999999</v>
      </c>
    </row>
    <row r="552" spans="1:21" ht="15" customHeight="1" x14ac:dyDescent="0.3">
      <c r="A552">
        <v>551</v>
      </c>
      <c r="B552" t="s">
        <v>2055</v>
      </c>
      <c r="C552" s="12">
        <v>42323</v>
      </c>
      <c r="D552" s="12">
        <v>42325</v>
      </c>
      <c r="E552" t="s">
        <v>206</v>
      </c>
      <c r="F552" t="s">
        <v>1545</v>
      </c>
      <c r="G552" t="s">
        <v>1546</v>
      </c>
      <c r="H552" t="s">
        <v>224</v>
      </c>
      <c r="I552" t="s">
        <v>210</v>
      </c>
      <c r="J552" t="s">
        <v>486</v>
      </c>
      <c r="K552" t="s">
        <v>394</v>
      </c>
      <c r="L552">
        <v>60653</v>
      </c>
      <c r="M552" t="s">
        <v>288</v>
      </c>
      <c r="N552" t="s">
        <v>2056</v>
      </c>
      <c r="O552" t="s">
        <v>229</v>
      </c>
      <c r="P552" t="s">
        <v>762</v>
      </c>
      <c r="Q552" t="s">
        <v>1483</v>
      </c>
      <c r="R552" s="13">
        <v>8.7200000000000006</v>
      </c>
      <c r="S552">
        <v>5</v>
      </c>
      <c r="T552" s="14">
        <v>0.2</v>
      </c>
      <c r="U552" s="13">
        <v>-1.744</v>
      </c>
    </row>
    <row r="553" spans="1:21" ht="15" customHeight="1" x14ac:dyDescent="0.3">
      <c r="A553">
        <v>552</v>
      </c>
      <c r="B553" t="s">
        <v>2057</v>
      </c>
      <c r="C553" s="12">
        <v>42475</v>
      </c>
      <c r="D553" s="12">
        <v>42477</v>
      </c>
      <c r="E553" t="s">
        <v>206</v>
      </c>
      <c r="F553" t="s">
        <v>2058</v>
      </c>
      <c r="G553" t="s">
        <v>2059</v>
      </c>
      <c r="H553" t="s">
        <v>209</v>
      </c>
      <c r="I553" t="s">
        <v>210</v>
      </c>
      <c r="J553" t="s">
        <v>310</v>
      </c>
      <c r="K553" t="s">
        <v>226</v>
      </c>
      <c r="L553">
        <v>94110</v>
      </c>
      <c r="M553" t="s">
        <v>227</v>
      </c>
      <c r="N553" t="s">
        <v>2060</v>
      </c>
      <c r="O553" t="s">
        <v>215</v>
      </c>
      <c r="P553" t="s">
        <v>219</v>
      </c>
      <c r="Q553" t="s">
        <v>2061</v>
      </c>
      <c r="R553" s="13">
        <v>1121.568</v>
      </c>
      <c r="S553">
        <v>2</v>
      </c>
      <c r="T553" s="14">
        <v>0.2</v>
      </c>
      <c r="U553" s="13">
        <v>0</v>
      </c>
    </row>
    <row r="554" spans="1:21" ht="15" customHeight="1" x14ac:dyDescent="0.3">
      <c r="A554">
        <v>553</v>
      </c>
      <c r="B554" t="s">
        <v>2062</v>
      </c>
      <c r="C554" s="12">
        <v>42989</v>
      </c>
      <c r="D554" s="12">
        <v>42990</v>
      </c>
      <c r="E554" t="s">
        <v>371</v>
      </c>
      <c r="F554" t="s">
        <v>678</v>
      </c>
      <c r="G554" t="s">
        <v>679</v>
      </c>
      <c r="H554" t="s">
        <v>209</v>
      </c>
      <c r="I554" t="s">
        <v>210</v>
      </c>
      <c r="J554" t="s">
        <v>1709</v>
      </c>
      <c r="K554" t="s">
        <v>237</v>
      </c>
      <c r="L554">
        <v>32216</v>
      </c>
      <c r="M554" t="s">
        <v>213</v>
      </c>
      <c r="N554" t="s">
        <v>2063</v>
      </c>
      <c r="O554" t="s">
        <v>215</v>
      </c>
      <c r="P554" t="s">
        <v>248</v>
      </c>
      <c r="Q554" t="s">
        <v>2064</v>
      </c>
      <c r="R554" s="13">
        <v>34.503999999999998</v>
      </c>
      <c r="S554">
        <v>1</v>
      </c>
      <c r="T554" s="14">
        <v>0.2</v>
      </c>
      <c r="U554" s="13">
        <v>6.0381999999999998</v>
      </c>
    </row>
    <row r="555" spans="1:21" ht="15" customHeight="1" x14ac:dyDescent="0.3">
      <c r="A555">
        <v>554</v>
      </c>
      <c r="B555" t="s">
        <v>2065</v>
      </c>
      <c r="C555" s="12">
        <v>43063</v>
      </c>
      <c r="D555" s="12">
        <v>43067</v>
      </c>
      <c r="E555" t="s">
        <v>233</v>
      </c>
      <c r="F555" t="s">
        <v>2066</v>
      </c>
      <c r="G555" t="s">
        <v>2067</v>
      </c>
      <c r="H555" t="s">
        <v>209</v>
      </c>
      <c r="I555" t="s">
        <v>210</v>
      </c>
      <c r="J555" t="s">
        <v>367</v>
      </c>
      <c r="K555" t="s">
        <v>287</v>
      </c>
      <c r="L555">
        <v>77070</v>
      </c>
      <c r="M555" t="s">
        <v>288</v>
      </c>
      <c r="N555" t="s">
        <v>2068</v>
      </c>
      <c r="O555" t="s">
        <v>229</v>
      </c>
      <c r="P555" t="s">
        <v>452</v>
      </c>
      <c r="Q555" t="s">
        <v>2069</v>
      </c>
      <c r="R555" s="13">
        <v>10.824</v>
      </c>
      <c r="S555">
        <v>3</v>
      </c>
      <c r="T555" s="14">
        <v>0.2</v>
      </c>
      <c r="U555" s="13">
        <v>2.5707</v>
      </c>
    </row>
    <row r="556" spans="1:21" ht="15" customHeight="1" x14ac:dyDescent="0.3">
      <c r="A556">
        <v>555</v>
      </c>
      <c r="B556" t="s">
        <v>2070</v>
      </c>
      <c r="C556" s="12">
        <v>42915</v>
      </c>
      <c r="D556" s="12">
        <v>42919</v>
      </c>
      <c r="E556" t="s">
        <v>206</v>
      </c>
      <c r="F556" t="s">
        <v>1545</v>
      </c>
      <c r="G556" t="s">
        <v>1546</v>
      </c>
      <c r="H556" t="s">
        <v>224</v>
      </c>
      <c r="I556" t="s">
        <v>210</v>
      </c>
      <c r="J556" t="s">
        <v>2071</v>
      </c>
      <c r="K556" t="s">
        <v>226</v>
      </c>
      <c r="L556">
        <v>92804</v>
      </c>
      <c r="M556" t="s">
        <v>227</v>
      </c>
      <c r="N556" t="s">
        <v>2072</v>
      </c>
      <c r="O556" t="s">
        <v>229</v>
      </c>
      <c r="P556" t="s">
        <v>242</v>
      </c>
      <c r="Q556" t="s">
        <v>2073</v>
      </c>
      <c r="R556" s="13">
        <v>1295.78</v>
      </c>
      <c r="S556">
        <v>2</v>
      </c>
      <c r="T556" s="14">
        <v>0</v>
      </c>
      <c r="U556" s="13">
        <v>310.98719999999997</v>
      </c>
    </row>
    <row r="557" spans="1:21" ht="15" customHeight="1" x14ac:dyDescent="0.3">
      <c r="A557">
        <v>556</v>
      </c>
      <c r="B557" t="s">
        <v>2074</v>
      </c>
      <c r="C557" s="12">
        <v>41701</v>
      </c>
      <c r="D557" s="12">
        <v>41705</v>
      </c>
      <c r="E557" t="s">
        <v>206</v>
      </c>
      <c r="F557" t="s">
        <v>2075</v>
      </c>
      <c r="G557" t="s">
        <v>2076</v>
      </c>
      <c r="H557" t="s">
        <v>209</v>
      </c>
      <c r="I557" t="s">
        <v>210</v>
      </c>
      <c r="J557" t="s">
        <v>704</v>
      </c>
      <c r="K557" t="s">
        <v>271</v>
      </c>
      <c r="L557">
        <v>28403</v>
      </c>
      <c r="M557" t="s">
        <v>213</v>
      </c>
      <c r="N557" t="s">
        <v>2077</v>
      </c>
      <c r="O557" t="s">
        <v>229</v>
      </c>
      <c r="P557" t="s">
        <v>251</v>
      </c>
      <c r="Q557" t="s">
        <v>2078</v>
      </c>
      <c r="R557" s="13">
        <v>19.456</v>
      </c>
      <c r="S557">
        <v>4</v>
      </c>
      <c r="T557" s="14">
        <v>0.2</v>
      </c>
      <c r="U557" s="13">
        <v>3.4047999999999998</v>
      </c>
    </row>
    <row r="558" spans="1:21" ht="15" customHeight="1" x14ac:dyDescent="0.3">
      <c r="A558">
        <v>557</v>
      </c>
      <c r="B558" t="s">
        <v>2079</v>
      </c>
      <c r="C558" s="12">
        <v>42531</v>
      </c>
      <c r="D558" s="12">
        <v>42536</v>
      </c>
      <c r="E558" t="s">
        <v>233</v>
      </c>
      <c r="F558" t="s">
        <v>2080</v>
      </c>
      <c r="G558" t="s">
        <v>2081</v>
      </c>
      <c r="H558" t="s">
        <v>209</v>
      </c>
      <c r="I558" t="s">
        <v>210</v>
      </c>
      <c r="J558" t="s">
        <v>225</v>
      </c>
      <c r="K558" t="s">
        <v>226</v>
      </c>
      <c r="L558">
        <v>90045</v>
      </c>
      <c r="M558" t="s">
        <v>227</v>
      </c>
      <c r="N558" t="s">
        <v>2082</v>
      </c>
      <c r="O558" t="s">
        <v>229</v>
      </c>
      <c r="P558" t="s">
        <v>230</v>
      </c>
      <c r="Q558" t="s">
        <v>2083</v>
      </c>
      <c r="R558" s="13">
        <v>20.7</v>
      </c>
      <c r="S558">
        <v>2</v>
      </c>
      <c r="T558" s="14">
        <v>0</v>
      </c>
      <c r="U558" s="13">
        <v>9.9359999999999999</v>
      </c>
    </row>
    <row r="559" spans="1:21" ht="15" customHeight="1" x14ac:dyDescent="0.3">
      <c r="A559">
        <v>558</v>
      </c>
      <c r="B559" t="s">
        <v>2079</v>
      </c>
      <c r="C559" s="12">
        <v>42531</v>
      </c>
      <c r="D559" s="12">
        <v>42536</v>
      </c>
      <c r="E559" t="s">
        <v>233</v>
      </c>
      <c r="F559" t="s">
        <v>2080</v>
      </c>
      <c r="G559" t="s">
        <v>2081</v>
      </c>
      <c r="H559" t="s">
        <v>209</v>
      </c>
      <c r="I559" t="s">
        <v>210</v>
      </c>
      <c r="J559" t="s">
        <v>225</v>
      </c>
      <c r="K559" t="s">
        <v>226</v>
      </c>
      <c r="L559">
        <v>90045</v>
      </c>
      <c r="M559" t="s">
        <v>227</v>
      </c>
      <c r="N559" t="s">
        <v>2084</v>
      </c>
      <c r="O559" t="s">
        <v>215</v>
      </c>
      <c r="P559" t="s">
        <v>239</v>
      </c>
      <c r="Q559" t="s">
        <v>2085</v>
      </c>
      <c r="R559" s="13">
        <v>1335.68</v>
      </c>
      <c r="S559">
        <v>4</v>
      </c>
      <c r="T559" s="14">
        <v>0.2</v>
      </c>
      <c r="U559" s="13">
        <v>-217.048</v>
      </c>
    </row>
    <row r="560" spans="1:21" ht="15" customHeight="1" x14ac:dyDescent="0.3">
      <c r="A560">
        <v>559</v>
      </c>
      <c r="B560" t="s">
        <v>2079</v>
      </c>
      <c r="C560" s="12">
        <v>42531</v>
      </c>
      <c r="D560" s="12">
        <v>42536</v>
      </c>
      <c r="E560" t="s">
        <v>233</v>
      </c>
      <c r="F560" t="s">
        <v>2080</v>
      </c>
      <c r="G560" t="s">
        <v>2081</v>
      </c>
      <c r="H560" t="s">
        <v>209</v>
      </c>
      <c r="I560" t="s">
        <v>210</v>
      </c>
      <c r="J560" t="s">
        <v>225</v>
      </c>
      <c r="K560" t="s">
        <v>226</v>
      </c>
      <c r="L560">
        <v>90045</v>
      </c>
      <c r="M560" t="s">
        <v>227</v>
      </c>
      <c r="N560" t="s">
        <v>2086</v>
      </c>
      <c r="O560" t="s">
        <v>229</v>
      </c>
      <c r="P560" t="s">
        <v>273</v>
      </c>
      <c r="Q560" t="s">
        <v>2087</v>
      </c>
      <c r="R560" s="13">
        <v>32.4</v>
      </c>
      <c r="S560">
        <v>5</v>
      </c>
      <c r="T560" s="14">
        <v>0</v>
      </c>
      <c r="U560" s="13">
        <v>15.552</v>
      </c>
    </row>
    <row r="561" spans="1:21" ht="15" customHeight="1" x14ac:dyDescent="0.3">
      <c r="A561">
        <v>560</v>
      </c>
      <c r="B561" t="s">
        <v>2088</v>
      </c>
      <c r="C561" s="12">
        <v>43059</v>
      </c>
      <c r="D561" s="12">
        <v>43061</v>
      </c>
      <c r="E561" t="s">
        <v>206</v>
      </c>
      <c r="F561" t="s">
        <v>2089</v>
      </c>
      <c r="G561" t="s">
        <v>2090</v>
      </c>
      <c r="H561" t="s">
        <v>209</v>
      </c>
      <c r="I561" t="s">
        <v>210</v>
      </c>
      <c r="J561" t="s">
        <v>310</v>
      </c>
      <c r="K561" t="s">
        <v>226</v>
      </c>
      <c r="L561">
        <v>94110</v>
      </c>
      <c r="M561" t="s">
        <v>227</v>
      </c>
      <c r="N561" t="s">
        <v>1680</v>
      </c>
      <c r="O561" t="s">
        <v>215</v>
      </c>
      <c r="P561" t="s">
        <v>248</v>
      </c>
      <c r="Q561" t="s">
        <v>1681</v>
      </c>
      <c r="R561" s="13">
        <v>42.6</v>
      </c>
      <c r="S561">
        <v>3</v>
      </c>
      <c r="T561" s="14">
        <v>0</v>
      </c>
      <c r="U561" s="13">
        <v>16.614000000000001</v>
      </c>
    </row>
    <row r="562" spans="1:21" ht="15" customHeight="1" x14ac:dyDescent="0.3">
      <c r="A562">
        <v>561</v>
      </c>
      <c r="B562" t="s">
        <v>2088</v>
      </c>
      <c r="C562" s="12">
        <v>43059</v>
      </c>
      <c r="D562" s="12">
        <v>43061</v>
      </c>
      <c r="E562" t="s">
        <v>206</v>
      </c>
      <c r="F562" t="s">
        <v>2089</v>
      </c>
      <c r="G562" t="s">
        <v>2090</v>
      </c>
      <c r="H562" t="s">
        <v>209</v>
      </c>
      <c r="I562" t="s">
        <v>210</v>
      </c>
      <c r="J562" t="s">
        <v>310</v>
      </c>
      <c r="K562" t="s">
        <v>226</v>
      </c>
      <c r="L562">
        <v>94110</v>
      </c>
      <c r="M562" t="s">
        <v>227</v>
      </c>
      <c r="N562" t="s">
        <v>2091</v>
      </c>
      <c r="O562" t="s">
        <v>229</v>
      </c>
      <c r="P562" t="s">
        <v>258</v>
      </c>
      <c r="Q562" t="s">
        <v>2092</v>
      </c>
      <c r="R562" s="13">
        <v>84.055999999999997</v>
      </c>
      <c r="S562">
        <v>7</v>
      </c>
      <c r="T562" s="14">
        <v>0.2</v>
      </c>
      <c r="U562" s="13">
        <v>27.318200000000001</v>
      </c>
    </row>
    <row r="563" spans="1:21" ht="15" customHeight="1" x14ac:dyDescent="0.3">
      <c r="A563">
        <v>562</v>
      </c>
      <c r="B563" t="s">
        <v>2093</v>
      </c>
      <c r="C563" s="12">
        <v>41896</v>
      </c>
      <c r="D563" s="12">
        <v>41900</v>
      </c>
      <c r="E563" t="s">
        <v>206</v>
      </c>
      <c r="F563" t="s">
        <v>2094</v>
      </c>
      <c r="G563" t="s">
        <v>2095</v>
      </c>
      <c r="H563" t="s">
        <v>209</v>
      </c>
      <c r="I563" t="s">
        <v>210</v>
      </c>
      <c r="J563" t="s">
        <v>1085</v>
      </c>
      <c r="K563" t="s">
        <v>237</v>
      </c>
      <c r="L563">
        <v>33614</v>
      </c>
      <c r="M563" t="s">
        <v>213</v>
      </c>
      <c r="N563" t="s">
        <v>2096</v>
      </c>
      <c r="O563" t="s">
        <v>229</v>
      </c>
      <c r="P563" t="s">
        <v>261</v>
      </c>
      <c r="Q563" t="s">
        <v>2097</v>
      </c>
      <c r="R563" s="13">
        <v>13</v>
      </c>
      <c r="S563">
        <v>5</v>
      </c>
      <c r="T563" s="14">
        <v>0.2</v>
      </c>
      <c r="U563" s="13">
        <v>1.3</v>
      </c>
    </row>
    <row r="564" spans="1:21" ht="15" customHeight="1" x14ac:dyDescent="0.3">
      <c r="A564">
        <v>563</v>
      </c>
      <c r="B564" t="s">
        <v>2093</v>
      </c>
      <c r="C564" s="12">
        <v>41896</v>
      </c>
      <c r="D564" s="12">
        <v>41900</v>
      </c>
      <c r="E564" t="s">
        <v>206</v>
      </c>
      <c r="F564" t="s">
        <v>2094</v>
      </c>
      <c r="G564" t="s">
        <v>2095</v>
      </c>
      <c r="H564" t="s">
        <v>209</v>
      </c>
      <c r="I564" t="s">
        <v>210</v>
      </c>
      <c r="J564" t="s">
        <v>1085</v>
      </c>
      <c r="K564" t="s">
        <v>237</v>
      </c>
      <c r="L564">
        <v>33614</v>
      </c>
      <c r="M564" t="s">
        <v>213</v>
      </c>
      <c r="N564" t="s">
        <v>2098</v>
      </c>
      <c r="O564" t="s">
        <v>215</v>
      </c>
      <c r="P564" t="s">
        <v>248</v>
      </c>
      <c r="Q564" t="s">
        <v>2099</v>
      </c>
      <c r="R564" s="13">
        <v>13.128</v>
      </c>
      <c r="S564">
        <v>3</v>
      </c>
      <c r="T564" s="14">
        <v>0.2</v>
      </c>
      <c r="U564" s="13">
        <v>3.7743000000000002</v>
      </c>
    </row>
    <row r="565" spans="1:21" ht="15" customHeight="1" x14ac:dyDescent="0.3">
      <c r="A565">
        <v>564</v>
      </c>
      <c r="B565" t="s">
        <v>2100</v>
      </c>
      <c r="C565" s="12">
        <v>42345</v>
      </c>
      <c r="D565" s="12">
        <v>42347</v>
      </c>
      <c r="E565" t="s">
        <v>371</v>
      </c>
      <c r="F565" t="s">
        <v>2101</v>
      </c>
      <c r="G565" t="s">
        <v>2102</v>
      </c>
      <c r="H565" t="s">
        <v>209</v>
      </c>
      <c r="I565" t="s">
        <v>210</v>
      </c>
      <c r="J565" t="s">
        <v>278</v>
      </c>
      <c r="K565" t="s">
        <v>279</v>
      </c>
      <c r="L565">
        <v>98105</v>
      </c>
      <c r="M565" t="s">
        <v>227</v>
      </c>
      <c r="N565" t="s">
        <v>2103</v>
      </c>
      <c r="O565" t="s">
        <v>229</v>
      </c>
      <c r="P565" t="s">
        <v>452</v>
      </c>
      <c r="Q565" t="s">
        <v>2104</v>
      </c>
      <c r="R565" s="13">
        <v>3.96</v>
      </c>
      <c r="S565">
        <v>2</v>
      </c>
      <c r="T565" s="14">
        <v>0</v>
      </c>
      <c r="U565" s="13">
        <v>0</v>
      </c>
    </row>
    <row r="566" spans="1:21" ht="15" customHeight="1" x14ac:dyDescent="0.3">
      <c r="A566">
        <v>565</v>
      </c>
      <c r="B566" t="s">
        <v>2100</v>
      </c>
      <c r="C566" s="12">
        <v>42345</v>
      </c>
      <c r="D566" s="12">
        <v>42347</v>
      </c>
      <c r="E566" t="s">
        <v>371</v>
      </c>
      <c r="F566" t="s">
        <v>2101</v>
      </c>
      <c r="G566" t="s">
        <v>2102</v>
      </c>
      <c r="H566" t="s">
        <v>209</v>
      </c>
      <c r="I566" t="s">
        <v>210</v>
      </c>
      <c r="J566" t="s">
        <v>278</v>
      </c>
      <c r="K566" t="s">
        <v>279</v>
      </c>
      <c r="L566">
        <v>98105</v>
      </c>
      <c r="M566" t="s">
        <v>227</v>
      </c>
      <c r="N566" t="s">
        <v>1326</v>
      </c>
      <c r="O566" t="s">
        <v>229</v>
      </c>
      <c r="P566" t="s">
        <v>230</v>
      </c>
      <c r="Q566" t="s">
        <v>1327</v>
      </c>
      <c r="R566" s="13">
        <v>2.61</v>
      </c>
      <c r="S566">
        <v>1</v>
      </c>
      <c r="T566" s="14">
        <v>0</v>
      </c>
      <c r="U566" s="13">
        <v>1.2005999999999999</v>
      </c>
    </row>
    <row r="567" spans="1:21" ht="15" customHeight="1" x14ac:dyDescent="0.3">
      <c r="A567">
        <v>566</v>
      </c>
      <c r="B567" t="s">
        <v>2105</v>
      </c>
      <c r="C567" s="12">
        <v>43076</v>
      </c>
      <c r="D567" s="12">
        <v>43079</v>
      </c>
      <c r="E567" t="s">
        <v>371</v>
      </c>
      <c r="F567" t="s">
        <v>2106</v>
      </c>
      <c r="G567" t="s">
        <v>2107</v>
      </c>
      <c r="H567" t="s">
        <v>209</v>
      </c>
      <c r="I567" t="s">
        <v>210</v>
      </c>
      <c r="J567" t="s">
        <v>225</v>
      </c>
      <c r="K567" t="s">
        <v>226</v>
      </c>
      <c r="L567">
        <v>90008</v>
      </c>
      <c r="M567" t="s">
        <v>227</v>
      </c>
      <c r="N567" t="s">
        <v>2108</v>
      </c>
      <c r="O567" t="s">
        <v>254</v>
      </c>
      <c r="P567" t="s">
        <v>255</v>
      </c>
      <c r="Q567" t="s">
        <v>2109</v>
      </c>
      <c r="R567" s="13">
        <v>374.37599999999998</v>
      </c>
      <c r="S567">
        <v>3</v>
      </c>
      <c r="T567" s="14">
        <v>0.2</v>
      </c>
      <c r="U567" s="13">
        <v>46.796999999999997</v>
      </c>
    </row>
    <row r="568" spans="1:21" ht="15" customHeight="1" x14ac:dyDescent="0.3">
      <c r="A568">
        <v>567</v>
      </c>
      <c r="B568" t="s">
        <v>2110</v>
      </c>
      <c r="C568" s="12">
        <v>43009</v>
      </c>
      <c r="D568" s="12">
        <v>43016</v>
      </c>
      <c r="E568" t="s">
        <v>233</v>
      </c>
      <c r="F568" t="s">
        <v>2111</v>
      </c>
      <c r="G568" t="s">
        <v>2112</v>
      </c>
      <c r="H568" t="s">
        <v>224</v>
      </c>
      <c r="I568" t="s">
        <v>210</v>
      </c>
      <c r="J568" t="s">
        <v>278</v>
      </c>
      <c r="K568" t="s">
        <v>279</v>
      </c>
      <c r="L568">
        <v>98105</v>
      </c>
      <c r="M568" t="s">
        <v>227</v>
      </c>
      <c r="N568" t="s">
        <v>2113</v>
      </c>
      <c r="O568" t="s">
        <v>229</v>
      </c>
      <c r="P568" t="s">
        <v>273</v>
      </c>
      <c r="Q568" t="s">
        <v>2114</v>
      </c>
      <c r="R568" s="13">
        <v>91.84</v>
      </c>
      <c r="S568">
        <v>8</v>
      </c>
      <c r="T568" s="14">
        <v>0</v>
      </c>
      <c r="U568" s="13">
        <v>45.001600000000003</v>
      </c>
    </row>
    <row r="569" spans="1:21" ht="15" customHeight="1" x14ac:dyDescent="0.3">
      <c r="A569">
        <v>568</v>
      </c>
      <c r="B569" t="s">
        <v>2110</v>
      </c>
      <c r="C569" s="12">
        <v>43009</v>
      </c>
      <c r="D569" s="12">
        <v>43016</v>
      </c>
      <c r="E569" t="s">
        <v>233</v>
      </c>
      <c r="F569" t="s">
        <v>2111</v>
      </c>
      <c r="G569" t="s">
        <v>2112</v>
      </c>
      <c r="H569" t="s">
        <v>224</v>
      </c>
      <c r="I569" t="s">
        <v>210</v>
      </c>
      <c r="J569" t="s">
        <v>278</v>
      </c>
      <c r="K569" t="s">
        <v>279</v>
      </c>
      <c r="L569">
        <v>98105</v>
      </c>
      <c r="M569" t="s">
        <v>227</v>
      </c>
      <c r="N569" t="s">
        <v>2115</v>
      </c>
      <c r="O569" t="s">
        <v>229</v>
      </c>
      <c r="P569" t="s">
        <v>258</v>
      </c>
      <c r="Q569" t="s">
        <v>2116</v>
      </c>
      <c r="R569" s="13">
        <v>81.087999999999994</v>
      </c>
      <c r="S569">
        <v>7</v>
      </c>
      <c r="T569" s="14">
        <v>0.2</v>
      </c>
      <c r="U569" s="13">
        <v>27.3672</v>
      </c>
    </row>
    <row r="570" spans="1:21" ht="15" customHeight="1" x14ac:dyDescent="0.3">
      <c r="A570">
        <v>569</v>
      </c>
      <c r="B570" t="s">
        <v>2110</v>
      </c>
      <c r="C570" s="12">
        <v>43009</v>
      </c>
      <c r="D570" s="12">
        <v>43016</v>
      </c>
      <c r="E570" t="s">
        <v>233</v>
      </c>
      <c r="F570" t="s">
        <v>2111</v>
      </c>
      <c r="G570" t="s">
        <v>2112</v>
      </c>
      <c r="H570" t="s">
        <v>224</v>
      </c>
      <c r="I570" t="s">
        <v>210</v>
      </c>
      <c r="J570" t="s">
        <v>278</v>
      </c>
      <c r="K570" t="s">
        <v>279</v>
      </c>
      <c r="L570">
        <v>98105</v>
      </c>
      <c r="M570" t="s">
        <v>227</v>
      </c>
      <c r="N570" t="s">
        <v>2117</v>
      </c>
      <c r="O570" t="s">
        <v>229</v>
      </c>
      <c r="P570" t="s">
        <v>273</v>
      </c>
      <c r="Q570" t="s">
        <v>2118</v>
      </c>
      <c r="R570" s="13">
        <v>19.440000000000001</v>
      </c>
      <c r="S570">
        <v>3</v>
      </c>
      <c r="T570" s="14">
        <v>0</v>
      </c>
      <c r="U570" s="13">
        <v>9.3312000000000008</v>
      </c>
    </row>
    <row r="571" spans="1:21" ht="15" customHeight="1" x14ac:dyDescent="0.3">
      <c r="A571">
        <v>570</v>
      </c>
      <c r="B571" t="s">
        <v>2110</v>
      </c>
      <c r="C571" s="12">
        <v>43009</v>
      </c>
      <c r="D571" s="12">
        <v>43016</v>
      </c>
      <c r="E571" t="s">
        <v>233</v>
      </c>
      <c r="F571" t="s">
        <v>2111</v>
      </c>
      <c r="G571" t="s">
        <v>2112</v>
      </c>
      <c r="H571" t="s">
        <v>224</v>
      </c>
      <c r="I571" t="s">
        <v>210</v>
      </c>
      <c r="J571" t="s">
        <v>278</v>
      </c>
      <c r="K571" t="s">
        <v>279</v>
      </c>
      <c r="L571">
        <v>98105</v>
      </c>
      <c r="M571" t="s">
        <v>227</v>
      </c>
      <c r="N571" t="s">
        <v>2119</v>
      </c>
      <c r="O571" t="s">
        <v>215</v>
      </c>
      <c r="P571" t="s">
        <v>219</v>
      </c>
      <c r="Q571" t="s">
        <v>2120</v>
      </c>
      <c r="R571" s="13">
        <v>451.15199999999999</v>
      </c>
      <c r="S571">
        <v>3</v>
      </c>
      <c r="T571" s="14">
        <v>0.2</v>
      </c>
      <c r="U571" s="13">
        <v>0</v>
      </c>
    </row>
    <row r="572" spans="1:21" ht="15" customHeight="1" x14ac:dyDescent="0.3">
      <c r="A572">
        <v>571</v>
      </c>
      <c r="B572" t="s">
        <v>2121</v>
      </c>
      <c r="C572" s="12">
        <v>43097</v>
      </c>
      <c r="D572" s="12">
        <v>43104</v>
      </c>
      <c r="E572" t="s">
        <v>233</v>
      </c>
      <c r="F572" t="s">
        <v>2122</v>
      </c>
      <c r="G572" t="s">
        <v>2123</v>
      </c>
      <c r="H572" t="s">
        <v>209</v>
      </c>
      <c r="I572" t="s">
        <v>210</v>
      </c>
      <c r="J572" t="s">
        <v>449</v>
      </c>
      <c r="K572" t="s">
        <v>450</v>
      </c>
      <c r="L572">
        <v>10024</v>
      </c>
      <c r="M572" t="s">
        <v>331</v>
      </c>
      <c r="N572" t="s">
        <v>2082</v>
      </c>
      <c r="O572" t="s">
        <v>229</v>
      </c>
      <c r="P572" t="s">
        <v>230</v>
      </c>
      <c r="Q572" t="s">
        <v>2083</v>
      </c>
      <c r="R572" s="13">
        <v>72.45</v>
      </c>
      <c r="S572">
        <v>7</v>
      </c>
      <c r="T572" s="14">
        <v>0</v>
      </c>
      <c r="U572" s="13">
        <v>34.776000000000003</v>
      </c>
    </row>
    <row r="573" spans="1:21" ht="15" customHeight="1" x14ac:dyDescent="0.3">
      <c r="A573">
        <v>572</v>
      </c>
      <c r="B573" t="s">
        <v>2121</v>
      </c>
      <c r="C573" s="12">
        <v>43097</v>
      </c>
      <c r="D573" s="12">
        <v>43104</v>
      </c>
      <c r="E573" t="s">
        <v>233</v>
      </c>
      <c r="F573" t="s">
        <v>2122</v>
      </c>
      <c r="G573" t="s">
        <v>2123</v>
      </c>
      <c r="H573" t="s">
        <v>209</v>
      </c>
      <c r="I573" t="s">
        <v>210</v>
      </c>
      <c r="J573" t="s">
        <v>449</v>
      </c>
      <c r="K573" t="s">
        <v>450</v>
      </c>
      <c r="L573">
        <v>10024</v>
      </c>
      <c r="M573" t="s">
        <v>331</v>
      </c>
      <c r="N573" t="s">
        <v>1052</v>
      </c>
      <c r="O573" t="s">
        <v>229</v>
      </c>
      <c r="P573" t="s">
        <v>452</v>
      </c>
      <c r="Q573" t="s">
        <v>1053</v>
      </c>
      <c r="R573" s="13">
        <v>13.96</v>
      </c>
      <c r="S573">
        <v>4</v>
      </c>
      <c r="T573" s="14">
        <v>0</v>
      </c>
      <c r="U573" s="13">
        <v>6.4215999999999998</v>
      </c>
    </row>
    <row r="574" spans="1:21" ht="15" customHeight="1" x14ac:dyDescent="0.3">
      <c r="A574">
        <v>573</v>
      </c>
      <c r="B574" t="s">
        <v>2121</v>
      </c>
      <c r="C574" s="12">
        <v>43097</v>
      </c>
      <c r="D574" s="12">
        <v>43104</v>
      </c>
      <c r="E574" t="s">
        <v>233</v>
      </c>
      <c r="F574" t="s">
        <v>2122</v>
      </c>
      <c r="G574" t="s">
        <v>2123</v>
      </c>
      <c r="H574" t="s">
        <v>209</v>
      </c>
      <c r="I574" t="s">
        <v>210</v>
      </c>
      <c r="J574" t="s">
        <v>449</v>
      </c>
      <c r="K574" t="s">
        <v>450</v>
      </c>
      <c r="L574">
        <v>10024</v>
      </c>
      <c r="M574" t="s">
        <v>331</v>
      </c>
      <c r="N574" t="s">
        <v>1399</v>
      </c>
      <c r="O574" t="s">
        <v>229</v>
      </c>
      <c r="P574" t="s">
        <v>258</v>
      </c>
      <c r="Q574" t="s">
        <v>1400</v>
      </c>
      <c r="R574" s="13">
        <v>33.264000000000003</v>
      </c>
      <c r="S574">
        <v>7</v>
      </c>
      <c r="T574" s="14">
        <v>0.2</v>
      </c>
      <c r="U574" s="13">
        <v>11.226599999999999</v>
      </c>
    </row>
    <row r="575" spans="1:21" ht="15" customHeight="1" x14ac:dyDescent="0.3">
      <c r="A575">
        <v>574</v>
      </c>
      <c r="B575" t="s">
        <v>2121</v>
      </c>
      <c r="C575" s="12">
        <v>43097</v>
      </c>
      <c r="D575" s="12">
        <v>43104</v>
      </c>
      <c r="E575" t="s">
        <v>233</v>
      </c>
      <c r="F575" t="s">
        <v>2122</v>
      </c>
      <c r="G575" t="s">
        <v>2123</v>
      </c>
      <c r="H575" t="s">
        <v>209</v>
      </c>
      <c r="I575" t="s">
        <v>210</v>
      </c>
      <c r="J575" t="s">
        <v>449</v>
      </c>
      <c r="K575" t="s">
        <v>450</v>
      </c>
      <c r="L575">
        <v>10024</v>
      </c>
      <c r="M575" t="s">
        <v>331</v>
      </c>
      <c r="N575" t="s">
        <v>2124</v>
      </c>
      <c r="O575" t="s">
        <v>254</v>
      </c>
      <c r="P575" t="s">
        <v>255</v>
      </c>
      <c r="Q575" t="s">
        <v>2125</v>
      </c>
      <c r="R575" s="13">
        <v>14.85</v>
      </c>
      <c r="S575">
        <v>3</v>
      </c>
      <c r="T575" s="14">
        <v>0</v>
      </c>
      <c r="U575" s="13">
        <v>4.0095000000000001</v>
      </c>
    </row>
    <row r="576" spans="1:21" ht="15" customHeight="1" x14ac:dyDescent="0.3">
      <c r="A576">
        <v>575</v>
      </c>
      <c r="B576" t="s">
        <v>2126</v>
      </c>
      <c r="C576" s="12">
        <v>42677</v>
      </c>
      <c r="D576" s="12">
        <v>42681</v>
      </c>
      <c r="E576" t="s">
        <v>233</v>
      </c>
      <c r="F576" t="s">
        <v>2127</v>
      </c>
      <c r="G576" t="s">
        <v>2128</v>
      </c>
      <c r="H576" t="s">
        <v>209</v>
      </c>
      <c r="I576" t="s">
        <v>210</v>
      </c>
      <c r="J576" t="s">
        <v>2129</v>
      </c>
      <c r="K576" t="s">
        <v>279</v>
      </c>
      <c r="L576">
        <v>98270</v>
      </c>
      <c r="M576" t="s">
        <v>227</v>
      </c>
      <c r="N576" t="s">
        <v>2130</v>
      </c>
      <c r="O576" t="s">
        <v>229</v>
      </c>
      <c r="P576" t="s">
        <v>251</v>
      </c>
      <c r="Q576" t="s">
        <v>2131</v>
      </c>
      <c r="R576" s="13">
        <v>8.82</v>
      </c>
      <c r="S576">
        <v>3</v>
      </c>
      <c r="T576" s="14">
        <v>0</v>
      </c>
      <c r="U576" s="13">
        <v>2.3814000000000002</v>
      </c>
    </row>
    <row r="577" spans="1:21" ht="15" customHeight="1" x14ac:dyDescent="0.3">
      <c r="A577">
        <v>576</v>
      </c>
      <c r="B577" t="s">
        <v>2132</v>
      </c>
      <c r="C577" s="12">
        <v>42265</v>
      </c>
      <c r="D577" s="12">
        <v>42269</v>
      </c>
      <c r="E577" t="s">
        <v>206</v>
      </c>
      <c r="F577" t="s">
        <v>2133</v>
      </c>
      <c r="G577" t="s">
        <v>2134</v>
      </c>
      <c r="H577" t="s">
        <v>209</v>
      </c>
      <c r="I577" t="s">
        <v>210</v>
      </c>
      <c r="J577" t="s">
        <v>1359</v>
      </c>
      <c r="K577" t="s">
        <v>226</v>
      </c>
      <c r="L577">
        <v>90805</v>
      </c>
      <c r="M577" t="s">
        <v>227</v>
      </c>
      <c r="N577" t="s">
        <v>2113</v>
      </c>
      <c r="O577" t="s">
        <v>229</v>
      </c>
      <c r="P577" t="s">
        <v>273</v>
      </c>
      <c r="Q577" t="s">
        <v>2114</v>
      </c>
      <c r="R577" s="13">
        <v>160.72</v>
      </c>
      <c r="S577">
        <v>14</v>
      </c>
      <c r="T577" s="14">
        <v>0</v>
      </c>
      <c r="U577" s="13">
        <v>78.752799999999993</v>
      </c>
    </row>
    <row r="578" spans="1:21" ht="15" customHeight="1" x14ac:dyDescent="0.3">
      <c r="A578">
        <v>577</v>
      </c>
      <c r="B578" t="s">
        <v>2132</v>
      </c>
      <c r="C578" s="12">
        <v>42265</v>
      </c>
      <c r="D578" s="12">
        <v>42269</v>
      </c>
      <c r="E578" t="s">
        <v>206</v>
      </c>
      <c r="F578" t="s">
        <v>2133</v>
      </c>
      <c r="G578" t="s">
        <v>2134</v>
      </c>
      <c r="H578" t="s">
        <v>209</v>
      </c>
      <c r="I578" t="s">
        <v>210</v>
      </c>
      <c r="J578" t="s">
        <v>1359</v>
      </c>
      <c r="K578" t="s">
        <v>226</v>
      </c>
      <c r="L578">
        <v>90805</v>
      </c>
      <c r="M578" t="s">
        <v>227</v>
      </c>
      <c r="N578" t="s">
        <v>2135</v>
      </c>
      <c r="O578" t="s">
        <v>229</v>
      </c>
      <c r="P578" t="s">
        <v>273</v>
      </c>
      <c r="Q578" t="s">
        <v>2136</v>
      </c>
      <c r="R578" s="13">
        <v>19.920000000000002</v>
      </c>
      <c r="S578">
        <v>4</v>
      </c>
      <c r="T578" s="14">
        <v>0</v>
      </c>
      <c r="U578" s="13">
        <v>9.7607999999999997</v>
      </c>
    </row>
    <row r="579" spans="1:21" ht="15" customHeight="1" x14ac:dyDescent="0.3">
      <c r="A579">
        <v>578</v>
      </c>
      <c r="B579" t="s">
        <v>2132</v>
      </c>
      <c r="C579" s="12">
        <v>42265</v>
      </c>
      <c r="D579" s="12">
        <v>42269</v>
      </c>
      <c r="E579" t="s">
        <v>206</v>
      </c>
      <c r="F579" t="s">
        <v>2133</v>
      </c>
      <c r="G579" t="s">
        <v>2134</v>
      </c>
      <c r="H579" t="s">
        <v>209</v>
      </c>
      <c r="I579" t="s">
        <v>210</v>
      </c>
      <c r="J579" t="s">
        <v>1359</v>
      </c>
      <c r="K579" t="s">
        <v>226</v>
      </c>
      <c r="L579">
        <v>90805</v>
      </c>
      <c r="M579" t="s">
        <v>227</v>
      </c>
      <c r="N579" t="s">
        <v>2137</v>
      </c>
      <c r="O579" t="s">
        <v>229</v>
      </c>
      <c r="P579" t="s">
        <v>762</v>
      </c>
      <c r="Q579" t="s">
        <v>2138</v>
      </c>
      <c r="R579" s="13">
        <v>7.3</v>
      </c>
      <c r="S579">
        <v>2</v>
      </c>
      <c r="T579" s="14">
        <v>0</v>
      </c>
      <c r="U579" s="13">
        <v>2.19</v>
      </c>
    </row>
    <row r="580" spans="1:21" ht="15" customHeight="1" x14ac:dyDescent="0.3">
      <c r="A580">
        <v>579</v>
      </c>
      <c r="B580" t="s">
        <v>2139</v>
      </c>
      <c r="C580" s="12">
        <v>42936</v>
      </c>
      <c r="D580" s="12">
        <v>42942</v>
      </c>
      <c r="E580" t="s">
        <v>233</v>
      </c>
      <c r="F580" t="s">
        <v>2140</v>
      </c>
      <c r="G580" t="s">
        <v>2141</v>
      </c>
      <c r="H580" t="s">
        <v>209</v>
      </c>
      <c r="I580" t="s">
        <v>210</v>
      </c>
      <c r="J580" t="s">
        <v>486</v>
      </c>
      <c r="K580" t="s">
        <v>394</v>
      </c>
      <c r="L580">
        <v>60610</v>
      </c>
      <c r="M580" t="s">
        <v>288</v>
      </c>
      <c r="N580" t="s">
        <v>730</v>
      </c>
      <c r="O580" t="s">
        <v>229</v>
      </c>
      <c r="P580" t="s">
        <v>242</v>
      </c>
      <c r="Q580" t="s">
        <v>731</v>
      </c>
      <c r="R580" s="13">
        <v>69.712000000000003</v>
      </c>
      <c r="S580">
        <v>2</v>
      </c>
      <c r="T580" s="14">
        <v>0.2</v>
      </c>
      <c r="U580" s="13">
        <v>8.7140000000000004</v>
      </c>
    </row>
    <row r="581" spans="1:21" ht="15" customHeight="1" x14ac:dyDescent="0.3">
      <c r="A581">
        <v>580</v>
      </c>
      <c r="B581" t="s">
        <v>2139</v>
      </c>
      <c r="C581" s="12">
        <v>42936</v>
      </c>
      <c r="D581" s="12">
        <v>42942</v>
      </c>
      <c r="E581" t="s">
        <v>233</v>
      </c>
      <c r="F581" t="s">
        <v>2140</v>
      </c>
      <c r="G581" t="s">
        <v>2141</v>
      </c>
      <c r="H581" t="s">
        <v>209</v>
      </c>
      <c r="I581" t="s">
        <v>210</v>
      </c>
      <c r="J581" t="s">
        <v>486</v>
      </c>
      <c r="K581" t="s">
        <v>394</v>
      </c>
      <c r="L581">
        <v>60610</v>
      </c>
      <c r="M581" t="s">
        <v>288</v>
      </c>
      <c r="N581" t="s">
        <v>2142</v>
      </c>
      <c r="O581" t="s">
        <v>215</v>
      </c>
      <c r="P581" t="s">
        <v>248</v>
      </c>
      <c r="Q581" t="s">
        <v>2143</v>
      </c>
      <c r="R581" s="13">
        <v>8.7919999999999998</v>
      </c>
      <c r="S581">
        <v>1</v>
      </c>
      <c r="T581" s="14">
        <v>0.6</v>
      </c>
      <c r="U581" s="13">
        <v>-5.7148000000000003</v>
      </c>
    </row>
    <row r="582" spans="1:21" ht="15" customHeight="1" x14ac:dyDescent="0.3">
      <c r="A582">
        <v>581</v>
      </c>
      <c r="B582" t="s">
        <v>2144</v>
      </c>
      <c r="C582" s="12">
        <v>42257</v>
      </c>
      <c r="D582" s="12">
        <v>42261</v>
      </c>
      <c r="E582" t="s">
        <v>233</v>
      </c>
      <c r="F582" t="s">
        <v>2145</v>
      </c>
      <c r="G582" t="s">
        <v>2146</v>
      </c>
      <c r="H582" t="s">
        <v>209</v>
      </c>
      <c r="I582" t="s">
        <v>210</v>
      </c>
      <c r="J582" t="s">
        <v>225</v>
      </c>
      <c r="K582" t="s">
        <v>226</v>
      </c>
      <c r="L582">
        <v>90004</v>
      </c>
      <c r="M582" t="s">
        <v>227</v>
      </c>
      <c r="N582" t="s">
        <v>2147</v>
      </c>
      <c r="O582" t="s">
        <v>229</v>
      </c>
      <c r="P582" t="s">
        <v>762</v>
      </c>
      <c r="Q582" t="s">
        <v>2148</v>
      </c>
      <c r="R582" s="13">
        <v>51.52</v>
      </c>
      <c r="S582">
        <v>4</v>
      </c>
      <c r="T582" s="14">
        <v>0</v>
      </c>
      <c r="U582" s="13">
        <v>1.5456000000000001</v>
      </c>
    </row>
    <row r="583" spans="1:21" ht="15" customHeight="1" x14ac:dyDescent="0.3">
      <c r="A583">
        <v>582</v>
      </c>
      <c r="B583" t="s">
        <v>2149</v>
      </c>
      <c r="C583" s="12">
        <v>43070</v>
      </c>
      <c r="D583" s="12">
        <v>43074</v>
      </c>
      <c r="E583" t="s">
        <v>233</v>
      </c>
      <c r="F583" t="s">
        <v>2150</v>
      </c>
      <c r="G583" t="s">
        <v>2151</v>
      </c>
      <c r="H583" t="s">
        <v>209</v>
      </c>
      <c r="I583" t="s">
        <v>210</v>
      </c>
      <c r="J583" t="s">
        <v>992</v>
      </c>
      <c r="K583" t="s">
        <v>640</v>
      </c>
      <c r="L583">
        <v>80219</v>
      </c>
      <c r="M583" t="s">
        <v>227</v>
      </c>
      <c r="N583" t="s">
        <v>375</v>
      </c>
      <c r="O583" t="s">
        <v>254</v>
      </c>
      <c r="P583" t="s">
        <v>255</v>
      </c>
      <c r="Q583" t="s">
        <v>376</v>
      </c>
      <c r="R583" s="13">
        <v>470.37599999999998</v>
      </c>
      <c r="S583">
        <v>3</v>
      </c>
      <c r="T583" s="14">
        <v>0.2</v>
      </c>
      <c r="U583" s="13">
        <v>52.917299999999997</v>
      </c>
    </row>
    <row r="584" spans="1:21" ht="15" customHeight="1" x14ac:dyDescent="0.3">
      <c r="A584">
        <v>583</v>
      </c>
      <c r="B584" t="s">
        <v>2149</v>
      </c>
      <c r="C584" s="12">
        <v>43070</v>
      </c>
      <c r="D584" s="12">
        <v>43074</v>
      </c>
      <c r="E584" t="s">
        <v>233</v>
      </c>
      <c r="F584" t="s">
        <v>2150</v>
      </c>
      <c r="G584" t="s">
        <v>2151</v>
      </c>
      <c r="H584" t="s">
        <v>209</v>
      </c>
      <c r="I584" t="s">
        <v>210</v>
      </c>
      <c r="J584" t="s">
        <v>992</v>
      </c>
      <c r="K584" t="s">
        <v>640</v>
      </c>
      <c r="L584">
        <v>80219</v>
      </c>
      <c r="M584" t="s">
        <v>227</v>
      </c>
      <c r="N584" t="s">
        <v>2152</v>
      </c>
      <c r="O584" t="s">
        <v>254</v>
      </c>
      <c r="P584" t="s">
        <v>255</v>
      </c>
      <c r="Q584" t="s">
        <v>2153</v>
      </c>
      <c r="R584" s="13">
        <v>105.584</v>
      </c>
      <c r="S584">
        <v>2</v>
      </c>
      <c r="T584" s="14">
        <v>0.2</v>
      </c>
      <c r="U584" s="13">
        <v>9.2386000000000106</v>
      </c>
    </row>
    <row r="585" spans="1:21" ht="15" customHeight="1" x14ac:dyDescent="0.3">
      <c r="A585">
        <v>584</v>
      </c>
      <c r="B585" t="s">
        <v>2149</v>
      </c>
      <c r="C585" s="12">
        <v>43070</v>
      </c>
      <c r="D585" s="12">
        <v>43074</v>
      </c>
      <c r="E585" t="s">
        <v>233</v>
      </c>
      <c r="F585" t="s">
        <v>2150</v>
      </c>
      <c r="G585" t="s">
        <v>2151</v>
      </c>
      <c r="H585" t="s">
        <v>209</v>
      </c>
      <c r="I585" t="s">
        <v>210</v>
      </c>
      <c r="J585" t="s">
        <v>992</v>
      </c>
      <c r="K585" t="s">
        <v>640</v>
      </c>
      <c r="L585">
        <v>80219</v>
      </c>
      <c r="M585" t="s">
        <v>227</v>
      </c>
      <c r="N585" t="s">
        <v>620</v>
      </c>
      <c r="O585" t="s">
        <v>229</v>
      </c>
      <c r="P585" t="s">
        <v>261</v>
      </c>
      <c r="Q585" t="s">
        <v>621</v>
      </c>
      <c r="R585" s="13">
        <v>31.152000000000001</v>
      </c>
      <c r="S585">
        <v>3</v>
      </c>
      <c r="T585" s="14">
        <v>0.2</v>
      </c>
      <c r="U585" s="13">
        <v>3.5045999999999999</v>
      </c>
    </row>
    <row r="586" spans="1:21" ht="15" customHeight="1" x14ac:dyDescent="0.3">
      <c r="A586">
        <v>585</v>
      </c>
      <c r="B586" t="s">
        <v>2149</v>
      </c>
      <c r="C586" s="12">
        <v>43070</v>
      </c>
      <c r="D586" s="12">
        <v>43074</v>
      </c>
      <c r="E586" t="s">
        <v>233</v>
      </c>
      <c r="F586" t="s">
        <v>2150</v>
      </c>
      <c r="G586" t="s">
        <v>2151</v>
      </c>
      <c r="H586" t="s">
        <v>209</v>
      </c>
      <c r="I586" t="s">
        <v>210</v>
      </c>
      <c r="J586" t="s">
        <v>992</v>
      </c>
      <c r="K586" t="s">
        <v>640</v>
      </c>
      <c r="L586">
        <v>80219</v>
      </c>
      <c r="M586" t="s">
        <v>227</v>
      </c>
      <c r="N586" t="s">
        <v>2154</v>
      </c>
      <c r="O586" t="s">
        <v>229</v>
      </c>
      <c r="P586" t="s">
        <v>258</v>
      </c>
      <c r="Q586" t="s">
        <v>2155</v>
      </c>
      <c r="R586" s="13">
        <v>6.7830000000000004</v>
      </c>
      <c r="S586">
        <v>7</v>
      </c>
      <c r="T586" s="14">
        <v>0.7</v>
      </c>
      <c r="U586" s="13">
        <v>-4.7481</v>
      </c>
    </row>
    <row r="587" spans="1:21" ht="15" customHeight="1" x14ac:dyDescent="0.3">
      <c r="A587">
        <v>586</v>
      </c>
      <c r="B587" t="s">
        <v>2149</v>
      </c>
      <c r="C587" s="12">
        <v>43070</v>
      </c>
      <c r="D587" s="12">
        <v>43074</v>
      </c>
      <c r="E587" t="s">
        <v>233</v>
      </c>
      <c r="F587" t="s">
        <v>2150</v>
      </c>
      <c r="G587" t="s">
        <v>2151</v>
      </c>
      <c r="H587" t="s">
        <v>209</v>
      </c>
      <c r="I587" t="s">
        <v>210</v>
      </c>
      <c r="J587" t="s">
        <v>992</v>
      </c>
      <c r="K587" t="s">
        <v>640</v>
      </c>
      <c r="L587">
        <v>80219</v>
      </c>
      <c r="M587" t="s">
        <v>227</v>
      </c>
      <c r="N587" t="s">
        <v>809</v>
      </c>
      <c r="O587" t="s">
        <v>254</v>
      </c>
      <c r="P587" t="s">
        <v>255</v>
      </c>
      <c r="Q587" t="s">
        <v>810</v>
      </c>
      <c r="R587" s="13">
        <v>406.36799999999999</v>
      </c>
      <c r="S587">
        <v>4</v>
      </c>
      <c r="T587" s="14">
        <v>0.2</v>
      </c>
      <c r="U587" s="13">
        <v>30.477599999999999</v>
      </c>
    </row>
    <row r="588" spans="1:21" ht="15" customHeight="1" x14ac:dyDescent="0.3">
      <c r="A588">
        <v>587</v>
      </c>
      <c r="B588" t="s">
        <v>2156</v>
      </c>
      <c r="C588" s="12">
        <v>42188</v>
      </c>
      <c r="D588" s="12">
        <v>42194</v>
      </c>
      <c r="E588" t="s">
        <v>233</v>
      </c>
      <c r="F588" t="s">
        <v>2157</v>
      </c>
      <c r="G588" t="s">
        <v>2158</v>
      </c>
      <c r="H588" t="s">
        <v>209</v>
      </c>
      <c r="I588" t="s">
        <v>210</v>
      </c>
      <c r="J588" t="s">
        <v>1652</v>
      </c>
      <c r="K588" t="s">
        <v>212</v>
      </c>
      <c r="L588">
        <v>40475</v>
      </c>
      <c r="M588" t="s">
        <v>213</v>
      </c>
      <c r="N588" t="s">
        <v>1633</v>
      </c>
      <c r="O588" t="s">
        <v>215</v>
      </c>
      <c r="P588" t="s">
        <v>219</v>
      </c>
      <c r="Q588" t="s">
        <v>1634</v>
      </c>
      <c r="R588" s="13">
        <v>70.98</v>
      </c>
      <c r="S588">
        <v>1</v>
      </c>
      <c r="T588" s="14">
        <v>0</v>
      </c>
      <c r="U588" s="13">
        <v>4.9686000000000003</v>
      </c>
    </row>
    <row r="589" spans="1:21" ht="15" customHeight="1" x14ac:dyDescent="0.3">
      <c r="A589">
        <v>588</v>
      </c>
      <c r="B589" t="s">
        <v>2156</v>
      </c>
      <c r="C589" s="12">
        <v>42188</v>
      </c>
      <c r="D589" s="12">
        <v>42194</v>
      </c>
      <c r="E589" t="s">
        <v>233</v>
      </c>
      <c r="F589" t="s">
        <v>2157</v>
      </c>
      <c r="G589" t="s">
        <v>2158</v>
      </c>
      <c r="H589" t="s">
        <v>209</v>
      </c>
      <c r="I589" t="s">
        <v>210</v>
      </c>
      <c r="J589" t="s">
        <v>1652</v>
      </c>
      <c r="K589" t="s">
        <v>212</v>
      </c>
      <c r="L589">
        <v>40475</v>
      </c>
      <c r="M589" t="s">
        <v>213</v>
      </c>
      <c r="N589" t="s">
        <v>2159</v>
      </c>
      <c r="O589" t="s">
        <v>229</v>
      </c>
      <c r="P589" t="s">
        <v>230</v>
      </c>
      <c r="Q589" t="s">
        <v>2160</v>
      </c>
      <c r="R589" s="13">
        <v>294.93</v>
      </c>
      <c r="S589">
        <v>3</v>
      </c>
      <c r="T589" s="14">
        <v>0</v>
      </c>
      <c r="U589" s="13">
        <v>144.51570000000001</v>
      </c>
    </row>
    <row r="590" spans="1:21" ht="15" customHeight="1" x14ac:dyDescent="0.3">
      <c r="A590">
        <v>589</v>
      </c>
      <c r="B590" t="s">
        <v>2161</v>
      </c>
      <c r="C590" s="12">
        <v>42449</v>
      </c>
      <c r="D590" s="12">
        <v>42453</v>
      </c>
      <c r="E590" t="s">
        <v>233</v>
      </c>
      <c r="F590" t="s">
        <v>2162</v>
      </c>
      <c r="G590" t="s">
        <v>2163</v>
      </c>
      <c r="H590" t="s">
        <v>209</v>
      </c>
      <c r="I590" t="s">
        <v>210</v>
      </c>
      <c r="J590" t="s">
        <v>2164</v>
      </c>
      <c r="K590" t="s">
        <v>603</v>
      </c>
      <c r="L590">
        <v>97301</v>
      </c>
      <c r="M590" t="s">
        <v>227</v>
      </c>
      <c r="N590" t="s">
        <v>2165</v>
      </c>
      <c r="O590" t="s">
        <v>254</v>
      </c>
      <c r="P590" t="s">
        <v>255</v>
      </c>
      <c r="Q590" t="s">
        <v>2166</v>
      </c>
      <c r="R590" s="13">
        <v>84.784000000000006</v>
      </c>
      <c r="S590">
        <v>2</v>
      </c>
      <c r="T590" s="14">
        <v>0.2</v>
      </c>
      <c r="U590" s="13">
        <v>-20.136199999999999</v>
      </c>
    </row>
    <row r="591" spans="1:21" ht="15" customHeight="1" x14ac:dyDescent="0.3">
      <c r="A591">
        <v>590</v>
      </c>
      <c r="B591" t="s">
        <v>2161</v>
      </c>
      <c r="C591" s="12">
        <v>42449</v>
      </c>
      <c r="D591" s="12">
        <v>42453</v>
      </c>
      <c r="E591" t="s">
        <v>233</v>
      </c>
      <c r="F591" t="s">
        <v>2162</v>
      </c>
      <c r="G591" t="s">
        <v>2163</v>
      </c>
      <c r="H591" t="s">
        <v>209</v>
      </c>
      <c r="I591" t="s">
        <v>210</v>
      </c>
      <c r="J591" t="s">
        <v>2164</v>
      </c>
      <c r="K591" t="s">
        <v>603</v>
      </c>
      <c r="L591">
        <v>97301</v>
      </c>
      <c r="M591" t="s">
        <v>227</v>
      </c>
      <c r="N591" t="s">
        <v>2167</v>
      </c>
      <c r="O591" t="s">
        <v>229</v>
      </c>
      <c r="P591" t="s">
        <v>273</v>
      </c>
      <c r="Q591" t="s">
        <v>2168</v>
      </c>
      <c r="R591" s="13">
        <v>20.736000000000001</v>
      </c>
      <c r="S591">
        <v>4</v>
      </c>
      <c r="T591" s="14">
        <v>0.2</v>
      </c>
      <c r="U591" s="13">
        <v>7.2576000000000001</v>
      </c>
    </row>
    <row r="592" spans="1:21" ht="15" customHeight="1" x14ac:dyDescent="0.3">
      <c r="A592">
        <v>591</v>
      </c>
      <c r="B592" t="s">
        <v>2161</v>
      </c>
      <c r="C592" s="12">
        <v>42449</v>
      </c>
      <c r="D592" s="12">
        <v>42453</v>
      </c>
      <c r="E592" t="s">
        <v>233</v>
      </c>
      <c r="F592" t="s">
        <v>2162</v>
      </c>
      <c r="G592" t="s">
        <v>2163</v>
      </c>
      <c r="H592" t="s">
        <v>209</v>
      </c>
      <c r="I592" t="s">
        <v>210</v>
      </c>
      <c r="J592" t="s">
        <v>2164</v>
      </c>
      <c r="K592" t="s">
        <v>603</v>
      </c>
      <c r="L592">
        <v>97301</v>
      </c>
      <c r="M592" t="s">
        <v>227</v>
      </c>
      <c r="N592" t="s">
        <v>1900</v>
      </c>
      <c r="O592" t="s">
        <v>229</v>
      </c>
      <c r="P592" t="s">
        <v>258</v>
      </c>
      <c r="Q592" t="s">
        <v>1901</v>
      </c>
      <c r="R592" s="13">
        <v>16.821000000000002</v>
      </c>
      <c r="S592">
        <v>3</v>
      </c>
      <c r="T592" s="14">
        <v>0.7</v>
      </c>
      <c r="U592" s="13">
        <v>-12.896100000000001</v>
      </c>
    </row>
    <row r="593" spans="1:21" ht="15" customHeight="1" x14ac:dyDescent="0.3">
      <c r="A593">
        <v>592</v>
      </c>
      <c r="B593" t="s">
        <v>2161</v>
      </c>
      <c r="C593" s="12">
        <v>42449</v>
      </c>
      <c r="D593" s="12">
        <v>42453</v>
      </c>
      <c r="E593" t="s">
        <v>233</v>
      </c>
      <c r="F593" t="s">
        <v>2162</v>
      </c>
      <c r="G593" t="s">
        <v>2163</v>
      </c>
      <c r="H593" t="s">
        <v>209</v>
      </c>
      <c r="I593" t="s">
        <v>210</v>
      </c>
      <c r="J593" t="s">
        <v>2164</v>
      </c>
      <c r="K593" t="s">
        <v>603</v>
      </c>
      <c r="L593">
        <v>97301</v>
      </c>
      <c r="M593" t="s">
        <v>227</v>
      </c>
      <c r="N593" t="s">
        <v>2169</v>
      </c>
      <c r="O593" t="s">
        <v>229</v>
      </c>
      <c r="P593" t="s">
        <v>273</v>
      </c>
      <c r="Q593" t="s">
        <v>2170</v>
      </c>
      <c r="R593" s="13">
        <v>10.368</v>
      </c>
      <c r="S593">
        <v>2</v>
      </c>
      <c r="T593" s="14">
        <v>0.2</v>
      </c>
      <c r="U593" s="13">
        <v>3.6288</v>
      </c>
    </row>
    <row r="594" spans="1:21" ht="15" customHeight="1" x14ac:dyDescent="0.3">
      <c r="A594">
        <v>593</v>
      </c>
      <c r="B594" t="s">
        <v>2171</v>
      </c>
      <c r="C594" s="12">
        <v>41648</v>
      </c>
      <c r="D594" s="12">
        <v>41652</v>
      </c>
      <c r="E594" t="s">
        <v>233</v>
      </c>
      <c r="F594" t="s">
        <v>2172</v>
      </c>
      <c r="G594" t="s">
        <v>2173</v>
      </c>
      <c r="H594" t="s">
        <v>209</v>
      </c>
      <c r="I594" t="s">
        <v>210</v>
      </c>
      <c r="J594" t="s">
        <v>2174</v>
      </c>
      <c r="K594" t="s">
        <v>287</v>
      </c>
      <c r="L594">
        <v>78041</v>
      </c>
      <c r="M594" t="s">
        <v>288</v>
      </c>
      <c r="N594" t="s">
        <v>2175</v>
      </c>
      <c r="O594" t="s">
        <v>229</v>
      </c>
      <c r="P594" t="s">
        <v>251</v>
      </c>
      <c r="Q594" t="s">
        <v>2176</v>
      </c>
      <c r="R594" s="13">
        <v>9.3439999999999994</v>
      </c>
      <c r="S594">
        <v>2</v>
      </c>
      <c r="T594" s="14">
        <v>0.2</v>
      </c>
      <c r="U594" s="13">
        <v>1.1679999999999999</v>
      </c>
    </row>
    <row r="595" spans="1:21" ht="15" customHeight="1" x14ac:dyDescent="0.3">
      <c r="A595">
        <v>594</v>
      </c>
      <c r="B595" t="s">
        <v>2171</v>
      </c>
      <c r="C595" s="12">
        <v>41648</v>
      </c>
      <c r="D595" s="12">
        <v>41652</v>
      </c>
      <c r="E595" t="s">
        <v>233</v>
      </c>
      <c r="F595" t="s">
        <v>2172</v>
      </c>
      <c r="G595" t="s">
        <v>2173</v>
      </c>
      <c r="H595" t="s">
        <v>209</v>
      </c>
      <c r="I595" t="s">
        <v>210</v>
      </c>
      <c r="J595" t="s">
        <v>2174</v>
      </c>
      <c r="K595" t="s">
        <v>287</v>
      </c>
      <c r="L595">
        <v>78041</v>
      </c>
      <c r="M595" t="s">
        <v>288</v>
      </c>
      <c r="N595" t="s">
        <v>1029</v>
      </c>
      <c r="O595" t="s">
        <v>254</v>
      </c>
      <c r="P595" t="s">
        <v>344</v>
      </c>
      <c r="Q595" t="s">
        <v>1030</v>
      </c>
      <c r="R595" s="13">
        <v>31.2</v>
      </c>
      <c r="S595">
        <v>3</v>
      </c>
      <c r="T595" s="14">
        <v>0.2</v>
      </c>
      <c r="U595" s="13">
        <v>9.75</v>
      </c>
    </row>
    <row r="596" spans="1:21" ht="15" customHeight="1" x14ac:dyDescent="0.3">
      <c r="A596">
        <v>595</v>
      </c>
      <c r="B596" t="s">
        <v>2177</v>
      </c>
      <c r="C596" s="12">
        <v>41859</v>
      </c>
      <c r="D596" s="12">
        <v>41866</v>
      </c>
      <c r="E596" t="s">
        <v>233</v>
      </c>
      <c r="F596" t="s">
        <v>2178</v>
      </c>
      <c r="G596" t="s">
        <v>2179</v>
      </c>
      <c r="H596" t="s">
        <v>209</v>
      </c>
      <c r="I596" t="s">
        <v>210</v>
      </c>
      <c r="J596" t="s">
        <v>1133</v>
      </c>
      <c r="K596" t="s">
        <v>226</v>
      </c>
      <c r="L596">
        <v>92024</v>
      </c>
      <c r="M596" t="s">
        <v>227</v>
      </c>
      <c r="N596" t="s">
        <v>2180</v>
      </c>
      <c r="O596" t="s">
        <v>229</v>
      </c>
      <c r="P596" t="s">
        <v>261</v>
      </c>
      <c r="Q596" t="s">
        <v>2181</v>
      </c>
      <c r="R596" s="13">
        <v>76.12</v>
      </c>
      <c r="S596">
        <v>2</v>
      </c>
      <c r="T596" s="14">
        <v>0</v>
      </c>
      <c r="U596" s="13">
        <v>22.0748</v>
      </c>
    </row>
    <row r="597" spans="1:21" ht="15" customHeight="1" x14ac:dyDescent="0.3">
      <c r="A597">
        <v>596</v>
      </c>
      <c r="B597" t="s">
        <v>2177</v>
      </c>
      <c r="C597" s="12">
        <v>41859</v>
      </c>
      <c r="D597" s="12">
        <v>41866</v>
      </c>
      <c r="E597" t="s">
        <v>233</v>
      </c>
      <c r="F597" t="s">
        <v>2178</v>
      </c>
      <c r="G597" t="s">
        <v>2179</v>
      </c>
      <c r="H597" t="s">
        <v>209</v>
      </c>
      <c r="I597" t="s">
        <v>210</v>
      </c>
      <c r="J597" t="s">
        <v>1133</v>
      </c>
      <c r="K597" t="s">
        <v>226</v>
      </c>
      <c r="L597">
        <v>92024</v>
      </c>
      <c r="M597" t="s">
        <v>227</v>
      </c>
      <c r="N597" t="s">
        <v>1620</v>
      </c>
      <c r="O597" t="s">
        <v>254</v>
      </c>
      <c r="P597" t="s">
        <v>1402</v>
      </c>
      <c r="Q597" t="s">
        <v>1621</v>
      </c>
      <c r="R597" s="13">
        <v>1199.9760000000001</v>
      </c>
      <c r="S597">
        <v>3</v>
      </c>
      <c r="T597" s="14">
        <v>0.2</v>
      </c>
      <c r="U597" s="13">
        <v>434.99130000000002</v>
      </c>
    </row>
    <row r="598" spans="1:21" ht="15" customHeight="1" x14ac:dyDescent="0.3">
      <c r="A598">
        <v>597</v>
      </c>
      <c r="B598" t="s">
        <v>2177</v>
      </c>
      <c r="C598" s="12">
        <v>41859</v>
      </c>
      <c r="D598" s="12">
        <v>41866</v>
      </c>
      <c r="E598" t="s">
        <v>233</v>
      </c>
      <c r="F598" t="s">
        <v>2178</v>
      </c>
      <c r="G598" t="s">
        <v>2179</v>
      </c>
      <c r="H598" t="s">
        <v>209</v>
      </c>
      <c r="I598" t="s">
        <v>210</v>
      </c>
      <c r="J598" t="s">
        <v>1133</v>
      </c>
      <c r="K598" t="s">
        <v>226</v>
      </c>
      <c r="L598">
        <v>92024</v>
      </c>
      <c r="M598" t="s">
        <v>227</v>
      </c>
      <c r="N598" t="s">
        <v>1338</v>
      </c>
      <c r="O598" t="s">
        <v>254</v>
      </c>
      <c r="P598" t="s">
        <v>255</v>
      </c>
      <c r="Q598" t="s">
        <v>1339</v>
      </c>
      <c r="R598" s="13">
        <v>445.96</v>
      </c>
      <c r="S598">
        <v>5</v>
      </c>
      <c r="T598" s="14">
        <v>0.2</v>
      </c>
      <c r="U598" s="13">
        <v>55.744999999999997</v>
      </c>
    </row>
    <row r="599" spans="1:21" ht="15" customHeight="1" x14ac:dyDescent="0.3">
      <c r="A599">
        <v>598</v>
      </c>
      <c r="B599" t="s">
        <v>2177</v>
      </c>
      <c r="C599" s="12">
        <v>41859</v>
      </c>
      <c r="D599" s="12">
        <v>41866</v>
      </c>
      <c r="E599" t="s">
        <v>233</v>
      </c>
      <c r="F599" t="s">
        <v>2178</v>
      </c>
      <c r="G599" t="s">
        <v>2179</v>
      </c>
      <c r="H599" t="s">
        <v>209</v>
      </c>
      <c r="I599" t="s">
        <v>210</v>
      </c>
      <c r="J599" t="s">
        <v>1133</v>
      </c>
      <c r="K599" t="s">
        <v>226</v>
      </c>
      <c r="L599">
        <v>92024</v>
      </c>
      <c r="M599" t="s">
        <v>227</v>
      </c>
      <c r="N599" t="s">
        <v>2182</v>
      </c>
      <c r="O599" t="s">
        <v>215</v>
      </c>
      <c r="P599" t="s">
        <v>248</v>
      </c>
      <c r="Q599" t="s">
        <v>2183</v>
      </c>
      <c r="R599" s="13">
        <v>327.76</v>
      </c>
      <c r="S599">
        <v>8</v>
      </c>
      <c r="T599" s="14">
        <v>0</v>
      </c>
      <c r="U599" s="13">
        <v>91.772800000000004</v>
      </c>
    </row>
    <row r="600" spans="1:21" ht="15" customHeight="1" x14ac:dyDescent="0.3">
      <c r="A600">
        <v>599</v>
      </c>
      <c r="B600" t="s">
        <v>2184</v>
      </c>
      <c r="C600" s="12">
        <v>42565</v>
      </c>
      <c r="D600" s="12">
        <v>42567</v>
      </c>
      <c r="E600" t="s">
        <v>371</v>
      </c>
      <c r="F600" t="s">
        <v>2185</v>
      </c>
      <c r="G600" t="s">
        <v>2186</v>
      </c>
      <c r="H600" t="s">
        <v>209</v>
      </c>
      <c r="I600" t="s">
        <v>210</v>
      </c>
      <c r="J600" t="s">
        <v>329</v>
      </c>
      <c r="K600" t="s">
        <v>330</v>
      </c>
      <c r="L600">
        <v>19134</v>
      </c>
      <c r="M600" t="s">
        <v>331</v>
      </c>
      <c r="N600" t="s">
        <v>2187</v>
      </c>
      <c r="O600" t="s">
        <v>229</v>
      </c>
      <c r="P600" t="s">
        <v>762</v>
      </c>
      <c r="Q600" t="s">
        <v>2188</v>
      </c>
      <c r="R600" s="13">
        <v>11.632</v>
      </c>
      <c r="S600">
        <v>2</v>
      </c>
      <c r="T600" s="14">
        <v>0.2</v>
      </c>
      <c r="U600" s="13">
        <v>1.0178</v>
      </c>
    </row>
    <row r="601" spans="1:21" ht="15" customHeight="1" x14ac:dyDescent="0.3">
      <c r="A601">
        <v>600</v>
      </c>
      <c r="B601" t="s">
        <v>2189</v>
      </c>
      <c r="C601" s="12">
        <v>42567</v>
      </c>
      <c r="D601" s="12">
        <v>42572</v>
      </c>
      <c r="E601" t="s">
        <v>233</v>
      </c>
      <c r="F601" t="s">
        <v>2190</v>
      </c>
      <c r="G601" t="s">
        <v>2191</v>
      </c>
      <c r="H601" t="s">
        <v>209</v>
      </c>
      <c r="I601" t="s">
        <v>210</v>
      </c>
      <c r="J601" t="s">
        <v>329</v>
      </c>
      <c r="K601" t="s">
        <v>330</v>
      </c>
      <c r="L601">
        <v>19120</v>
      </c>
      <c r="M601" t="s">
        <v>331</v>
      </c>
      <c r="N601" t="s">
        <v>2192</v>
      </c>
      <c r="O601" t="s">
        <v>254</v>
      </c>
      <c r="P601" t="s">
        <v>255</v>
      </c>
      <c r="Q601" t="s">
        <v>2193</v>
      </c>
      <c r="R601" s="13">
        <v>143.982</v>
      </c>
      <c r="S601">
        <v>3</v>
      </c>
      <c r="T601" s="14">
        <v>0.4</v>
      </c>
      <c r="U601" s="13">
        <v>-28.796399999999998</v>
      </c>
    </row>
    <row r="602" spans="1:21" ht="15" customHeight="1" x14ac:dyDescent="0.3">
      <c r="A602">
        <v>601</v>
      </c>
      <c r="B602" t="s">
        <v>2189</v>
      </c>
      <c r="C602" s="12">
        <v>42567</v>
      </c>
      <c r="D602" s="12">
        <v>42572</v>
      </c>
      <c r="E602" t="s">
        <v>233</v>
      </c>
      <c r="F602" t="s">
        <v>2190</v>
      </c>
      <c r="G602" t="s">
        <v>2191</v>
      </c>
      <c r="H602" t="s">
        <v>209</v>
      </c>
      <c r="I602" t="s">
        <v>210</v>
      </c>
      <c r="J602" t="s">
        <v>329</v>
      </c>
      <c r="K602" t="s">
        <v>330</v>
      </c>
      <c r="L602">
        <v>19120</v>
      </c>
      <c r="M602" t="s">
        <v>331</v>
      </c>
      <c r="N602" t="s">
        <v>2194</v>
      </c>
      <c r="O602" t="s">
        <v>254</v>
      </c>
      <c r="P602" t="s">
        <v>255</v>
      </c>
      <c r="Q602" t="s">
        <v>2195</v>
      </c>
      <c r="R602" s="13">
        <v>494.37599999999998</v>
      </c>
      <c r="S602">
        <v>4</v>
      </c>
      <c r="T602" s="14">
        <v>0.4</v>
      </c>
      <c r="U602" s="13">
        <v>-115.3544</v>
      </c>
    </row>
    <row r="603" spans="1:21" ht="15" customHeight="1" x14ac:dyDescent="0.3">
      <c r="A603">
        <v>602</v>
      </c>
      <c r="B603" t="s">
        <v>2189</v>
      </c>
      <c r="C603" s="12">
        <v>42567</v>
      </c>
      <c r="D603" s="12">
        <v>42572</v>
      </c>
      <c r="E603" t="s">
        <v>233</v>
      </c>
      <c r="F603" t="s">
        <v>2190</v>
      </c>
      <c r="G603" t="s">
        <v>2191</v>
      </c>
      <c r="H603" t="s">
        <v>209</v>
      </c>
      <c r="I603" t="s">
        <v>210</v>
      </c>
      <c r="J603" t="s">
        <v>329</v>
      </c>
      <c r="K603" t="s">
        <v>330</v>
      </c>
      <c r="L603">
        <v>19120</v>
      </c>
      <c r="M603" t="s">
        <v>331</v>
      </c>
      <c r="N603" t="s">
        <v>2137</v>
      </c>
      <c r="O603" t="s">
        <v>229</v>
      </c>
      <c r="P603" t="s">
        <v>762</v>
      </c>
      <c r="Q603" t="s">
        <v>2138</v>
      </c>
      <c r="R603" s="13">
        <v>5.84</v>
      </c>
      <c r="S603">
        <v>2</v>
      </c>
      <c r="T603" s="14">
        <v>0.2</v>
      </c>
      <c r="U603" s="13">
        <v>0.73</v>
      </c>
    </row>
    <row r="604" spans="1:21" ht="15" customHeight="1" x14ac:dyDescent="0.3">
      <c r="A604">
        <v>603</v>
      </c>
      <c r="B604" t="s">
        <v>2196</v>
      </c>
      <c r="C604" s="12">
        <v>41713</v>
      </c>
      <c r="D604" s="12">
        <v>41717</v>
      </c>
      <c r="E604" t="s">
        <v>233</v>
      </c>
      <c r="F604" t="s">
        <v>2197</v>
      </c>
      <c r="G604" t="s">
        <v>2198</v>
      </c>
      <c r="H604" t="s">
        <v>209</v>
      </c>
      <c r="I604" t="s">
        <v>210</v>
      </c>
      <c r="J604" t="s">
        <v>1085</v>
      </c>
      <c r="K604" t="s">
        <v>237</v>
      </c>
      <c r="L604">
        <v>33614</v>
      </c>
      <c r="M604" t="s">
        <v>213</v>
      </c>
      <c r="N604" t="s">
        <v>2199</v>
      </c>
      <c r="O604" t="s">
        <v>229</v>
      </c>
      <c r="P604" t="s">
        <v>242</v>
      </c>
      <c r="Q604" t="s">
        <v>2200</v>
      </c>
      <c r="R604" s="13">
        <v>142.77600000000001</v>
      </c>
      <c r="S604">
        <v>1</v>
      </c>
      <c r="T604" s="14">
        <v>0.2</v>
      </c>
      <c r="U604" s="13">
        <v>17.847000000000001</v>
      </c>
    </row>
    <row r="605" spans="1:21" ht="15" customHeight="1" x14ac:dyDescent="0.3">
      <c r="A605">
        <v>604</v>
      </c>
      <c r="B605" t="s">
        <v>2196</v>
      </c>
      <c r="C605" s="12">
        <v>41713</v>
      </c>
      <c r="D605" s="12">
        <v>41717</v>
      </c>
      <c r="E605" t="s">
        <v>233</v>
      </c>
      <c r="F605" t="s">
        <v>2197</v>
      </c>
      <c r="G605" t="s">
        <v>2198</v>
      </c>
      <c r="H605" t="s">
        <v>209</v>
      </c>
      <c r="I605" t="s">
        <v>210</v>
      </c>
      <c r="J605" t="s">
        <v>1085</v>
      </c>
      <c r="K605" t="s">
        <v>237</v>
      </c>
      <c r="L605">
        <v>33614</v>
      </c>
      <c r="M605" t="s">
        <v>213</v>
      </c>
      <c r="N605" t="s">
        <v>1324</v>
      </c>
      <c r="O605" t="s">
        <v>215</v>
      </c>
      <c r="P605" t="s">
        <v>248</v>
      </c>
      <c r="Q605" t="s">
        <v>1325</v>
      </c>
      <c r="R605" s="13">
        <v>45.695999999999998</v>
      </c>
      <c r="S605">
        <v>3</v>
      </c>
      <c r="T605" s="14">
        <v>0.2</v>
      </c>
      <c r="U605" s="13">
        <v>5.1407999999999898</v>
      </c>
    </row>
    <row r="606" spans="1:21" ht="15" customHeight="1" x14ac:dyDescent="0.3">
      <c r="A606">
        <v>605</v>
      </c>
      <c r="B606" t="s">
        <v>2196</v>
      </c>
      <c r="C606" s="12">
        <v>41713</v>
      </c>
      <c r="D606" s="12">
        <v>41717</v>
      </c>
      <c r="E606" t="s">
        <v>233</v>
      </c>
      <c r="F606" t="s">
        <v>2197</v>
      </c>
      <c r="G606" t="s">
        <v>2198</v>
      </c>
      <c r="H606" t="s">
        <v>209</v>
      </c>
      <c r="I606" t="s">
        <v>210</v>
      </c>
      <c r="J606" t="s">
        <v>1085</v>
      </c>
      <c r="K606" t="s">
        <v>237</v>
      </c>
      <c r="L606">
        <v>33614</v>
      </c>
      <c r="M606" t="s">
        <v>213</v>
      </c>
      <c r="N606" t="s">
        <v>1710</v>
      </c>
      <c r="O606" t="s">
        <v>229</v>
      </c>
      <c r="P606" t="s">
        <v>258</v>
      </c>
      <c r="Q606" t="s">
        <v>1711</v>
      </c>
      <c r="R606" s="13">
        <v>7.218</v>
      </c>
      <c r="S606">
        <v>3</v>
      </c>
      <c r="T606" s="14">
        <v>0.7</v>
      </c>
      <c r="U606" s="13">
        <v>-5.5338000000000003</v>
      </c>
    </row>
    <row r="607" spans="1:21" ht="15" customHeight="1" x14ac:dyDescent="0.3">
      <c r="A607">
        <v>606</v>
      </c>
      <c r="B607" t="s">
        <v>2196</v>
      </c>
      <c r="C607" s="12">
        <v>41713</v>
      </c>
      <c r="D607" s="12">
        <v>41717</v>
      </c>
      <c r="E607" t="s">
        <v>233</v>
      </c>
      <c r="F607" t="s">
        <v>2197</v>
      </c>
      <c r="G607" t="s">
        <v>2198</v>
      </c>
      <c r="H607" t="s">
        <v>209</v>
      </c>
      <c r="I607" t="s">
        <v>210</v>
      </c>
      <c r="J607" t="s">
        <v>1085</v>
      </c>
      <c r="K607" t="s">
        <v>237</v>
      </c>
      <c r="L607">
        <v>33614</v>
      </c>
      <c r="M607" t="s">
        <v>213</v>
      </c>
      <c r="N607" t="s">
        <v>1682</v>
      </c>
      <c r="O607" t="s">
        <v>229</v>
      </c>
      <c r="P607" t="s">
        <v>258</v>
      </c>
      <c r="Q607" t="s">
        <v>1683</v>
      </c>
      <c r="R607" s="13">
        <v>43.188000000000002</v>
      </c>
      <c r="S607">
        <v>4</v>
      </c>
      <c r="T607" s="14">
        <v>0.7</v>
      </c>
      <c r="U607" s="13">
        <v>-31.671199999999999</v>
      </c>
    </row>
    <row r="608" spans="1:21" ht="15" customHeight="1" x14ac:dyDescent="0.3">
      <c r="A608">
        <v>607</v>
      </c>
      <c r="B608" t="s">
        <v>2196</v>
      </c>
      <c r="C608" s="12">
        <v>41713</v>
      </c>
      <c r="D608" s="12">
        <v>41717</v>
      </c>
      <c r="E608" t="s">
        <v>233</v>
      </c>
      <c r="F608" t="s">
        <v>2197</v>
      </c>
      <c r="G608" t="s">
        <v>2198</v>
      </c>
      <c r="H608" t="s">
        <v>209</v>
      </c>
      <c r="I608" t="s">
        <v>210</v>
      </c>
      <c r="J608" t="s">
        <v>1085</v>
      </c>
      <c r="K608" t="s">
        <v>237</v>
      </c>
      <c r="L608">
        <v>33614</v>
      </c>
      <c r="M608" t="s">
        <v>213</v>
      </c>
      <c r="N608" t="s">
        <v>2201</v>
      </c>
      <c r="O608" t="s">
        <v>229</v>
      </c>
      <c r="P608" t="s">
        <v>273</v>
      </c>
      <c r="Q608" t="s">
        <v>2202</v>
      </c>
      <c r="R608" s="13">
        <v>131.904</v>
      </c>
      <c r="S608">
        <v>3</v>
      </c>
      <c r="T608" s="14">
        <v>0.2</v>
      </c>
      <c r="U608" s="13">
        <v>47.815199999999997</v>
      </c>
    </row>
    <row r="609" spans="1:21" ht="15" customHeight="1" x14ac:dyDescent="0.3">
      <c r="A609">
        <v>608</v>
      </c>
      <c r="B609" t="s">
        <v>2203</v>
      </c>
      <c r="C609" s="12">
        <v>41782</v>
      </c>
      <c r="D609" s="12">
        <v>41786</v>
      </c>
      <c r="E609" t="s">
        <v>233</v>
      </c>
      <c r="F609" t="s">
        <v>2204</v>
      </c>
      <c r="G609" t="s">
        <v>2205</v>
      </c>
      <c r="H609" t="s">
        <v>209</v>
      </c>
      <c r="I609" t="s">
        <v>210</v>
      </c>
      <c r="J609" t="s">
        <v>329</v>
      </c>
      <c r="K609" t="s">
        <v>330</v>
      </c>
      <c r="L609">
        <v>19134</v>
      </c>
      <c r="M609" t="s">
        <v>331</v>
      </c>
      <c r="N609" t="s">
        <v>2206</v>
      </c>
      <c r="O609" t="s">
        <v>229</v>
      </c>
      <c r="P609" t="s">
        <v>258</v>
      </c>
      <c r="Q609" t="s">
        <v>2207</v>
      </c>
      <c r="R609" s="13">
        <v>3.282</v>
      </c>
      <c r="S609">
        <v>2</v>
      </c>
      <c r="T609" s="14">
        <v>0.7</v>
      </c>
      <c r="U609" s="13">
        <v>-2.6255999999999999</v>
      </c>
    </row>
    <row r="610" spans="1:21" ht="15" customHeight="1" x14ac:dyDescent="0.3">
      <c r="A610">
        <v>609</v>
      </c>
      <c r="B610" t="s">
        <v>2203</v>
      </c>
      <c r="C610" s="12">
        <v>41782</v>
      </c>
      <c r="D610" s="12">
        <v>41786</v>
      </c>
      <c r="E610" t="s">
        <v>233</v>
      </c>
      <c r="F610" t="s">
        <v>2204</v>
      </c>
      <c r="G610" t="s">
        <v>2205</v>
      </c>
      <c r="H610" t="s">
        <v>209</v>
      </c>
      <c r="I610" t="s">
        <v>210</v>
      </c>
      <c r="J610" t="s">
        <v>329</v>
      </c>
      <c r="K610" t="s">
        <v>330</v>
      </c>
      <c r="L610">
        <v>19134</v>
      </c>
      <c r="M610" t="s">
        <v>331</v>
      </c>
      <c r="N610" t="s">
        <v>1946</v>
      </c>
      <c r="O610" t="s">
        <v>229</v>
      </c>
      <c r="P610" t="s">
        <v>251</v>
      </c>
      <c r="Q610" t="s">
        <v>1947</v>
      </c>
      <c r="R610" s="13">
        <v>21.167999999999999</v>
      </c>
      <c r="S610">
        <v>9</v>
      </c>
      <c r="T610" s="14">
        <v>0.2</v>
      </c>
      <c r="U610" s="13">
        <v>2.3814000000000002</v>
      </c>
    </row>
    <row r="611" spans="1:21" ht="15" customHeight="1" x14ac:dyDescent="0.3">
      <c r="A611">
        <v>610</v>
      </c>
      <c r="B611" t="s">
        <v>2203</v>
      </c>
      <c r="C611" s="12">
        <v>41782</v>
      </c>
      <c r="D611" s="12">
        <v>41786</v>
      </c>
      <c r="E611" t="s">
        <v>233</v>
      </c>
      <c r="F611" t="s">
        <v>2204</v>
      </c>
      <c r="G611" t="s">
        <v>2205</v>
      </c>
      <c r="H611" t="s">
        <v>209</v>
      </c>
      <c r="I611" t="s">
        <v>210</v>
      </c>
      <c r="J611" t="s">
        <v>329</v>
      </c>
      <c r="K611" t="s">
        <v>330</v>
      </c>
      <c r="L611">
        <v>19134</v>
      </c>
      <c r="M611" t="s">
        <v>331</v>
      </c>
      <c r="N611" t="s">
        <v>2208</v>
      </c>
      <c r="O611" t="s">
        <v>254</v>
      </c>
      <c r="P611" t="s">
        <v>255</v>
      </c>
      <c r="Q611" t="s">
        <v>2209</v>
      </c>
      <c r="R611" s="13">
        <v>55.188000000000002</v>
      </c>
      <c r="S611">
        <v>2</v>
      </c>
      <c r="T611" s="14">
        <v>0.4</v>
      </c>
      <c r="U611" s="13">
        <v>-10.117800000000001</v>
      </c>
    </row>
    <row r="612" spans="1:21" ht="15" customHeight="1" x14ac:dyDescent="0.3">
      <c r="A612">
        <v>611</v>
      </c>
      <c r="B612" t="s">
        <v>2210</v>
      </c>
      <c r="C612" s="12">
        <v>42488</v>
      </c>
      <c r="D612" s="12">
        <v>42491</v>
      </c>
      <c r="E612" t="s">
        <v>371</v>
      </c>
      <c r="F612" t="s">
        <v>2211</v>
      </c>
      <c r="G612" t="s">
        <v>2212</v>
      </c>
      <c r="H612" t="s">
        <v>224</v>
      </c>
      <c r="I612" t="s">
        <v>210</v>
      </c>
      <c r="J612" t="s">
        <v>1000</v>
      </c>
      <c r="K612" t="s">
        <v>287</v>
      </c>
      <c r="L612">
        <v>75217</v>
      </c>
      <c r="M612" t="s">
        <v>288</v>
      </c>
      <c r="N612" t="s">
        <v>1565</v>
      </c>
      <c r="O612" t="s">
        <v>254</v>
      </c>
      <c r="P612" t="s">
        <v>255</v>
      </c>
      <c r="Q612" t="s">
        <v>1566</v>
      </c>
      <c r="R612" s="13">
        <v>369.57600000000002</v>
      </c>
      <c r="S612">
        <v>3</v>
      </c>
      <c r="T612" s="14">
        <v>0.2</v>
      </c>
      <c r="U612" s="13">
        <v>41.577300000000001</v>
      </c>
    </row>
    <row r="613" spans="1:21" ht="15" customHeight="1" x14ac:dyDescent="0.3">
      <c r="A613">
        <v>612</v>
      </c>
      <c r="B613" t="s">
        <v>2210</v>
      </c>
      <c r="C613" s="12">
        <v>42488</v>
      </c>
      <c r="D613" s="12">
        <v>42491</v>
      </c>
      <c r="E613" t="s">
        <v>371</v>
      </c>
      <c r="F613" t="s">
        <v>2211</v>
      </c>
      <c r="G613" t="s">
        <v>2212</v>
      </c>
      <c r="H613" t="s">
        <v>224</v>
      </c>
      <c r="I613" t="s">
        <v>210</v>
      </c>
      <c r="J613" t="s">
        <v>1000</v>
      </c>
      <c r="K613" t="s">
        <v>287</v>
      </c>
      <c r="L613">
        <v>75217</v>
      </c>
      <c r="M613" t="s">
        <v>288</v>
      </c>
      <c r="N613" t="s">
        <v>2213</v>
      </c>
      <c r="O613" t="s">
        <v>229</v>
      </c>
      <c r="P613" t="s">
        <v>230</v>
      </c>
      <c r="Q613" t="s">
        <v>2214</v>
      </c>
      <c r="R613" s="13">
        <v>15.712</v>
      </c>
      <c r="S613">
        <v>4</v>
      </c>
      <c r="T613" s="14">
        <v>0.2</v>
      </c>
      <c r="U613" s="13">
        <v>5.6955999999999998</v>
      </c>
    </row>
    <row r="614" spans="1:21" ht="15" customHeight="1" x14ac:dyDescent="0.3">
      <c r="A614">
        <v>613</v>
      </c>
      <c r="B614" t="s">
        <v>2215</v>
      </c>
      <c r="C614" s="12">
        <v>42624</v>
      </c>
      <c r="D614" s="12">
        <v>42626</v>
      </c>
      <c r="E614" t="s">
        <v>206</v>
      </c>
      <c r="F614" t="s">
        <v>2216</v>
      </c>
      <c r="G614" t="s">
        <v>2217</v>
      </c>
      <c r="H614" t="s">
        <v>224</v>
      </c>
      <c r="I614" t="s">
        <v>210</v>
      </c>
      <c r="J614" t="s">
        <v>329</v>
      </c>
      <c r="K614" t="s">
        <v>330</v>
      </c>
      <c r="L614">
        <v>19143</v>
      </c>
      <c r="M614" t="s">
        <v>331</v>
      </c>
      <c r="N614" t="s">
        <v>2218</v>
      </c>
      <c r="O614" t="s">
        <v>229</v>
      </c>
      <c r="P614" t="s">
        <v>273</v>
      </c>
      <c r="Q614" t="s">
        <v>2219</v>
      </c>
      <c r="R614" s="13">
        <v>8.4480000000000004</v>
      </c>
      <c r="S614">
        <v>2</v>
      </c>
      <c r="T614" s="14">
        <v>0.2</v>
      </c>
      <c r="U614" s="13">
        <v>2.64</v>
      </c>
    </row>
    <row r="615" spans="1:21" ht="15" customHeight="1" x14ac:dyDescent="0.3">
      <c r="A615">
        <v>614</v>
      </c>
      <c r="B615" t="s">
        <v>2215</v>
      </c>
      <c r="C615" s="12">
        <v>42624</v>
      </c>
      <c r="D615" s="12">
        <v>42626</v>
      </c>
      <c r="E615" t="s">
        <v>206</v>
      </c>
      <c r="F615" t="s">
        <v>2216</v>
      </c>
      <c r="G615" t="s">
        <v>2217</v>
      </c>
      <c r="H615" t="s">
        <v>224</v>
      </c>
      <c r="I615" t="s">
        <v>210</v>
      </c>
      <c r="J615" t="s">
        <v>329</v>
      </c>
      <c r="K615" t="s">
        <v>330</v>
      </c>
      <c r="L615">
        <v>19143</v>
      </c>
      <c r="M615" t="s">
        <v>331</v>
      </c>
      <c r="N615" t="s">
        <v>2220</v>
      </c>
      <c r="O615" t="s">
        <v>254</v>
      </c>
      <c r="P615" t="s">
        <v>255</v>
      </c>
      <c r="Q615" t="s">
        <v>2221</v>
      </c>
      <c r="R615" s="13">
        <v>728.94600000000003</v>
      </c>
      <c r="S615">
        <v>9</v>
      </c>
      <c r="T615" s="14">
        <v>0.4</v>
      </c>
      <c r="U615" s="13">
        <v>-157.9383</v>
      </c>
    </row>
    <row r="616" spans="1:21" ht="15" customHeight="1" x14ac:dyDescent="0.3">
      <c r="A616">
        <v>615</v>
      </c>
      <c r="B616" t="s">
        <v>2222</v>
      </c>
      <c r="C616" s="12">
        <v>43053</v>
      </c>
      <c r="D616" s="12">
        <v>43056</v>
      </c>
      <c r="E616" t="s">
        <v>206</v>
      </c>
      <c r="F616" t="s">
        <v>2223</v>
      </c>
      <c r="G616" t="s">
        <v>2224</v>
      </c>
      <c r="H616" t="s">
        <v>209</v>
      </c>
      <c r="I616" t="s">
        <v>210</v>
      </c>
      <c r="J616" t="s">
        <v>2225</v>
      </c>
      <c r="K616" t="s">
        <v>681</v>
      </c>
      <c r="L616">
        <v>43123</v>
      </c>
      <c r="M616" t="s">
        <v>331</v>
      </c>
      <c r="N616" t="s">
        <v>1109</v>
      </c>
      <c r="O616" t="s">
        <v>254</v>
      </c>
      <c r="P616" t="s">
        <v>255</v>
      </c>
      <c r="Q616" t="s">
        <v>1110</v>
      </c>
      <c r="R616" s="13">
        <v>119.94</v>
      </c>
      <c r="S616">
        <v>10</v>
      </c>
      <c r="T616" s="14">
        <v>0.4</v>
      </c>
      <c r="U616" s="13">
        <v>15.992000000000001</v>
      </c>
    </row>
    <row r="617" spans="1:21" ht="15" customHeight="1" x14ac:dyDescent="0.3">
      <c r="A617">
        <v>616</v>
      </c>
      <c r="B617" t="s">
        <v>2222</v>
      </c>
      <c r="C617" s="12">
        <v>43053</v>
      </c>
      <c r="D617" s="12">
        <v>43056</v>
      </c>
      <c r="E617" t="s">
        <v>206</v>
      </c>
      <c r="F617" t="s">
        <v>2223</v>
      </c>
      <c r="G617" t="s">
        <v>2224</v>
      </c>
      <c r="H617" t="s">
        <v>209</v>
      </c>
      <c r="I617" t="s">
        <v>210</v>
      </c>
      <c r="J617" t="s">
        <v>2225</v>
      </c>
      <c r="K617" t="s">
        <v>681</v>
      </c>
      <c r="L617">
        <v>43123</v>
      </c>
      <c r="M617" t="s">
        <v>331</v>
      </c>
      <c r="N617" t="s">
        <v>2226</v>
      </c>
      <c r="O617" t="s">
        <v>229</v>
      </c>
      <c r="P617" t="s">
        <v>258</v>
      </c>
      <c r="Q617" t="s">
        <v>2227</v>
      </c>
      <c r="R617" s="13">
        <v>3.6480000000000001</v>
      </c>
      <c r="S617">
        <v>2</v>
      </c>
      <c r="T617" s="14">
        <v>0.7</v>
      </c>
      <c r="U617" s="13">
        <v>-2.7968000000000002</v>
      </c>
    </row>
    <row r="618" spans="1:21" ht="15" customHeight="1" x14ac:dyDescent="0.3">
      <c r="A618">
        <v>617</v>
      </c>
      <c r="B618" t="s">
        <v>2228</v>
      </c>
      <c r="C618" s="12">
        <v>42965</v>
      </c>
      <c r="D618" s="12">
        <v>42970</v>
      </c>
      <c r="E618" t="s">
        <v>206</v>
      </c>
      <c r="F618" t="s">
        <v>2229</v>
      </c>
      <c r="G618" t="s">
        <v>2230</v>
      </c>
      <c r="H618" t="s">
        <v>224</v>
      </c>
      <c r="I618" t="s">
        <v>210</v>
      </c>
      <c r="J618" t="s">
        <v>449</v>
      </c>
      <c r="K618" t="s">
        <v>450</v>
      </c>
      <c r="L618">
        <v>10011</v>
      </c>
      <c r="M618" t="s">
        <v>331</v>
      </c>
      <c r="N618" t="s">
        <v>2231</v>
      </c>
      <c r="O618" t="s">
        <v>215</v>
      </c>
      <c r="P618" t="s">
        <v>248</v>
      </c>
      <c r="Q618" t="s">
        <v>2232</v>
      </c>
      <c r="R618" s="13">
        <v>40.479999999999997</v>
      </c>
      <c r="S618">
        <v>2</v>
      </c>
      <c r="T618" s="14">
        <v>0</v>
      </c>
      <c r="U618" s="13">
        <v>15.7872</v>
      </c>
    </row>
    <row r="619" spans="1:21" ht="15" customHeight="1" x14ac:dyDescent="0.3">
      <c r="A619">
        <v>618</v>
      </c>
      <c r="B619" t="s">
        <v>2228</v>
      </c>
      <c r="C619" s="12">
        <v>42965</v>
      </c>
      <c r="D619" s="12">
        <v>42970</v>
      </c>
      <c r="E619" t="s">
        <v>206</v>
      </c>
      <c r="F619" t="s">
        <v>2229</v>
      </c>
      <c r="G619" t="s">
        <v>2230</v>
      </c>
      <c r="H619" t="s">
        <v>224</v>
      </c>
      <c r="I619" t="s">
        <v>210</v>
      </c>
      <c r="J619" t="s">
        <v>449</v>
      </c>
      <c r="K619" t="s">
        <v>450</v>
      </c>
      <c r="L619">
        <v>10011</v>
      </c>
      <c r="M619" t="s">
        <v>331</v>
      </c>
      <c r="N619" t="s">
        <v>2233</v>
      </c>
      <c r="O619" t="s">
        <v>215</v>
      </c>
      <c r="P619" t="s">
        <v>248</v>
      </c>
      <c r="Q619" t="s">
        <v>2234</v>
      </c>
      <c r="R619" s="13">
        <v>9.94</v>
      </c>
      <c r="S619">
        <v>2</v>
      </c>
      <c r="T619" s="14">
        <v>0</v>
      </c>
      <c r="U619" s="13">
        <v>3.0813999999999999</v>
      </c>
    </row>
    <row r="620" spans="1:21" ht="15" customHeight="1" x14ac:dyDescent="0.3">
      <c r="A620">
        <v>619</v>
      </c>
      <c r="B620" t="s">
        <v>2228</v>
      </c>
      <c r="C620" s="12">
        <v>42965</v>
      </c>
      <c r="D620" s="12">
        <v>42970</v>
      </c>
      <c r="E620" t="s">
        <v>206</v>
      </c>
      <c r="F620" t="s">
        <v>2229</v>
      </c>
      <c r="G620" t="s">
        <v>2230</v>
      </c>
      <c r="H620" t="s">
        <v>224</v>
      </c>
      <c r="I620" t="s">
        <v>210</v>
      </c>
      <c r="J620" t="s">
        <v>449</v>
      </c>
      <c r="K620" t="s">
        <v>450</v>
      </c>
      <c r="L620">
        <v>10011</v>
      </c>
      <c r="M620" t="s">
        <v>331</v>
      </c>
      <c r="N620" t="s">
        <v>2235</v>
      </c>
      <c r="O620" t="s">
        <v>229</v>
      </c>
      <c r="P620" t="s">
        <v>258</v>
      </c>
      <c r="Q620" t="s">
        <v>2236</v>
      </c>
      <c r="R620" s="13">
        <v>107.42400000000001</v>
      </c>
      <c r="S620">
        <v>9</v>
      </c>
      <c r="T620" s="14">
        <v>0.2</v>
      </c>
      <c r="U620" s="13">
        <v>33.57</v>
      </c>
    </row>
    <row r="621" spans="1:21" ht="15" customHeight="1" x14ac:dyDescent="0.3">
      <c r="A621">
        <v>620</v>
      </c>
      <c r="B621" t="s">
        <v>2228</v>
      </c>
      <c r="C621" s="12">
        <v>42965</v>
      </c>
      <c r="D621" s="12">
        <v>42970</v>
      </c>
      <c r="E621" t="s">
        <v>206</v>
      </c>
      <c r="F621" t="s">
        <v>2229</v>
      </c>
      <c r="G621" t="s">
        <v>2230</v>
      </c>
      <c r="H621" t="s">
        <v>224</v>
      </c>
      <c r="I621" t="s">
        <v>210</v>
      </c>
      <c r="J621" t="s">
        <v>449</v>
      </c>
      <c r="K621" t="s">
        <v>450</v>
      </c>
      <c r="L621">
        <v>10011</v>
      </c>
      <c r="M621" t="s">
        <v>331</v>
      </c>
      <c r="N621" t="s">
        <v>2237</v>
      </c>
      <c r="O621" t="s">
        <v>254</v>
      </c>
      <c r="P621" t="s">
        <v>255</v>
      </c>
      <c r="Q621" t="s">
        <v>2238</v>
      </c>
      <c r="R621" s="13">
        <v>37.909999999999997</v>
      </c>
      <c r="S621">
        <v>1</v>
      </c>
      <c r="T621" s="14">
        <v>0</v>
      </c>
      <c r="U621" s="13">
        <v>10.9939</v>
      </c>
    </row>
    <row r="622" spans="1:21" ht="15" customHeight="1" x14ac:dyDescent="0.3">
      <c r="A622">
        <v>621</v>
      </c>
      <c r="B622" t="s">
        <v>2228</v>
      </c>
      <c r="C622" s="12">
        <v>42965</v>
      </c>
      <c r="D622" s="12">
        <v>42970</v>
      </c>
      <c r="E622" t="s">
        <v>206</v>
      </c>
      <c r="F622" t="s">
        <v>2229</v>
      </c>
      <c r="G622" t="s">
        <v>2230</v>
      </c>
      <c r="H622" t="s">
        <v>224</v>
      </c>
      <c r="I622" t="s">
        <v>210</v>
      </c>
      <c r="J622" t="s">
        <v>449</v>
      </c>
      <c r="K622" t="s">
        <v>450</v>
      </c>
      <c r="L622">
        <v>10011</v>
      </c>
      <c r="M622" t="s">
        <v>331</v>
      </c>
      <c r="N622" t="s">
        <v>791</v>
      </c>
      <c r="O622" t="s">
        <v>215</v>
      </c>
      <c r="P622" t="s">
        <v>248</v>
      </c>
      <c r="Q622" t="s">
        <v>792</v>
      </c>
      <c r="R622" s="13">
        <v>88.02</v>
      </c>
      <c r="S622">
        <v>3</v>
      </c>
      <c r="T622" s="14">
        <v>0</v>
      </c>
      <c r="U622" s="13">
        <v>27.286200000000001</v>
      </c>
    </row>
    <row r="623" spans="1:21" ht="15" customHeight="1" x14ac:dyDescent="0.3">
      <c r="A623">
        <v>622</v>
      </c>
      <c r="B623" t="s">
        <v>2239</v>
      </c>
      <c r="C623" s="12">
        <v>41999</v>
      </c>
      <c r="D623" s="12">
        <v>42004</v>
      </c>
      <c r="E623" t="s">
        <v>233</v>
      </c>
      <c r="F623" t="s">
        <v>2240</v>
      </c>
      <c r="G623" t="s">
        <v>2241</v>
      </c>
      <c r="H623" t="s">
        <v>209</v>
      </c>
      <c r="I623" t="s">
        <v>210</v>
      </c>
      <c r="J623" t="s">
        <v>486</v>
      </c>
      <c r="K623" t="s">
        <v>394</v>
      </c>
      <c r="L623">
        <v>60610</v>
      </c>
      <c r="M623" t="s">
        <v>288</v>
      </c>
      <c r="N623" t="s">
        <v>2242</v>
      </c>
      <c r="O623" t="s">
        <v>229</v>
      </c>
      <c r="P623" t="s">
        <v>258</v>
      </c>
      <c r="Q623" t="s">
        <v>2243</v>
      </c>
      <c r="R623" s="13">
        <v>8.69</v>
      </c>
      <c r="S623">
        <v>5</v>
      </c>
      <c r="T623" s="14">
        <v>0.8</v>
      </c>
      <c r="U623" s="13">
        <v>-14.773</v>
      </c>
    </row>
    <row r="624" spans="1:21" ht="15" customHeight="1" x14ac:dyDescent="0.3">
      <c r="A624">
        <v>623</v>
      </c>
      <c r="B624" t="s">
        <v>2244</v>
      </c>
      <c r="C624" s="12">
        <v>42337</v>
      </c>
      <c r="D624" s="12">
        <v>42341</v>
      </c>
      <c r="E624" t="s">
        <v>233</v>
      </c>
      <c r="F624" t="s">
        <v>2245</v>
      </c>
      <c r="G624" t="s">
        <v>2246</v>
      </c>
      <c r="H624" t="s">
        <v>224</v>
      </c>
      <c r="I624" t="s">
        <v>210</v>
      </c>
      <c r="J624" t="s">
        <v>2247</v>
      </c>
      <c r="K624" t="s">
        <v>421</v>
      </c>
      <c r="L624">
        <v>48126</v>
      </c>
      <c r="M624" t="s">
        <v>288</v>
      </c>
      <c r="N624" t="s">
        <v>2248</v>
      </c>
      <c r="O624" t="s">
        <v>215</v>
      </c>
      <c r="P624" t="s">
        <v>219</v>
      </c>
      <c r="Q624" t="s">
        <v>2249</v>
      </c>
      <c r="R624" s="13">
        <v>301.95999999999998</v>
      </c>
      <c r="S624">
        <v>2</v>
      </c>
      <c r="T624" s="14">
        <v>0</v>
      </c>
      <c r="U624" s="13">
        <v>87.568399999999997</v>
      </c>
    </row>
    <row r="625" spans="1:21" ht="15" customHeight="1" x14ac:dyDescent="0.3">
      <c r="A625">
        <v>624</v>
      </c>
      <c r="B625" t="s">
        <v>2244</v>
      </c>
      <c r="C625" s="12">
        <v>42337</v>
      </c>
      <c r="D625" s="12">
        <v>42341</v>
      </c>
      <c r="E625" t="s">
        <v>233</v>
      </c>
      <c r="F625" t="s">
        <v>2245</v>
      </c>
      <c r="G625" t="s">
        <v>2246</v>
      </c>
      <c r="H625" t="s">
        <v>224</v>
      </c>
      <c r="I625" t="s">
        <v>210</v>
      </c>
      <c r="J625" t="s">
        <v>2247</v>
      </c>
      <c r="K625" t="s">
        <v>421</v>
      </c>
      <c r="L625">
        <v>48126</v>
      </c>
      <c r="M625" t="s">
        <v>288</v>
      </c>
      <c r="N625" t="s">
        <v>2250</v>
      </c>
      <c r="O625" t="s">
        <v>229</v>
      </c>
      <c r="P625" t="s">
        <v>261</v>
      </c>
      <c r="Q625" t="s">
        <v>2251</v>
      </c>
      <c r="R625" s="13">
        <v>555.21</v>
      </c>
      <c r="S625">
        <v>5</v>
      </c>
      <c r="T625" s="14">
        <v>0.1</v>
      </c>
      <c r="U625" s="13">
        <v>178.90100000000001</v>
      </c>
    </row>
    <row r="626" spans="1:21" ht="15" customHeight="1" x14ac:dyDescent="0.3">
      <c r="A626">
        <v>625</v>
      </c>
      <c r="B626" t="s">
        <v>2244</v>
      </c>
      <c r="C626" s="12">
        <v>42337</v>
      </c>
      <c r="D626" s="12">
        <v>42341</v>
      </c>
      <c r="E626" t="s">
        <v>233</v>
      </c>
      <c r="F626" t="s">
        <v>2245</v>
      </c>
      <c r="G626" t="s">
        <v>2246</v>
      </c>
      <c r="H626" t="s">
        <v>224</v>
      </c>
      <c r="I626" t="s">
        <v>210</v>
      </c>
      <c r="J626" t="s">
        <v>2247</v>
      </c>
      <c r="K626" t="s">
        <v>421</v>
      </c>
      <c r="L626">
        <v>48126</v>
      </c>
      <c r="M626" t="s">
        <v>288</v>
      </c>
      <c r="N626" t="s">
        <v>2252</v>
      </c>
      <c r="O626" t="s">
        <v>229</v>
      </c>
      <c r="P626" t="s">
        <v>242</v>
      </c>
      <c r="Q626" t="s">
        <v>2253</v>
      </c>
      <c r="R626" s="13">
        <v>523.48</v>
      </c>
      <c r="S626">
        <v>4</v>
      </c>
      <c r="T626" s="14">
        <v>0</v>
      </c>
      <c r="U626" s="13">
        <v>130.87</v>
      </c>
    </row>
    <row r="627" spans="1:21" ht="15" customHeight="1" x14ac:dyDescent="0.3">
      <c r="A627">
        <v>626</v>
      </c>
      <c r="B627" t="s">
        <v>2244</v>
      </c>
      <c r="C627" s="12">
        <v>42337</v>
      </c>
      <c r="D627" s="12">
        <v>42341</v>
      </c>
      <c r="E627" t="s">
        <v>233</v>
      </c>
      <c r="F627" t="s">
        <v>2245</v>
      </c>
      <c r="G627" t="s">
        <v>2246</v>
      </c>
      <c r="H627" t="s">
        <v>224</v>
      </c>
      <c r="I627" t="s">
        <v>210</v>
      </c>
      <c r="J627" t="s">
        <v>2247</v>
      </c>
      <c r="K627" t="s">
        <v>421</v>
      </c>
      <c r="L627">
        <v>48126</v>
      </c>
      <c r="M627" t="s">
        <v>288</v>
      </c>
      <c r="N627" t="s">
        <v>358</v>
      </c>
      <c r="O627" t="s">
        <v>229</v>
      </c>
      <c r="P627" t="s">
        <v>251</v>
      </c>
      <c r="Q627" t="s">
        <v>359</v>
      </c>
      <c r="R627" s="13">
        <v>161.82</v>
      </c>
      <c r="S627">
        <v>9</v>
      </c>
      <c r="T627" s="14">
        <v>0</v>
      </c>
      <c r="U627" s="13">
        <v>46.927799999999998</v>
      </c>
    </row>
    <row r="628" spans="1:21" ht="15" customHeight="1" x14ac:dyDescent="0.3">
      <c r="A628">
        <v>627</v>
      </c>
      <c r="B628" t="s">
        <v>2254</v>
      </c>
      <c r="C628" s="12">
        <v>42993</v>
      </c>
      <c r="D628" s="12">
        <v>42997</v>
      </c>
      <c r="E628" t="s">
        <v>233</v>
      </c>
      <c r="F628" t="s">
        <v>2255</v>
      </c>
      <c r="G628" t="s">
        <v>2256</v>
      </c>
      <c r="H628" t="s">
        <v>285</v>
      </c>
      <c r="I628" t="s">
        <v>210</v>
      </c>
      <c r="J628" t="s">
        <v>449</v>
      </c>
      <c r="K628" t="s">
        <v>450</v>
      </c>
      <c r="L628">
        <v>10009</v>
      </c>
      <c r="M628" t="s">
        <v>331</v>
      </c>
      <c r="N628" t="s">
        <v>2257</v>
      </c>
      <c r="O628" t="s">
        <v>215</v>
      </c>
      <c r="P628" t="s">
        <v>248</v>
      </c>
      <c r="Q628" t="s">
        <v>2258</v>
      </c>
      <c r="R628" s="13">
        <v>35.56</v>
      </c>
      <c r="S628">
        <v>7</v>
      </c>
      <c r="T628" s="14">
        <v>0</v>
      </c>
      <c r="U628" s="13">
        <v>12.090400000000001</v>
      </c>
    </row>
    <row r="629" spans="1:21" ht="15" customHeight="1" x14ac:dyDescent="0.3">
      <c r="A629">
        <v>628</v>
      </c>
      <c r="B629" t="s">
        <v>2259</v>
      </c>
      <c r="C629" s="12">
        <v>42874</v>
      </c>
      <c r="D629" s="12">
        <v>42878</v>
      </c>
      <c r="E629" t="s">
        <v>233</v>
      </c>
      <c r="F629" t="s">
        <v>2260</v>
      </c>
      <c r="G629" t="s">
        <v>2261</v>
      </c>
      <c r="H629" t="s">
        <v>209</v>
      </c>
      <c r="I629" t="s">
        <v>210</v>
      </c>
      <c r="J629" t="s">
        <v>278</v>
      </c>
      <c r="K629" t="s">
        <v>279</v>
      </c>
      <c r="L629">
        <v>98115</v>
      </c>
      <c r="M629" t="s">
        <v>227</v>
      </c>
      <c r="N629" t="s">
        <v>2262</v>
      </c>
      <c r="O629" t="s">
        <v>229</v>
      </c>
      <c r="P629" t="s">
        <v>261</v>
      </c>
      <c r="Q629" t="s">
        <v>2263</v>
      </c>
      <c r="R629" s="13">
        <v>97.16</v>
      </c>
      <c r="S629">
        <v>2</v>
      </c>
      <c r="T629" s="14">
        <v>0</v>
      </c>
      <c r="U629" s="13">
        <v>28.176400000000001</v>
      </c>
    </row>
    <row r="630" spans="1:21" ht="15" customHeight="1" x14ac:dyDescent="0.3">
      <c r="A630">
        <v>629</v>
      </c>
      <c r="B630" t="s">
        <v>2264</v>
      </c>
      <c r="C630" s="12">
        <v>43086</v>
      </c>
      <c r="D630" s="12">
        <v>43090</v>
      </c>
      <c r="E630" t="s">
        <v>233</v>
      </c>
      <c r="F630" t="s">
        <v>998</v>
      </c>
      <c r="G630" t="s">
        <v>999</v>
      </c>
      <c r="H630" t="s">
        <v>209</v>
      </c>
      <c r="I630" t="s">
        <v>210</v>
      </c>
      <c r="J630" t="s">
        <v>310</v>
      </c>
      <c r="K630" t="s">
        <v>226</v>
      </c>
      <c r="L630">
        <v>94122</v>
      </c>
      <c r="M630" t="s">
        <v>227</v>
      </c>
      <c r="N630" t="s">
        <v>2265</v>
      </c>
      <c r="O630" t="s">
        <v>229</v>
      </c>
      <c r="P630" t="s">
        <v>258</v>
      </c>
      <c r="Q630" t="s">
        <v>2266</v>
      </c>
      <c r="R630" s="13">
        <v>15.24</v>
      </c>
      <c r="S630">
        <v>5</v>
      </c>
      <c r="T630" s="14">
        <v>0.2</v>
      </c>
      <c r="U630" s="13">
        <v>5.1435000000000004</v>
      </c>
    </row>
    <row r="631" spans="1:21" ht="15" customHeight="1" x14ac:dyDescent="0.3">
      <c r="A631">
        <v>630</v>
      </c>
      <c r="B631" t="s">
        <v>2264</v>
      </c>
      <c r="C631" s="12">
        <v>43086</v>
      </c>
      <c r="D631" s="12">
        <v>43090</v>
      </c>
      <c r="E631" t="s">
        <v>233</v>
      </c>
      <c r="F631" t="s">
        <v>998</v>
      </c>
      <c r="G631" t="s">
        <v>999</v>
      </c>
      <c r="H631" t="s">
        <v>209</v>
      </c>
      <c r="I631" t="s">
        <v>210</v>
      </c>
      <c r="J631" t="s">
        <v>310</v>
      </c>
      <c r="K631" t="s">
        <v>226</v>
      </c>
      <c r="L631">
        <v>94122</v>
      </c>
      <c r="M631" t="s">
        <v>227</v>
      </c>
      <c r="N631" t="s">
        <v>1214</v>
      </c>
      <c r="O631" t="s">
        <v>229</v>
      </c>
      <c r="P631" t="s">
        <v>273</v>
      </c>
      <c r="Q631" t="s">
        <v>1215</v>
      </c>
      <c r="R631" s="13">
        <v>13.23</v>
      </c>
      <c r="S631">
        <v>3</v>
      </c>
      <c r="T631" s="14">
        <v>0</v>
      </c>
      <c r="U631" s="13">
        <v>6.0857999999999999</v>
      </c>
    </row>
    <row r="632" spans="1:21" ht="15" customHeight="1" x14ac:dyDescent="0.3">
      <c r="A632">
        <v>631</v>
      </c>
      <c r="B632" t="s">
        <v>2267</v>
      </c>
      <c r="C632" s="12">
        <v>42715</v>
      </c>
      <c r="D632" s="12">
        <v>42717</v>
      </c>
      <c r="E632" t="s">
        <v>206</v>
      </c>
      <c r="F632" t="s">
        <v>2268</v>
      </c>
      <c r="G632" t="s">
        <v>2269</v>
      </c>
      <c r="H632" t="s">
        <v>209</v>
      </c>
      <c r="I632" t="s">
        <v>210</v>
      </c>
      <c r="J632" t="s">
        <v>639</v>
      </c>
      <c r="K632" t="s">
        <v>640</v>
      </c>
      <c r="L632">
        <v>80013</v>
      </c>
      <c r="M632" t="s">
        <v>227</v>
      </c>
      <c r="N632" t="s">
        <v>2270</v>
      </c>
      <c r="O632" t="s">
        <v>229</v>
      </c>
      <c r="P632" t="s">
        <v>242</v>
      </c>
      <c r="Q632" t="s">
        <v>2271</v>
      </c>
      <c r="R632" s="13">
        <v>243.38399999999999</v>
      </c>
      <c r="S632">
        <v>3</v>
      </c>
      <c r="T632" s="14">
        <v>0.2</v>
      </c>
      <c r="U632" s="13">
        <v>-51.719099999999997</v>
      </c>
    </row>
    <row r="633" spans="1:21" ht="15" customHeight="1" x14ac:dyDescent="0.3">
      <c r="A633">
        <v>632</v>
      </c>
      <c r="B633" t="s">
        <v>2267</v>
      </c>
      <c r="C633" s="12">
        <v>42715</v>
      </c>
      <c r="D633" s="12">
        <v>42717</v>
      </c>
      <c r="E633" t="s">
        <v>206</v>
      </c>
      <c r="F633" t="s">
        <v>2268</v>
      </c>
      <c r="G633" t="s">
        <v>2269</v>
      </c>
      <c r="H633" t="s">
        <v>209</v>
      </c>
      <c r="I633" t="s">
        <v>210</v>
      </c>
      <c r="J633" t="s">
        <v>639</v>
      </c>
      <c r="K633" t="s">
        <v>640</v>
      </c>
      <c r="L633">
        <v>80013</v>
      </c>
      <c r="M633" t="s">
        <v>227</v>
      </c>
      <c r="N633" t="s">
        <v>2272</v>
      </c>
      <c r="O633" t="s">
        <v>254</v>
      </c>
      <c r="P633" t="s">
        <v>344</v>
      </c>
      <c r="Q633" t="s">
        <v>2273</v>
      </c>
      <c r="R633" s="13">
        <v>119.8</v>
      </c>
      <c r="S633">
        <v>5</v>
      </c>
      <c r="T633" s="14">
        <v>0.2</v>
      </c>
      <c r="U633" s="13">
        <v>29.95</v>
      </c>
    </row>
    <row r="634" spans="1:21" ht="15" customHeight="1" x14ac:dyDescent="0.3">
      <c r="A634">
        <v>633</v>
      </c>
      <c r="B634" t="s">
        <v>2267</v>
      </c>
      <c r="C634" s="12">
        <v>42715</v>
      </c>
      <c r="D634" s="12">
        <v>42717</v>
      </c>
      <c r="E634" t="s">
        <v>206</v>
      </c>
      <c r="F634" t="s">
        <v>2268</v>
      </c>
      <c r="G634" t="s">
        <v>2269</v>
      </c>
      <c r="H634" t="s">
        <v>209</v>
      </c>
      <c r="I634" t="s">
        <v>210</v>
      </c>
      <c r="J634" t="s">
        <v>639</v>
      </c>
      <c r="K634" t="s">
        <v>640</v>
      </c>
      <c r="L634">
        <v>80013</v>
      </c>
      <c r="M634" t="s">
        <v>227</v>
      </c>
      <c r="N634" t="s">
        <v>2274</v>
      </c>
      <c r="O634" t="s">
        <v>254</v>
      </c>
      <c r="P634" t="s">
        <v>255</v>
      </c>
      <c r="Q634" t="s">
        <v>2275</v>
      </c>
      <c r="R634" s="13">
        <v>300.76799999999997</v>
      </c>
      <c r="S634">
        <v>4</v>
      </c>
      <c r="T634" s="14">
        <v>0.2</v>
      </c>
      <c r="U634" s="13">
        <v>30.076799999999999</v>
      </c>
    </row>
    <row r="635" spans="1:21" ht="15" customHeight="1" x14ac:dyDescent="0.3">
      <c r="A635">
        <v>634</v>
      </c>
      <c r="B635" t="s">
        <v>2276</v>
      </c>
      <c r="C635" s="12">
        <v>43002</v>
      </c>
      <c r="D635" s="12">
        <v>43004</v>
      </c>
      <c r="E635" t="s">
        <v>206</v>
      </c>
      <c r="F635" t="s">
        <v>1974</v>
      </c>
      <c r="G635" t="s">
        <v>1975</v>
      </c>
      <c r="H635" t="s">
        <v>209</v>
      </c>
      <c r="I635" t="s">
        <v>210</v>
      </c>
      <c r="J635" t="s">
        <v>1606</v>
      </c>
      <c r="K635" t="s">
        <v>237</v>
      </c>
      <c r="L635">
        <v>33180</v>
      </c>
      <c r="M635" t="s">
        <v>213</v>
      </c>
      <c r="N635" t="s">
        <v>2277</v>
      </c>
      <c r="O635" t="s">
        <v>254</v>
      </c>
      <c r="P635" t="s">
        <v>344</v>
      </c>
      <c r="Q635" t="s">
        <v>2278</v>
      </c>
      <c r="R635" s="13">
        <v>17.88</v>
      </c>
      <c r="S635">
        <v>3</v>
      </c>
      <c r="T635" s="14">
        <v>0.2</v>
      </c>
      <c r="U635" s="13">
        <v>2.4584999999999999</v>
      </c>
    </row>
    <row r="636" spans="1:21" ht="15" customHeight="1" x14ac:dyDescent="0.3">
      <c r="A636">
        <v>635</v>
      </c>
      <c r="B636" t="s">
        <v>2276</v>
      </c>
      <c r="C636" s="12">
        <v>43002</v>
      </c>
      <c r="D636" s="12">
        <v>43004</v>
      </c>
      <c r="E636" t="s">
        <v>206</v>
      </c>
      <c r="F636" t="s">
        <v>1974</v>
      </c>
      <c r="G636" t="s">
        <v>1975</v>
      </c>
      <c r="H636" t="s">
        <v>209</v>
      </c>
      <c r="I636" t="s">
        <v>210</v>
      </c>
      <c r="J636" t="s">
        <v>1606</v>
      </c>
      <c r="K636" t="s">
        <v>237</v>
      </c>
      <c r="L636">
        <v>33180</v>
      </c>
      <c r="M636" t="s">
        <v>213</v>
      </c>
      <c r="N636" t="s">
        <v>2159</v>
      </c>
      <c r="O636" t="s">
        <v>229</v>
      </c>
      <c r="P636" t="s">
        <v>230</v>
      </c>
      <c r="Q636" t="s">
        <v>2160</v>
      </c>
      <c r="R636" s="13">
        <v>235.94399999999999</v>
      </c>
      <c r="S636">
        <v>3</v>
      </c>
      <c r="T636" s="14">
        <v>0.2</v>
      </c>
      <c r="U636" s="13">
        <v>85.529700000000005</v>
      </c>
    </row>
    <row r="637" spans="1:21" ht="15" customHeight="1" x14ac:dyDescent="0.3">
      <c r="A637">
        <v>636</v>
      </c>
      <c r="B637" t="s">
        <v>2279</v>
      </c>
      <c r="C637" s="12">
        <v>42281</v>
      </c>
      <c r="D637" s="12">
        <v>42286</v>
      </c>
      <c r="E637" t="s">
        <v>206</v>
      </c>
      <c r="F637" t="s">
        <v>2280</v>
      </c>
      <c r="G637" t="s">
        <v>2281</v>
      </c>
      <c r="H637" t="s">
        <v>224</v>
      </c>
      <c r="I637" t="s">
        <v>210</v>
      </c>
      <c r="J637" t="s">
        <v>2282</v>
      </c>
      <c r="K637" t="s">
        <v>1458</v>
      </c>
      <c r="L637">
        <v>31088</v>
      </c>
      <c r="M637" t="s">
        <v>213</v>
      </c>
      <c r="N637" t="s">
        <v>2283</v>
      </c>
      <c r="O637" t="s">
        <v>215</v>
      </c>
      <c r="P637" t="s">
        <v>219</v>
      </c>
      <c r="Q637" t="s">
        <v>2284</v>
      </c>
      <c r="R637" s="13">
        <v>392.94</v>
      </c>
      <c r="S637">
        <v>3</v>
      </c>
      <c r="T637" s="14">
        <v>0</v>
      </c>
      <c r="U637" s="13">
        <v>43.223399999999998</v>
      </c>
    </row>
    <row r="638" spans="1:21" ht="15" customHeight="1" x14ac:dyDescent="0.3">
      <c r="A638">
        <v>637</v>
      </c>
      <c r="B638" t="s">
        <v>2285</v>
      </c>
      <c r="C638" s="12">
        <v>42597</v>
      </c>
      <c r="D638" s="12">
        <v>42603</v>
      </c>
      <c r="E638" t="s">
        <v>233</v>
      </c>
      <c r="F638" t="s">
        <v>2286</v>
      </c>
      <c r="G638" t="s">
        <v>2287</v>
      </c>
      <c r="H638" t="s">
        <v>209</v>
      </c>
      <c r="I638" t="s">
        <v>210</v>
      </c>
      <c r="J638" t="s">
        <v>639</v>
      </c>
      <c r="K638" t="s">
        <v>640</v>
      </c>
      <c r="L638">
        <v>80013</v>
      </c>
      <c r="M638" t="s">
        <v>227</v>
      </c>
      <c r="N638" t="s">
        <v>2288</v>
      </c>
      <c r="O638" t="s">
        <v>229</v>
      </c>
      <c r="P638" t="s">
        <v>258</v>
      </c>
      <c r="Q638" t="s">
        <v>2289</v>
      </c>
      <c r="R638" s="13">
        <v>18.882000000000001</v>
      </c>
      <c r="S638">
        <v>3</v>
      </c>
      <c r="T638" s="14">
        <v>0.7</v>
      </c>
      <c r="U638" s="13">
        <v>-13.8468</v>
      </c>
    </row>
    <row r="639" spans="1:21" ht="15" customHeight="1" x14ac:dyDescent="0.3">
      <c r="A639">
        <v>638</v>
      </c>
      <c r="B639" t="s">
        <v>2285</v>
      </c>
      <c r="C639" s="12">
        <v>42597</v>
      </c>
      <c r="D639" s="12">
        <v>42603</v>
      </c>
      <c r="E639" t="s">
        <v>233</v>
      </c>
      <c r="F639" t="s">
        <v>2286</v>
      </c>
      <c r="G639" t="s">
        <v>2287</v>
      </c>
      <c r="H639" t="s">
        <v>209</v>
      </c>
      <c r="I639" t="s">
        <v>210</v>
      </c>
      <c r="J639" t="s">
        <v>639</v>
      </c>
      <c r="K639" t="s">
        <v>640</v>
      </c>
      <c r="L639">
        <v>80013</v>
      </c>
      <c r="M639" t="s">
        <v>227</v>
      </c>
      <c r="N639" t="s">
        <v>2290</v>
      </c>
      <c r="O639" t="s">
        <v>229</v>
      </c>
      <c r="P639" t="s">
        <v>261</v>
      </c>
      <c r="Q639" t="s">
        <v>2291</v>
      </c>
      <c r="R639" s="13">
        <v>122.328</v>
      </c>
      <c r="S639">
        <v>3</v>
      </c>
      <c r="T639" s="14">
        <v>0.2</v>
      </c>
      <c r="U639" s="13">
        <v>12.232799999999999</v>
      </c>
    </row>
    <row r="640" spans="1:21" ht="15" customHeight="1" x14ac:dyDescent="0.3">
      <c r="A640">
        <v>639</v>
      </c>
      <c r="B640" t="s">
        <v>2292</v>
      </c>
      <c r="C640" s="12">
        <v>42510</v>
      </c>
      <c r="D640" s="12">
        <v>42515</v>
      </c>
      <c r="E640" t="s">
        <v>233</v>
      </c>
      <c r="F640" t="s">
        <v>623</v>
      </c>
      <c r="G640" t="s">
        <v>624</v>
      </c>
      <c r="H640" t="s">
        <v>285</v>
      </c>
      <c r="I640" t="s">
        <v>210</v>
      </c>
      <c r="J640" t="s">
        <v>2293</v>
      </c>
      <c r="K640" t="s">
        <v>226</v>
      </c>
      <c r="L640">
        <v>94591</v>
      </c>
      <c r="M640" t="s">
        <v>227</v>
      </c>
      <c r="N640" t="s">
        <v>1105</v>
      </c>
      <c r="O640" t="s">
        <v>215</v>
      </c>
      <c r="P640" t="s">
        <v>248</v>
      </c>
      <c r="Q640" t="s">
        <v>1106</v>
      </c>
      <c r="R640" s="13">
        <v>1049.2</v>
      </c>
      <c r="S640">
        <v>5</v>
      </c>
      <c r="T640" s="14">
        <v>0</v>
      </c>
      <c r="U640" s="13">
        <v>272.79199999999997</v>
      </c>
    </row>
    <row r="641" spans="1:21" ht="15" customHeight="1" x14ac:dyDescent="0.3">
      <c r="A641">
        <v>640</v>
      </c>
      <c r="B641" t="s">
        <v>2292</v>
      </c>
      <c r="C641" s="12">
        <v>42510</v>
      </c>
      <c r="D641" s="12">
        <v>42515</v>
      </c>
      <c r="E641" t="s">
        <v>233</v>
      </c>
      <c r="F641" t="s">
        <v>623</v>
      </c>
      <c r="G641" t="s">
        <v>624</v>
      </c>
      <c r="H641" t="s">
        <v>285</v>
      </c>
      <c r="I641" t="s">
        <v>210</v>
      </c>
      <c r="J641" t="s">
        <v>2293</v>
      </c>
      <c r="K641" t="s">
        <v>226</v>
      </c>
      <c r="L641">
        <v>94591</v>
      </c>
      <c r="M641" t="s">
        <v>227</v>
      </c>
      <c r="N641" t="s">
        <v>2294</v>
      </c>
      <c r="O641" t="s">
        <v>229</v>
      </c>
      <c r="P641" t="s">
        <v>258</v>
      </c>
      <c r="Q641" t="s">
        <v>2295</v>
      </c>
      <c r="R641" s="13">
        <v>15.423999999999999</v>
      </c>
      <c r="S641">
        <v>4</v>
      </c>
      <c r="T641" s="14">
        <v>0.2</v>
      </c>
      <c r="U641" s="13">
        <v>5.0128000000000004</v>
      </c>
    </row>
    <row r="642" spans="1:21" ht="15" customHeight="1" x14ac:dyDescent="0.3">
      <c r="A642">
        <v>641</v>
      </c>
      <c r="B642" t="s">
        <v>2296</v>
      </c>
      <c r="C642" s="12">
        <v>42722</v>
      </c>
      <c r="D642" s="12">
        <v>42726</v>
      </c>
      <c r="E642" t="s">
        <v>233</v>
      </c>
      <c r="F642" t="s">
        <v>2297</v>
      </c>
      <c r="G642" t="s">
        <v>2298</v>
      </c>
      <c r="H642" t="s">
        <v>224</v>
      </c>
      <c r="I642" t="s">
        <v>210</v>
      </c>
      <c r="J642" t="s">
        <v>592</v>
      </c>
      <c r="K642" t="s">
        <v>412</v>
      </c>
      <c r="L642">
        <v>55407</v>
      </c>
      <c r="M642" t="s">
        <v>288</v>
      </c>
      <c r="N642" t="s">
        <v>2299</v>
      </c>
      <c r="O642" t="s">
        <v>215</v>
      </c>
      <c r="P642" t="s">
        <v>248</v>
      </c>
      <c r="Q642" t="s">
        <v>2300</v>
      </c>
      <c r="R642" s="13">
        <v>18.84</v>
      </c>
      <c r="S642">
        <v>3</v>
      </c>
      <c r="T642" s="14">
        <v>0</v>
      </c>
      <c r="U642" s="13">
        <v>6.0288000000000004</v>
      </c>
    </row>
    <row r="643" spans="1:21" ht="15" customHeight="1" x14ac:dyDescent="0.3">
      <c r="A643">
        <v>642</v>
      </c>
      <c r="B643" t="s">
        <v>2301</v>
      </c>
      <c r="C643" s="12">
        <v>42946</v>
      </c>
      <c r="D643" s="12">
        <v>42950</v>
      </c>
      <c r="E643" t="s">
        <v>206</v>
      </c>
      <c r="F643" t="s">
        <v>2302</v>
      </c>
      <c r="G643" t="s">
        <v>2303</v>
      </c>
      <c r="H643" t="s">
        <v>209</v>
      </c>
      <c r="I643" t="s">
        <v>210</v>
      </c>
      <c r="J643" t="s">
        <v>2304</v>
      </c>
      <c r="K643" t="s">
        <v>226</v>
      </c>
      <c r="L643">
        <v>92691</v>
      </c>
      <c r="M643" t="s">
        <v>227</v>
      </c>
      <c r="N643" t="s">
        <v>2305</v>
      </c>
      <c r="O643" t="s">
        <v>229</v>
      </c>
      <c r="P643" t="s">
        <v>242</v>
      </c>
      <c r="Q643" t="s">
        <v>2306</v>
      </c>
      <c r="R643" s="13">
        <v>330.4</v>
      </c>
      <c r="S643">
        <v>2</v>
      </c>
      <c r="T643" s="14">
        <v>0</v>
      </c>
      <c r="U643" s="13">
        <v>85.903999999999996</v>
      </c>
    </row>
    <row r="644" spans="1:21" ht="15" customHeight="1" x14ac:dyDescent="0.3">
      <c r="A644">
        <v>643</v>
      </c>
      <c r="B644" t="s">
        <v>2301</v>
      </c>
      <c r="C644" s="12">
        <v>42946</v>
      </c>
      <c r="D644" s="12">
        <v>42950</v>
      </c>
      <c r="E644" t="s">
        <v>206</v>
      </c>
      <c r="F644" t="s">
        <v>2302</v>
      </c>
      <c r="G644" t="s">
        <v>2303</v>
      </c>
      <c r="H644" t="s">
        <v>209</v>
      </c>
      <c r="I644" t="s">
        <v>210</v>
      </c>
      <c r="J644" t="s">
        <v>2304</v>
      </c>
      <c r="K644" t="s">
        <v>226</v>
      </c>
      <c r="L644">
        <v>92691</v>
      </c>
      <c r="M644" t="s">
        <v>227</v>
      </c>
      <c r="N644" t="s">
        <v>2307</v>
      </c>
      <c r="O644" t="s">
        <v>229</v>
      </c>
      <c r="P644" t="s">
        <v>230</v>
      </c>
      <c r="Q644" t="s">
        <v>2308</v>
      </c>
      <c r="R644" s="13">
        <v>26.25</v>
      </c>
      <c r="S644">
        <v>7</v>
      </c>
      <c r="T644" s="14">
        <v>0</v>
      </c>
      <c r="U644" s="13">
        <v>12.6</v>
      </c>
    </row>
    <row r="645" spans="1:21" ht="15" customHeight="1" x14ac:dyDescent="0.3">
      <c r="A645">
        <v>644</v>
      </c>
      <c r="B645" t="s">
        <v>2309</v>
      </c>
      <c r="C645" s="12">
        <v>42896</v>
      </c>
      <c r="D645" s="12">
        <v>42901</v>
      </c>
      <c r="E645" t="s">
        <v>233</v>
      </c>
      <c r="F645" t="s">
        <v>2310</v>
      </c>
      <c r="G645" t="s">
        <v>2311</v>
      </c>
      <c r="H645" t="s">
        <v>209</v>
      </c>
      <c r="I645" t="s">
        <v>210</v>
      </c>
      <c r="J645" t="s">
        <v>2312</v>
      </c>
      <c r="K645" t="s">
        <v>421</v>
      </c>
      <c r="L645">
        <v>48307</v>
      </c>
      <c r="M645" t="s">
        <v>288</v>
      </c>
      <c r="N645" t="s">
        <v>1092</v>
      </c>
      <c r="O645" t="s">
        <v>254</v>
      </c>
      <c r="P645" t="s">
        <v>344</v>
      </c>
      <c r="Q645" t="s">
        <v>1972</v>
      </c>
      <c r="R645" s="13">
        <v>132.52000000000001</v>
      </c>
      <c r="S645">
        <v>4</v>
      </c>
      <c r="T645" s="14">
        <v>0</v>
      </c>
      <c r="U645" s="13">
        <v>54.333199999999998</v>
      </c>
    </row>
    <row r="646" spans="1:21" ht="15" customHeight="1" x14ac:dyDescent="0.3">
      <c r="A646">
        <v>645</v>
      </c>
      <c r="B646" t="s">
        <v>2313</v>
      </c>
      <c r="C646" s="12">
        <v>42937</v>
      </c>
      <c r="D646" s="12">
        <v>42941</v>
      </c>
      <c r="E646" t="s">
        <v>233</v>
      </c>
      <c r="F646" t="s">
        <v>804</v>
      </c>
      <c r="G646" t="s">
        <v>805</v>
      </c>
      <c r="H646" t="s">
        <v>285</v>
      </c>
      <c r="I646" t="s">
        <v>210</v>
      </c>
      <c r="J646" t="s">
        <v>2314</v>
      </c>
      <c r="K646" t="s">
        <v>973</v>
      </c>
      <c r="L646">
        <v>7060</v>
      </c>
      <c r="M646" t="s">
        <v>331</v>
      </c>
      <c r="N646" t="s">
        <v>2315</v>
      </c>
      <c r="O646" t="s">
        <v>229</v>
      </c>
      <c r="P646" t="s">
        <v>273</v>
      </c>
      <c r="Q646" t="s">
        <v>2316</v>
      </c>
      <c r="R646" s="13">
        <v>6.48</v>
      </c>
      <c r="S646">
        <v>1</v>
      </c>
      <c r="T646" s="14">
        <v>0</v>
      </c>
      <c r="U646" s="13">
        <v>3.1751999999999998</v>
      </c>
    </row>
    <row r="647" spans="1:21" ht="15" customHeight="1" x14ac:dyDescent="0.3">
      <c r="A647">
        <v>646</v>
      </c>
      <c r="B647" t="s">
        <v>2317</v>
      </c>
      <c r="C647" s="12">
        <v>43099</v>
      </c>
      <c r="D647" s="12">
        <v>43105</v>
      </c>
      <c r="E647" t="s">
        <v>233</v>
      </c>
      <c r="F647" t="s">
        <v>2318</v>
      </c>
      <c r="G647" t="s">
        <v>2319</v>
      </c>
      <c r="H647" t="s">
        <v>285</v>
      </c>
      <c r="I647" t="s">
        <v>210</v>
      </c>
      <c r="J647" t="s">
        <v>680</v>
      </c>
      <c r="K647" t="s">
        <v>437</v>
      </c>
      <c r="L647">
        <v>47201</v>
      </c>
      <c r="M647" t="s">
        <v>288</v>
      </c>
      <c r="N647" t="s">
        <v>2320</v>
      </c>
      <c r="O647" t="s">
        <v>229</v>
      </c>
      <c r="P647" t="s">
        <v>261</v>
      </c>
      <c r="Q647" t="s">
        <v>2321</v>
      </c>
      <c r="R647" s="13">
        <v>209.3</v>
      </c>
      <c r="S647">
        <v>2</v>
      </c>
      <c r="T647" s="14">
        <v>0</v>
      </c>
      <c r="U647" s="13">
        <v>56.511000000000003</v>
      </c>
    </row>
    <row r="648" spans="1:21" ht="15" customHeight="1" x14ac:dyDescent="0.3">
      <c r="A648">
        <v>647</v>
      </c>
      <c r="B648" t="s">
        <v>2322</v>
      </c>
      <c r="C648" s="12">
        <v>42461</v>
      </c>
      <c r="D648" s="12">
        <v>42468</v>
      </c>
      <c r="E648" t="s">
        <v>233</v>
      </c>
      <c r="F648" t="s">
        <v>1211</v>
      </c>
      <c r="G648" t="s">
        <v>1212</v>
      </c>
      <c r="H648" t="s">
        <v>224</v>
      </c>
      <c r="I648" t="s">
        <v>210</v>
      </c>
      <c r="J648" t="s">
        <v>2323</v>
      </c>
      <c r="K648" t="s">
        <v>493</v>
      </c>
      <c r="L648">
        <v>85635</v>
      </c>
      <c r="M648" t="s">
        <v>227</v>
      </c>
      <c r="N648" t="s">
        <v>2324</v>
      </c>
      <c r="O648" t="s">
        <v>229</v>
      </c>
      <c r="P648" t="s">
        <v>452</v>
      </c>
      <c r="Q648" t="s">
        <v>746</v>
      </c>
      <c r="R648" s="13">
        <v>31.56</v>
      </c>
      <c r="S648">
        <v>5</v>
      </c>
      <c r="T648" s="14">
        <v>0.2</v>
      </c>
      <c r="U648" s="13">
        <v>9.8625000000000007</v>
      </c>
    </row>
    <row r="649" spans="1:21" ht="15" customHeight="1" x14ac:dyDescent="0.3">
      <c r="A649">
        <v>648</v>
      </c>
      <c r="B649" t="s">
        <v>2322</v>
      </c>
      <c r="C649" s="12">
        <v>42461</v>
      </c>
      <c r="D649" s="12">
        <v>42468</v>
      </c>
      <c r="E649" t="s">
        <v>233</v>
      </c>
      <c r="F649" t="s">
        <v>1211</v>
      </c>
      <c r="G649" t="s">
        <v>1212</v>
      </c>
      <c r="H649" t="s">
        <v>224</v>
      </c>
      <c r="I649" t="s">
        <v>210</v>
      </c>
      <c r="J649" t="s">
        <v>2323</v>
      </c>
      <c r="K649" t="s">
        <v>493</v>
      </c>
      <c r="L649">
        <v>85635</v>
      </c>
      <c r="M649" t="s">
        <v>227</v>
      </c>
      <c r="N649" t="s">
        <v>2325</v>
      </c>
      <c r="O649" t="s">
        <v>229</v>
      </c>
      <c r="P649" t="s">
        <v>261</v>
      </c>
      <c r="Q649" t="s">
        <v>2326</v>
      </c>
      <c r="R649" s="13">
        <v>30.143999999999998</v>
      </c>
      <c r="S649">
        <v>2</v>
      </c>
      <c r="T649" s="14">
        <v>0.2</v>
      </c>
      <c r="U649" s="13">
        <v>3.0144000000000002</v>
      </c>
    </row>
    <row r="650" spans="1:21" ht="15" customHeight="1" x14ac:dyDescent="0.3">
      <c r="A650">
        <v>649</v>
      </c>
      <c r="B650" t="s">
        <v>2327</v>
      </c>
      <c r="C650" s="12">
        <v>42715</v>
      </c>
      <c r="D650" s="12">
        <v>42720</v>
      </c>
      <c r="E650" t="s">
        <v>206</v>
      </c>
      <c r="F650" t="s">
        <v>2328</v>
      </c>
      <c r="G650" t="s">
        <v>2329</v>
      </c>
      <c r="H650" t="s">
        <v>224</v>
      </c>
      <c r="I650" t="s">
        <v>210</v>
      </c>
      <c r="J650" t="s">
        <v>2330</v>
      </c>
      <c r="K650" t="s">
        <v>279</v>
      </c>
      <c r="L650">
        <v>98661</v>
      </c>
      <c r="M650" t="s">
        <v>227</v>
      </c>
      <c r="N650" t="s">
        <v>1549</v>
      </c>
      <c r="O650" t="s">
        <v>215</v>
      </c>
      <c r="P650" t="s">
        <v>248</v>
      </c>
      <c r="Q650" t="s">
        <v>1550</v>
      </c>
      <c r="R650" s="13">
        <v>14.8</v>
      </c>
      <c r="S650">
        <v>4</v>
      </c>
      <c r="T650" s="14">
        <v>0</v>
      </c>
      <c r="U650" s="13">
        <v>6.0679999999999996</v>
      </c>
    </row>
    <row r="651" spans="1:21" ht="15" customHeight="1" x14ac:dyDescent="0.3">
      <c r="A651">
        <v>650</v>
      </c>
      <c r="B651" t="s">
        <v>2327</v>
      </c>
      <c r="C651" s="12">
        <v>42715</v>
      </c>
      <c r="D651" s="12">
        <v>42720</v>
      </c>
      <c r="E651" t="s">
        <v>206</v>
      </c>
      <c r="F651" t="s">
        <v>2328</v>
      </c>
      <c r="G651" t="s">
        <v>2329</v>
      </c>
      <c r="H651" t="s">
        <v>224</v>
      </c>
      <c r="I651" t="s">
        <v>210</v>
      </c>
      <c r="J651" t="s">
        <v>2330</v>
      </c>
      <c r="K651" t="s">
        <v>279</v>
      </c>
      <c r="L651">
        <v>98661</v>
      </c>
      <c r="M651" t="s">
        <v>227</v>
      </c>
      <c r="N651" t="s">
        <v>922</v>
      </c>
      <c r="O651" t="s">
        <v>254</v>
      </c>
      <c r="P651" t="s">
        <v>255</v>
      </c>
      <c r="Q651" t="s">
        <v>923</v>
      </c>
      <c r="R651" s="13">
        <v>302.37599999999998</v>
      </c>
      <c r="S651">
        <v>3</v>
      </c>
      <c r="T651" s="14">
        <v>0.2</v>
      </c>
      <c r="U651" s="13">
        <v>22.6782</v>
      </c>
    </row>
    <row r="652" spans="1:21" ht="15" customHeight="1" x14ac:dyDescent="0.3">
      <c r="A652">
        <v>651</v>
      </c>
      <c r="B652" t="s">
        <v>2327</v>
      </c>
      <c r="C652" s="12">
        <v>42715</v>
      </c>
      <c r="D652" s="12">
        <v>42720</v>
      </c>
      <c r="E652" t="s">
        <v>206</v>
      </c>
      <c r="F652" t="s">
        <v>2328</v>
      </c>
      <c r="G652" t="s">
        <v>2329</v>
      </c>
      <c r="H652" t="s">
        <v>224</v>
      </c>
      <c r="I652" t="s">
        <v>210</v>
      </c>
      <c r="J652" t="s">
        <v>2330</v>
      </c>
      <c r="K652" t="s">
        <v>279</v>
      </c>
      <c r="L652">
        <v>98661</v>
      </c>
      <c r="M652" t="s">
        <v>227</v>
      </c>
      <c r="N652" t="s">
        <v>2331</v>
      </c>
      <c r="O652" t="s">
        <v>254</v>
      </c>
      <c r="P652" t="s">
        <v>344</v>
      </c>
      <c r="Q652" t="s">
        <v>2332</v>
      </c>
      <c r="R652" s="13">
        <v>316</v>
      </c>
      <c r="S652">
        <v>4</v>
      </c>
      <c r="T652" s="14">
        <v>0</v>
      </c>
      <c r="U652" s="13">
        <v>31.6</v>
      </c>
    </row>
    <row r="653" spans="1:21" ht="15" customHeight="1" x14ac:dyDescent="0.3">
      <c r="A653">
        <v>652</v>
      </c>
      <c r="B653" t="s">
        <v>2333</v>
      </c>
      <c r="C653" s="12">
        <v>42666</v>
      </c>
      <c r="D653" s="12">
        <v>42672</v>
      </c>
      <c r="E653" t="s">
        <v>233</v>
      </c>
      <c r="F653" t="s">
        <v>2334</v>
      </c>
      <c r="G653" t="s">
        <v>2335</v>
      </c>
      <c r="H653" t="s">
        <v>285</v>
      </c>
      <c r="I653" t="s">
        <v>210</v>
      </c>
      <c r="J653" t="s">
        <v>449</v>
      </c>
      <c r="K653" t="s">
        <v>450</v>
      </c>
      <c r="L653">
        <v>10024</v>
      </c>
      <c r="M653" t="s">
        <v>331</v>
      </c>
      <c r="N653" t="s">
        <v>503</v>
      </c>
      <c r="O653" t="s">
        <v>229</v>
      </c>
      <c r="P653" t="s">
        <v>273</v>
      </c>
      <c r="Q653" t="s">
        <v>504</v>
      </c>
      <c r="R653" s="13">
        <v>379.4</v>
      </c>
      <c r="S653">
        <v>10</v>
      </c>
      <c r="T653" s="14">
        <v>0</v>
      </c>
      <c r="U653" s="13">
        <v>178.31800000000001</v>
      </c>
    </row>
    <row r="654" spans="1:21" ht="15" customHeight="1" x14ac:dyDescent="0.3">
      <c r="A654">
        <v>653</v>
      </c>
      <c r="B654" t="s">
        <v>2336</v>
      </c>
      <c r="C654" s="12">
        <v>42905</v>
      </c>
      <c r="D654" s="12">
        <v>42909</v>
      </c>
      <c r="E654" t="s">
        <v>233</v>
      </c>
      <c r="F654" t="s">
        <v>1511</v>
      </c>
      <c r="G654" t="s">
        <v>1512</v>
      </c>
      <c r="H654" t="s">
        <v>224</v>
      </c>
      <c r="I654" t="s">
        <v>210</v>
      </c>
      <c r="J654" t="s">
        <v>449</v>
      </c>
      <c r="K654" t="s">
        <v>450</v>
      </c>
      <c r="L654">
        <v>10035</v>
      </c>
      <c r="M654" t="s">
        <v>331</v>
      </c>
      <c r="N654" t="s">
        <v>479</v>
      </c>
      <c r="O654" t="s">
        <v>229</v>
      </c>
      <c r="P654" t="s">
        <v>273</v>
      </c>
      <c r="Q654" t="s">
        <v>480</v>
      </c>
      <c r="R654" s="13">
        <v>97.82</v>
      </c>
      <c r="S654">
        <v>2</v>
      </c>
      <c r="T654" s="14">
        <v>0</v>
      </c>
      <c r="U654" s="13">
        <v>45.9754</v>
      </c>
    </row>
    <row r="655" spans="1:21" ht="15" customHeight="1" x14ac:dyDescent="0.3">
      <c r="A655">
        <v>654</v>
      </c>
      <c r="B655" t="s">
        <v>2336</v>
      </c>
      <c r="C655" s="12">
        <v>42905</v>
      </c>
      <c r="D655" s="12">
        <v>42909</v>
      </c>
      <c r="E655" t="s">
        <v>233</v>
      </c>
      <c r="F655" t="s">
        <v>1511</v>
      </c>
      <c r="G655" t="s">
        <v>1512</v>
      </c>
      <c r="H655" t="s">
        <v>224</v>
      </c>
      <c r="I655" t="s">
        <v>210</v>
      </c>
      <c r="J655" t="s">
        <v>449</v>
      </c>
      <c r="K655" t="s">
        <v>450</v>
      </c>
      <c r="L655">
        <v>10035</v>
      </c>
      <c r="M655" t="s">
        <v>331</v>
      </c>
      <c r="N655" t="s">
        <v>2337</v>
      </c>
      <c r="O655" t="s">
        <v>254</v>
      </c>
      <c r="P655" t="s">
        <v>344</v>
      </c>
      <c r="Q655" t="s">
        <v>2338</v>
      </c>
      <c r="R655" s="13">
        <v>103.12</v>
      </c>
      <c r="S655">
        <v>8</v>
      </c>
      <c r="T655" s="14">
        <v>0</v>
      </c>
      <c r="U655" s="13">
        <v>10.311999999999999</v>
      </c>
    </row>
    <row r="656" spans="1:21" ht="15" customHeight="1" x14ac:dyDescent="0.3">
      <c r="A656">
        <v>655</v>
      </c>
      <c r="B656" t="s">
        <v>2339</v>
      </c>
      <c r="C656" s="12">
        <v>42604</v>
      </c>
      <c r="D656" s="12">
        <v>42610</v>
      </c>
      <c r="E656" t="s">
        <v>233</v>
      </c>
      <c r="F656" t="s">
        <v>2340</v>
      </c>
      <c r="G656" t="s">
        <v>2341</v>
      </c>
      <c r="H656" t="s">
        <v>209</v>
      </c>
      <c r="I656" t="s">
        <v>210</v>
      </c>
      <c r="J656" t="s">
        <v>680</v>
      </c>
      <c r="K656" t="s">
        <v>681</v>
      </c>
      <c r="L656">
        <v>43229</v>
      </c>
      <c r="M656" t="s">
        <v>331</v>
      </c>
      <c r="N656" t="s">
        <v>2342</v>
      </c>
      <c r="O656" t="s">
        <v>229</v>
      </c>
      <c r="P656" t="s">
        <v>261</v>
      </c>
      <c r="Q656" t="s">
        <v>2343</v>
      </c>
      <c r="R656" s="13">
        <v>113.55200000000001</v>
      </c>
      <c r="S656">
        <v>2</v>
      </c>
      <c r="T656" s="14">
        <v>0.2</v>
      </c>
      <c r="U656" s="13">
        <v>8.5163999999999902</v>
      </c>
    </row>
    <row r="657" spans="1:21" ht="15" customHeight="1" x14ac:dyDescent="0.3">
      <c r="A657">
        <v>656</v>
      </c>
      <c r="B657" t="s">
        <v>2339</v>
      </c>
      <c r="C657" s="12">
        <v>42604</v>
      </c>
      <c r="D657" s="12">
        <v>42610</v>
      </c>
      <c r="E657" t="s">
        <v>233</v>
      </c>
      <c r="F657" t="s">
        <v>2340</v>
      </c>
      <c r="G657" t="s">
        <v>2341</v>
      </c>
      <c r="H657" t="s">
        <v>209</v>
      </c>
      <c r="I657" t="s">
        <v>210</v>
      </c>
      <c r="J657" t="s">
        <v>680</v>
      </c>
      <c r="K657" t="s">
        <v>681</v>
      </c>
      <c r="L657">
        <v>43229</v>
      </c>
      <c r="M657" t="s">
        <v>331</v>
      </c>
      <c r="N657" t="s">
        <v>2344</v>
      </c>
      <c r="O657" t="s">
        <v>229</v>
      </c>
      <c r="P657" t="s">
        <v>258</v>
      </c>
      <c r="Q657" t="s">
        <v>2345</v>
      </c>
      <c r="R657" s="13">
        <v>3.3180000000000001</v>
      </c>
      <c r="S657">
        <v>2</v>
      </c>
      <c r="T657" s="14">
        <v>0.7</v>
      </c>
      <c r="U657" s="13">
        <v>-2.6543999999999999</v>
      </c>
    </row>
    <row r="658" spans="1:21" ht="15" customHeight="1" x14ac:dyDescent="0.3">
      <c r="A658">
        <v>657</v>
      </c>
      <c r="B658" t="s">
        <v>2339</v>
      </c>
      <c r="C658" s="12">
        <v>42604</v>
      </c>
      <c r="D658" s="12">
        <v>42610</v>
      </c>
      <c r="E658" t="s">
        <v>233</v>
      </c>
      <c r="F658" t="s">
        <v>2340</v>
      </c>
      <c r="G658" t="s">
        <v>2341</v>
      </c>
      <c r="H658" t="s">
        <v>209</v>
      </c>
      <c r="I658" t="s">
        <v>210</v>
      </c>
      <c r="J658" t="s">
        <v>680</v>
      </c>
      <c r="K658" t="s">
        <v>681</v>
      </c>
      <c r="L658">
        <v>43229</v>
      </c>
      <c r="M658" t="s">
        <v>331</v>
      </c>
      <c r="N658" t="s">
        <v>2346</v>
      </c>
      <c r="O658" t="s">
        <v>229</v>
      </c>
      <c r="P658" t="s">
        <v>356</v>
      </c>
      <c r="Q658" t="s">
        <v>2347</v>
      </c>
      <c r="R658" s="13">
        <v>134.28800000000001</v>
      </c>
      <c r="S658">
        <v>2</v>
      </c>
      <c r="T658" s="14">
        <v>0.2</v>
      </c>
      <c r="U658" s="13">
        <v>45.322200000000002</v>
      </c>
    </row>
    <row r="659" spans="1:21" ht="15" customHeight="1" x14ac:dyDescent="0.3">
      <c r="A659">
        <v>658</v>
      </c>
      <c r="B659" t="s">
        <v>2348</v>
      </c>
      <c r="C659" s="12">
        <v>42632</v>
      </c>
      <c r="D659" s="12">
        <v>42632</v>
      </c>
      <c r="E659" t="s">
        <v>1476</v>
      </c>
      <c r="F659" t="s">
        <v>2349</v>
      </c>
      <c r="G659" t="s">
        <v>2350</v>
      </c>
      <c r="H659" t="s">
        <v>285</v>
      </c>
      <c r="I659" t="s">
        <v>210</v>
      </c>
      <c r="J659" t="s">
        <v>639</v>
      </c>
      <c r="K659" t="s">
        <v>394</v>
      </c>
      <c r="L659">
        <v>60505</v>
      </c>
      <c r="M659" t="s">
        <v>288</v>
      </c>
      <c r="N659" t="s">
        <v>1914</v>
      </c>
      <c r="O659" t="s">
        <v>215</v>
      </c>
      <c r="P659" t="s">
        <v>219</v>
      </c>
      <c r="Q659" t="s">
        <v>1915</v>
      </c>
      <c r="R659" s="13">
        <v>701.37199999999996</v>
      </c>
      <c r="S659">
        <v>2</v>
      </c>
      <c r="T659" s="14">
        <v>0.3</v>
      </c>
      <c r="U659" s="13">
        <v>-50.097999999999999</v>
      </c>
    </row>
    <row r="660" spans="1:21" ht="15" customHeight="1" x14ac:dyDescent="0.3">
      <c r="A660">
        <v>659</v>
      </c>
      <c r="B660" t="s">
        <v>2348</v>
      </c>
      <c r="C660" s="12">
        <v>42632</v>
      </c>
      <c r="D660" s="12">
        <v>42632</v>
      </c>
      <c r="E660" t="s">
        <v>1476</v>
      </c>
      <c r="F660" t="s">
        <v>2349</v>
      </c>
      <c r="G660" t="s">
        <v>2350</v>
      </c>
      <c r="H660" t="s">
        <v>285</v>
      </c>
      <c r="I660" t="s">
        <v>210</v>
      </c>
      <c r="J660" t="s">
        <v>639</v>
      </c>
      <c r="K660" t="s">
        <v>394</v>
      </c>
      <c r="L660">
        <v>60505</v>
      </c>
      <c r="M660" t="s">
        <v>288</v>
      </c>
      <c r="N660" t="s">
        <v>508</v>
      </c>
      <c r="O660" t="s">
        <v>229</v>
      </c>
      <c r="P660" t="s">
        <v>258</v>
      </c>
      <c r="Q660" t="s">
        <v>509</v>
      </c>
      <c r="R660" s="13">
        <v>2.3079999999999998</v>
      </c>
      <c r="S660">
        <v>2</v>
      </c>
      <c r="T660" s="14">
        <v>0.8</v>
      </c>
      <c r="U660" s="13">
        <v>-3.4620000000000002</v>
      </c>
    </row>
    <row r="661" spans="1:21" ht="15" customHeight="1" x14ac:dyDescent="0.3">
      <c r="A661">
        <v>660</v>
      </c>
      <c r="B661" t="s">
        <v>2351</v>
      </c>
      <c r="C661" s="12">
        <v>42240</v>
      </c>
      <c r="D661" s="12">
        <v>42244</v>
      </c>
      <c r="E661" t="s">
        <v>233</v>
      </c>
      <c r="F661" t="s">
        <v>962</v>
      </c>
      <c r="G661" t="s">
        <v>963</v>
      </c>
      <c r="H661" t="s">
        <v>209</v>
      </c>
      <c r="I661" t="s">
        <v>210</v>
      </c>
      <c r="J661" t="s">
        <v>1313</v>
      </c>
      <c r="K661" t="s">
        <v>287</v>
      </c>
      <c r="L661">
        <v>76017</v>
      </c>
      <c r="M661" t="s">
        <v>288</v>
      </c>
      <c r="N661" t="s">
        <v>2199</v>
      </c>
      <c r="O661" t="s">
        <v>229</v>
      </c>
      <c r="P661" t="s">
        <v>242</v>
      </c>
      <c r="Q661" t="s">
        <v>2200</v>
      </c>
      <c r="R661" s="13">
        <v>999.43200000000002</v>
      </c>
      <c r="S661">
        <v>7</v>
      </c>
      <c r="T661" s="14">
        <v>0.2</v>
      </c>
      <c r="U661" s="13">
        <v>124.929</v>
      </c>
    </row>
    <row r="662" spans="1:21" ht="15" customHeight="1" x14ac:dyDescent="0.3">
      <c r="A662">
        <v>661</v>
      </c>
      <c r="B662" t="s">
        <v>2351</v>
      </c>
      <c r="C662" s="12">
        <v>42240</v>
      </c>
      <c r="D662" s="12">
        <v>42244</v>
      </c>
      <c r="E662" t="s">
        <v>233</v>
      </c>
      <c r="F662" t="s">
        <v>962</v>
      </c>
      <c r="G662" t="s">
        <v>963</v>
      </c>
      <c r="H662" t="s">
        <v>209</v>
      </c>
      <c r="I662" t="s">
        <v>210</v>
      </c>
      <c r="J662" t="s">
        <v>1313</v>
      </c>
      <c r="K662" t="s">
        <v>287</v>
      </c>
      <c r="L662">
        <v>76017</v>
      </c>
      <c r="M662" t="s">
        <v>288</v>
      </c>
      <c r="N662" t="s">
        <v>2352</v>
      </c>
      <c r="O662" t="s">
        <v>229</v>
      </c>
      <c r="P662" t="s">
        <v>242</v>
      </c>
      <c r="Q662" t="s">
        <v>2353</v>
      </c>
      <c r="R662" s="13">
        <v>724.08</v>
      </c>
      <c r="S662">
        <v>14</v>
      </c>
      <c r="T662" s="14">
        <v>0.2</v>
      </c>
      <c r="U662" s="13">
        <v>-135.76499999999999</v>
      </c>
    </row>
    <row r="663" spans="1:21" ht="15" customHeight="1" x14ac:dyDescent="0.3">
      <c r="A663">
        <v>662</v>
      </c>
      <c r="B663" t="s">
        <v>2351</v>
      </c>
      <c r="C663" s="12">
        <v>42240</v>
      </c>
      <c r="D663" s="12">
        <v>42244</v>
      </c>
      <c r="E663" t="s">
        <v>233</v>
      </c>
      <c r="F663" t="s">
        <v>962</v>
      </c>
      <c r="G663" t="s">
        <v>963</v>
      </c>
      <c r="H663" t="s">
        <v>209</v>
      </c>
      <c r="I663" t="s">
        <v>210</v>
      </c>
      <c r="J663" t="s">
        <v>1313</v>
      </c>
      <c r="K663" t="s">
        <v>287</v>
      </c>
      <c r="L663">
        <v>76017</v>
      </c>
      <c r="M663" t="s">
        <v>288</v>
      </c>
      <c r="N663" t="s">
        <v>693</v>
      </c>
      <c r="O663" t="s">
        <v>215</v>
      </c>
      <c r="P663" t="s">
        <v>239</v>
      </c>
      <c r="Q663" t="s">
        <v>694</v>
      </c>
      <c r="R663" s="13">
        <v>918.78499999999997</v>
      </c>
      <c r="S663">
        <v>5</v>
      </c>
      <c r="T663" s="14">
        <v>0.3</v>
      </c>
      <c r="U663" s="13">
        <v>-118.12949999999999</v>
      </c>
    </row>
    <row r="664" spans="1:21" ht="15" customHeight="1" x14ac:dyDescent="0.3">
      <c r="A664">
        <v>663</v>
      </c>
      <c r="B664" t="s">
        <v>2351</v>
      </c>
      <c r="C664" s="12">
        <v>42240</v>
      </c>
      <c r="D664" s="12">
        <v>42244</v>
      </c>
      <c r="E664" t="s">
        <v>233</v>
      </c>
      <c r="F664" t="s">
        <v>962</v>
      </c>
      <c r="G664" t="s">
        <v>963</v>
      </c>
      <c r="H664" t="s">
        <v>209</v>
      </c>
      <c r="I664" t="s">
        <v>210</v>
      </c>
      <c r="J664" t="s">
        <v>1313</v>
      </c>
      <c r="K664" t="s">
        <v>287</v>
      </c>
      <c r="L664">
        <v>76017</v>
      </c>
      <c r="M664" t="s">
        <v>288</v>
      </c>
      <c r="N664" t="s">
        <v>675</v>
      </c>
      <c r="O664" t="s">
        <v>229</v>
      </c>
      <c r="P664" t="s">
        <v>258</v>
      </c>
      <c r="Q664" t="s">
        <v>676</v>
      </c>
      <c r="R664" s="13">
        <v>2.7240000000000002</v>
      </c>
      <c r="S664">
        <v>3</v>
      </c>
      <c r="T664" s="14">
        <v>0.8</v>
      </c>
      <c r="U664" s="13">
        <v>-4.2222</v>
      </c>
    </row>
    <row r="665" spans="1:21" ht="15" customHeight="1" x14ac:dyDescent="0.3">
      <c r="A665">
        <v>664</v>
      </c>
      <c r="B665" t="s">
        <v>2354</v>
      </c>
      <c r="C665" s="12">
        <v>42455</v>
      </c>
      <c r="D665" s="12">
        <v>42459</v>
      </c>
      <c r="E665" t="s">
        <v>233</v>
      </c>
      <c r="F665" t="s">
        <v>2355</v>
      </c>
      <c r="G665" t="s">
        <v>2356</v>
      </c>
      <c r="H665" t="s">
        <v>224</v>
      </c>
      <c r="I665" t="s">
        <v>210</v>
      </c>
      <c r="J665" t="s">
        <v>449</v>
      </c>
      <c r="K665" t="s">
        <v>450</v>
      </c>
      <c r="L665">
        <v>10011</v>
      </c>
      <c r="M665" t="s">
        <v>331</v>
      </c>
      <c r="N665" t="s">
        <v>1024</v>
      </c>
      <c r="O665" t="s">
        <v>229</v>
      </c>
      <c r="P665" t="s">
        <v>242</v>
      </c>
      <c r="Q665" t="s">
        <v>1025</v>
      </c>
      <c r="R665" s="13">
        <v>459.95</v>
      </c>
      <c r="S665">
        <v>5</v>
      </c>
      <c r="T665" s="14">
        <v>0</v>
      </c>
      <c r="U665" s="13">
        <v>18.398</v>
      </c>
    </row>
    <row r="666" spans="1:21" ht="15" customHeight="1" x14ac:dyDescent="0.3">
      <c r="A666">
        <v>665</v>
      </c>
      <c r="B666" t="s">
        <v>2357</v>
      </c>
      <c r="C666" s="12">
        <v>42678</v>
      </c>
      <c r="D666" s="12">
        <v>42678</v>
      </c>
      <c r="E666" t="s">
        <v>1476</v>
      </c>
      <c r="F666" t="s">
        <v>1170</v>
      </c>
      <c r="G666" t="s">
        <v>1171</v>
      </c>
      <c r="H666" t="s">
        <v>209</v>
      </c>
      <c r="I666" t="s">
        <v>210</v>
      </c>
      <c r="J666" t="s">
        <v>1661</v>
      </c>
      <c r="K666" t="s">
        <v>212</v>
      </c>
      <c r="L666">
        <v>40214</v>
      </c>
      <c r="M666" t="s">
        <v>213</v>
      </c>
      <c r="N666" t="s">
        <v>682</v>
      </c>
      <c r="O666" t="s">
        <v>229</v>
      </c>
      <c r="P666" t="s">
        <v>452</v>
      </c>
      <c r="Q666" t="s">
        <v>683</v>
      </c>
      <c r="R666" s="13">
        <v>10.74</v>
      </c>
      <c r="S666">
        <v>3</v>
      </c>
      <c r="T666" s="14">
        <v>0</v>
      </c>
      <c r="U666" s="13">
        <v>5.2625999999999999</v>
      </c>
    </row>
    <row r="667" spans="1:21" ht="15" customHeight="1" x14ac:dyDescent="0.3">
      <c r="A667">
        <v>666</v>
      </c>
      <c r="B667" t="s">
        <v>2358</v>
      </c>
      <c r="C667" s="12">
        <v>42894</v>
      </c>
      <c r="D667" s="12">
        <v>42896</v>
      </c>
      <c r="E667" t="s">
        <v>206</v>
      </c>
      <c r="F667" t="s">
        <v>2359</v>
      </c>
      <c r="G667" t="s">
        <v>2360</v>
      </c>
      <c r="H667" t="s">
        <v>224</v>
      </c>
      <c r="I667" t="s">
        <v>210</v>
      </c>
      <c r="J667" t="s">
        <v>1000</v>
      </c>
      <c r="K667" t="s">
        <v>287</v>
      </c>
      <c r="L667">
        <v>75081</v>
      </c>
      <c r="M667" t="s">
        <v>288</v>
      </c>
      <c r="N667" t="s">
        <v>2361</v>
      </c>
      <c r="O667" t="s">
        <v>229</v>
      </c>
      <c r="P667" t="s">
        <v>762</v>
      </c>
      <c r="Q667" t="s">
        <v>2362</v>
      </c>
      <c r="R667" s="13">
        <v>23.76</v>
      </c>
      <c r="S667">
        <v>3</v>
      </c>
      <c r="T667" s="14">
        <v>0.2</v>
      </c>
      <c r="U667" s="13">
        <v>2.0790000000000002</v>
      </c>
    </row>
    <row r="668" spans="1:21" ht="15" customHeight="1" x14ac:dyDescent="0.3">
      <c r="A668">
        <v>667</v>
      </c>
      <c r="B668" t="s">
        <v>2358</v>
      </c>
      <c r="C668" s="12">
        <v>42894</v>
      </c>
      <c r="D668" s="12">
        <v>42896</v>
      </c>
      <c r="E668" t="s">
        <v>206</v>
      </c>
      <c r="F668" t="s">
        <v>2359</v>
      </c>
      <c r="G668" t="s">
        <v>2360</v>
      </c>
      <c r="H668" t="s">
        <v>224</v>
      </c>
      <c r="I668" t="s">
        <v>210</v>
      </c>
      <c r="J668" t="s">
        <v>1000</v>
      </c>
      <c r="K668" t="s">
        <v>287</v>
      </c>
      <c r="L668">
        <v>75081</v>
      </c>
      <c r="M668" t="s">
        <v>288</v>
      </c>
      <c r="N668" t="s">
        <v>1240</v>
      </c>
      <c r="O668" t="s">
        <v>229</v>
      </c>
      <c r="P668" t="s">
        <v>273</v>
      </c>
      <c r="Q668" t="s">
        <v>369</v>
      </c>
      <c r="R668" s="13">
        <v>85.055999999999997</v>
      </c>
      <c r="S668">
        <v>3</v>
      </c>
      <c r="T668" s="14">
        <v>0.2</v>
      </c>
      <c r="U668" s="13">
        <v>28.706399999999999</v>
      </c>
    </row>
    <row r="669" spans="1:21" ht="15" customHeight="1" x14ac:dyDescent="0.3">
      <c r="A669">
        <v>668</v>
      </c>
      <c r="B669" t="s">
        <v>2358</v>
      </c>
      <c r="C669" s="12">
        <v>42894</v>
      </c>
      <c r="D669" s="12">
        <v>42896</v>
      </c>
      <c r="E669" t="s">
        <v>206</v>
      </c>
      <c r="F669" t="s">
        <v>2359</v>
      </c>
      <c r="G669" t="s">
        <v>2360</v>
      </c>
      <c r="H669" t="s">
        <v>224</v>
      </c>
      <c r="I669" t="s">
        <v>210</v>
      </c>
      <c r="J669" t="s">
        <v>1000</v>
      </c>
      <c r="K669" t="s">
        <v>287</v>
      </c>
      <c r="L669">
        <v>75081</v>
      </c>
      <c r="M669" t="s">
        <v>288</v>
      </c>
      <c r="N669" t="s">
        <v>2363</v>
      </c>
      <c r="O669" t="s">
        <v>254</v>
      </c>
      <c r="P669" t="s">
        <v>255</v>
      </c>
      <c r="Q669" t="s">
        <v>2364</v>
      </c>
      <c r="R669" s="13">
        <v>381.57600000000002</v>
      </c>
      <c r="S669">
        <v>3</v>
      </c>
      <c r="T669" s="14">
        <v>0.2</v>
      </c>
      <c r="U669" s="13">
        <v>28.618200000000002</v>
      </c>
    </row>
    <row r="670" spans="1:21" ht="15" customHeight="1" x14ac:dyDescent="0.3">
      <c r="A670">
        <v>669</v>
      </c>
      <c r="B670" t="s">
        <v>2365</v>
      </c>
      <c r="C670" s="12">
        <v>41997</v>
      </c>
      <c r="D670" s="12">
        <v>41999</v>
      </c>
      <c r="E670" t="s">
        <v>371</v>
      </c>
      <c r="F670" t="s">
        <v>2366</v>
      </c>
      <c r="G670" t="s">
        <v>2367</v>
      </c>
      <c r="H670" t="s">
        <v>209</v>
      </c>
      <c r="I670" t="s">
        <v>210</v>
      </c>
      <c r="J670" t="s">
        <v>2368</v>
      </c>
      <c r="K670" t="s">
        <v>681</v>
      </c>
      <c r="L670">
        <v>44105</v>
      </c>
      <c r="M670" t="s">
        <v>331</v>
      </c>
      <c r="N670" t="s">
        <v>2369</v>
      </c>
      <c r="O670" t="s">
        <v>215</v>
      </c>
      <c r="P670" t="s">
        <v>248</v>
      </c>
      <c r="Q670" t="s">
        <v>2370</v>
      </c>
      <c r="R670" s="13">
        <v>30.36</v>
      </c>
      <c r="S670">
        <v>5</v>
      </c>
      <c r="T670" s="14">
        <v>0.2</v>
      </c>
      <c r="U670" s="13">
        <v>8.7285000000000004</v>
      </c>
    </row>
    <row r="671" spans="1:21" ht="15" customHeight="1" x14ac:dyDescent="0.3">
      <c r="A671">
        <v>670</v>
      </c>
      <c r="B671" t="s">
        <v>2371</v>
      </c>
      <c r="C671" s="12">
        <v>42895</v>
      </c>
      <c r="D671" s="12">
        <v>42899</v>
      </c>
      <c r="E671" t="s">
        <v>233</v>
      </c>
      <c r="F671" t="s">
        <v>2255</v>
      </c>
      <c r="G671" t="s">
        <v>2256</v>
      </c>
      <c r="H671" t="s">
        <v>285</v>
      </c>
      <c r="I671" t="s">
        <v>210</v>
      </c>
      <c r="J671" t="s">
        <v>486</v>
      </c>
      <c r="K671" t="s">
        <v>394</v>
      </c>
      <c r="L671">
        <v>60653</v>
      </c>
      <c r="M671" t="s">
        <v>288</v>
      </c>
      <c r="N671" t="s">
        <v>2372</v>
      </c>
      <c r="O671" t="s">
        <v>215</v>
      </c>
      <c r="P671" t="s">
        <v>248</v>
      </c>
      <c r="Q671" t="s">
        <v>2373</v>
      </c>
      <c r="R671" s="13">
        <v>23.975999999999999</v>
      </c>
      <c r="S671">
        <v>3</v>
      </c>
      <c r="T671" s="14">
        <v>0.6</v>
      </c>
      <c r="U671" s="13">
        <v>-14.3856</v>
      </c>
    </row>
    <row r="672" spans="1:21" ht="15" customHeight="1" x14ac:dyDescent="0.3">
      <c r="A672">
        <v>671</v>
      </c>
      <c r="B672" t="s">
        <v>2371</v>
      </c>
      <c r="C672" s="12">
        <v>42895</v>
      </c>
      <c r="D672" s="12">
        <v>42899</v>
      </c>
      <c r="E672" t="s">
        <v>233</v>
      </c>
      <c r="F672" t="s">
        <v>2255</v>
      </c>
      <c r="G672" t="s">
        <v>2256</v>
      </c>
      <c r="H672" t="s">
        <v>285</v>
      </c>
      <c r="I672" t="s">
        <v>210</v>
      </c>
      <c r="J672" t="s">
        <v>486</v>
      </c>
      <c r="K672" t="s">
        <v>394</v>
      </c>
      <c r="L672">
        <v>60653</v>
      </c>
      <c r="M672" t="s">
        <v>288</v>
      </c>
      <c r="N672" t="s">
        <v>2374</v>
      </c>
      <c r="O672" t="s">
        <v>215</v>
      </c>
      <c r="P672" t="s">
        <v>239</v>
      </c>
      <c r="Q672" t="s">
        <v>2375</v>
      </c>
      <c r="R672" s="13">
        <v>108.925</v>
      </c>
      <c r="S672">
        <v>1</v>
      </c>
      <c r="T672" s="14">
        <v>0.5</v>
      </c>
      <c r="U672" s="13">
        <v>-71.890500000000003</v>
      </c>
    </row>
    <row r="673" spans="1:21" ht="15" customHeight="1" x14ac:dyDescent="0.3">
      <c r="A673">
        <v>672</v>
      </c>
      <c r="B673" t="s">
        <v>2371</v>
      </c>
      <c r="C673" s="12">
        <v>42895</v>
      </c>
      <c r="D673" s="12">
        <v>42899</v>
      </c>
      <c r="E673" t="s">
        <v>233</v>
      </c>
      <c r="F673" t="s">
        <v>2255</v>
      </c>
      <c r="G673" t="s">
        <v>2256</v>
      </c>
      <c r="H673" t="s">
        <v>285</v>
      </c>
      <c r="I673" t="s">
        <v>210</v>
      </c>
      <c r="J673" t="s">
        <v>486</v>
      </c>
      <c r="K673" t="s">
        <v>394</v>
      </c>
      <c r="L673">
        <v>60653</v>
      </c>
      <c r="M673" t="s">
        <v>288</v>
      </c>
      <c r="N673" t="s">
        <v>743</v>
      </c>
      <c r="O673" t="s">
        <v>229</v>
      </c>
      <c r="P673" t="s">
        <v>273</v>
      </c>
      <c r="Q673" t="s">
        <v>2376</v>
      </c>
      <c r="R673" s="13">
        <v>36.351999999999997</v>
      </c>
      <c r="S673">
        <v>8</v>
      </c>
      <c r="T673" s="14">
        <v>0.2</v>
      </c>
      <c r="U673" s="13">
        <v>11.36</v>
      </c>
    </row>
    <row r="674" spans="1:21" ht="15" customHeight="1" x14ac:dyDescent="0.3">
      <c r="A674">
        <v>673</v>
      </c>
      <c r="B674" t="s">
        <v>2377</v>
      </c>
      <c r="C674" s="12">
        <v>42901</v>
      </c>
      <c r="D674" s="12">
        <v>42908</v>
      </c>
      <c r="E674" t="s">
        <v>233</v>
      </c>
      <c r="F674" t="s">
        <v>1428</v>
      </c>
      <c r="G674" t="s">
        <v>1429</v>
      </c>
      <c r="H674" t="s">
        <v>209</v>
      </c>
      <c r="I674" t="s">
        <v>210</v>
      </c>
      <c r="J674" t="s">
        <v>1507</v>
      </c>
      <c r="K674" t="s">
        <v>394</v>
      </c>
      <c r="L674">
        <v>62301</v>
      </c>
      <c r="M674" t="s">
        <v>288</v>
      </c>
      <c r="N674" t="s">
        <v>2378</v>
      </c>
      <c r="O674" t="s">
        <v>229</v>
      </c>
      <c r="P674" t="s">
        <v>251</v>
      </c>
      <c r="Q674" t="s">
        <v>2379</v>
      </c>
      <c r="R674" s="13">
        <v>19.559999999999999</v>
      </c>
      <c r="S674">
        <v>5</v>
      </c>
      <c r="T674" s="14">
        <v>0.2</v>
      </c>
      <c r="U674" s="13">
        <v>1.7115</v>
      </c>
    </row>
    <row r="675" spans="1:21" ht="15" customHeight="1" x14ac:dyDescent="0.3">
      <c r="A675">
        <v>674</v>
      </c>
      <c r="B675" t="s">
        <v>2380</v>
      </c>
      <c r="C675" s="12">
        <v>43074</v>
      </c>
      <c r="D675" s="12">
        <v>43077</v>
      </c>
      <c r="E675" t="s">
        <v>371</v>
      </c>
      <c r="F675" t="s">
        <v>2381</v>
      </c>
      <c r="G675" t="s">
        <v>2382</v>
      </c>
      <c r="H675" t="s">
        <v>209</v>
      </c>
      <c r="I675" t="s">
        <v>210</v>
      </c>
      <c r="J675" t="s">
        <v>680</v>
      </c>
      <c r="K675" t="s">
        <v>437</v>
      </c>
      <c r="L675">
        <v>47201</v>
      </c>
      <c r="M675" t="s">
        <v>288</v>
      </c>
      <c r="N675" t="s">
        <v>2383</v>
      </c>
      <c r="O675" t="s">
        <v>229</v>
      </c>
      <c r="P675" t="s">
        <v>261</v>
      </c>
      <c r="Q675" t="s">
        <v>2384</v>
      </c>
      <c r="R675" s="13">
        <v>61.44</v>
      </c>
      <c r="S675">
        <v>3</v>
      </c>
      <c r="T675" s="14">
        <v>0</v>
      </c>
      <c r="U675" s="13">
        <v>16.588799999999999</v>
      </c>
    </row>
    <row r="676" spans="1:21" ht="15" customHeight="1" x14ac:dyDescent="0.3">
      <c r="A676">
        <v>675</v>
      </c>
      <c r="B676" t="s">
        <v>2380</v>
      </c>
      <c r="C676" s="12">
        <v>43074</v>
      </c>
      <c r="D676" s="12">
        <v>43077</v>
      </c>
      <c r="E676" t="s">
        <v>371</v>
      </c>
      <c r="F676" t="s">
        <v>2381</v>
      </c>
      <c r="G676" t="s">
        <v>2382</v>
      </c>
      <c r="H676" t="s">
        <v>209</v>
      </c>
      <c r="I676" t="s">
        <v>210</v>
      </c>
      <c r="J676" t="s">
        <v>680</v>
      </c>
      <c r="K676" t="s">
        <v>437</v>
      </c>
      <c r="L676">
        <v>47201</v>
      </c>
      <c r="M676" t="s">
        <v>288</v>
      </c>
      <c r="N676" t="s">
        <v>2385</v>
      </c>
      <c r="O676" t="s">
        <v>229</v>
      </c>
      <c r="P676" t="s">
        <v>273</v>
      </c>
      <c r="Q676" t="s">
        <v>2386</v>
      </c>
      <c r="R676" s="13">
        <v>38.9</v>
      </c>
      <c r="S676">
        <v>5</v>
      </c>
      <c r="T676" s="14">
        <v>0</v>
      </c>
      <c r="U676" s="13">
        <v>17.504999999999999</v>
      </c>
    </row>
    <row r="677" spans="1:21" ht="15" customHeight="1" x14ac:dyDescent="0.3">
      <c r="A677">
        <v>676</v>
      </c>
      <c r="B677" t="s">
        <v>2380</v>
      </c>
      <c r="C677" s="12">
        <v>43074</v>
      </c>
      <c r="D677" s="12">
        <v>43077</v>
      </c>
      <c r="E677" t="s">
        <v>371</v>
      </c>
      <c r="F677" t="s">
        <v>2381</v>
      </c>
      <c r="G677" t="s">
        <v>2382</v>
      </c>
      <c r="H677" t="s">
        <v>209</v>
      </c>
      <c r="I677" t="s">
        <v>210</v>
      </c>
      <c r="J677" t="s">
        <v>680</v>
      </c>
      <c r="K677" t="s">
        <v>437</v>
      </c>
      <c r="L677">
        <v>47201</v>
      </c>
      <c r="M677" t="s">
        <v>288</v>
      </c>
      <c r="N677" t="s">
        <v>1092</v>
      </c>
      <c r="O677" t="s">
        <v>254</v>
      </c>
      <c r="P677" t="s">
        <v>344</v>
      </c>
      <c r="Q677" t="s">
        <v>1972</v>
      </c>
      <c r="R677" s="13">
        <v>99.39</v>
      </c>
      <c r="S677">
        <v>3</v>
      </c>
      <c r="T677" s="14">
        <v>0</v>
      </c>
      <c r="U677" s="13">
        <v>40.749899999999997</v>
      </c>
    </row>
    <row r="678" spans="1:21" ht="15" customHeight="1" x14ac:dyDescent="0.3">
      <c r="A678">
        <v>677</v>
      </c>
      <c r="B678" t="s">
        <v>2387</v>
      </c>
      <c r="C678" s="12">
        <v>42812</v>
      </c>
      <c r="D678" s="12">
        <v>42817</v>
      </c>
      <c r="E678" t="s">
        <v>233</v>
      </c>
      <c r="F678" t="s">
        <v>2388</v>
      </c>
      <c r="G678" t="s">
        <v>2389</v>
      </c>
      <c r="H678" t="s">
        <v>209</v>
      </c>
      <c r="I678" t="s">
        <v>210</v>
      </c>
      <c r="J678" t="s">
        <v>2390</v>
      </c>
      <c r="K678" t="s">
        <v>287</v>
      </c>
      <c r="L678">
        <v>75701</v>
      </c>
      <c r="M678" t="s">
        <v>288</v>
      </c>
      <c r="N678" t="s">
        <v>2391</v>
      </c>
      <c r="O678" t="s">
        <v>229</v>
      </c>
      <c r="P678" t="s">
        <v>261</v>
      </c>
      <c r="Q678" t="s">
        <v>2392</v>
      </c>
      <c r="R678" s="13">
        <v>2.6880000000000002</v>
      </c>
      <c r="S678">
        <v>3</v>
      </c>
      <c r="T678" s="14">
        <v>0.8</v>
      </c>
      <c r="U678" s="13">
        <v>-7.3920000000000003</v>
      </c>
    </row>
    <row r="679" spans="1:21" ht="15" customHeight="1" x14ac:dyDescent="0.3">
      <c r="A679">
        <v>678</v>
      </c>
      <c r="B679" t="s">
        <v>2387</v>
      </c>
      <c r="C679" s="12">
        <v>42812</v>
      </c>
      <c r="D679" s="12">
        <v>42817</v>
      </c>
      <c r="E679" t="s">
        <v>233</v>
      </c>
      <c r="F679" t="s">
        <v>2388</v>
      </c>
      <c r="G679" t="s">
        <v>2389</v>
      </c>
      <c r="H679" t="s">
        <v>209</v>
      </c>
      <c r="I679" t="s">
        <v>210</v>
      </c>
      <c r="J679" t="s">
        <v>2390</v>
      </c>
      <c r="K679" t="s">
        <v>287</v>
      </c>
      <c r="L679">
        <v>75701</v>
      </c>
      <c r="M679" t="s">
        <v>288</v>
      </c>
      <c r="N679" t="s">
        <v>2393</v>
      </c>
      <c r="O679" t="s">
        <v>254</v>
      </c>
      <c r="P679" t="s">
        <v>344</v>
      </c>
      <c r="Q679" t="s">
        <v>2394</v>
      </c>
      <c r="R679" s="13">
        <v>27.815999999999999</v>
      </c>
      <c r="S679">
        <v>3</v>
      </c>
      <c r="T679" s="14">
        <v>0.2</v>
      </c>
      <c r="U679" s="13">
        <v>4.5201000000000002</v>
      </c>
    </row>
    <row r="680" spans="1:21" ht="15" customHeight="1" x14ac:dyDescent="0.3">
      <c r="A680">
        <v>679</v>
      </c>
      <c r="B680" t="s">
        <v>2387</v>
      </c>
      <c r="C680" s="12">
        <v>42812</v>
      </c>
      <c r="D680" s="12">
        <v>42817</v>
      </c>
      <c r="E680" t="s">
        <v>233</v>
      </c>
      <c r="F680" t="s">
        <v>2388</v>
      </c>
      <c r="G680" t="s">
        <v>2389</v>
      </c>
      <c r="H680" t="s">
        <v>209</v>
      </c>
      <c r="I680" t="s">
        <v>210</v>
      </c>
      <c r="J680" t="s">
        <v>2390</v>
      </c>
      <c r="K680" t="s">
        <v>287</v>
      </c>
      <c r="L680">
        <v>75701</v>
      </c>
      <c r="M680" t="s">
        <v>288</v>
      </c>
      <c r="N680" t="s">
        <v>2395</v>
      </c>
      <c r="O680" t="s">
        <v>215</v>
      </c>
      <c r="P680" t="s">
        <v>248</v>
      </c>
      <c r="Q680" t="s">
        <v>2396</v>
      </c>
      <c r="R680" s="13">
        <v>82.524000000000001</v>
      </c>
      <c r="S680">
        <v>3</v>
      </c>
      <c r="T680" s="14">
        <v>0.6</v>
      </c>
      <c r="U680" s="13">
        <v>-41.262</v>
      </c>
    </row>
    <row r="681" spans="1:21" ht="15" customHeight="1" x14ac:dyDescent="0.3">
      <c r="A681">
        <v>680</v>
      </c>
      <c r="B681" t="s">
        <v>2387</v>
      </c>
      <c r="C681" s="12">
        <v>42812</v>
      </c>
      <c r="D681" s="12">
        <v>42817</v>
      </c>
      <c r="E681" t="s">
        <v>233</v>
      </c>
      <c r="F681" t="s">
        <v>2388</v>
      </c>
      <c r="G681" t="s">
        <v>2389</v>
      </c>
      <c r="H681" t="s">
        <v>209</v>
      </c>
      <c r="I681" t="s">
        <v>210</v>
      </c>
      <c r="J681" t="s">
        <v>2390</v>
      </c>
      <c r="K681" t="s">
        <v>287</v>
      </c>
      <c r="L681">
        <v>75701</v>
      </c>
      <c r="M681" t="s">
        <v>288</v>
      </c>
      <c r="N681" t="s">
        <v>2397</v>
      </c>
      <c r="O681" t="s">
        <v>229</v>
      </c>
      <c r="P681" t="s">
        <v>258</v>
      </c>
      <c r="Q681" t="s">
        <v>2398</v>
      </c>
      <c r="R681" s="13">
        <v>182.994</v>
      </c>
      <c r="S681">
        <v>3</v>
      </c>
      <c r="T681" s="14">
        <v>0.8</v>
      </c>
      <c r="U681" s="13">
        <v>-320.23950000000002</v>
      </c>
    </row>
    <row r="682" spans="1:21" ht="15" customHeight="1" x14ac:dyDescent="0.3">
      <c r="A682">
        <v>681</v>
      </c>
      <c r="B682" t="s">
        <v>2399</v>
      </c>
      <c r="C682" s="12">
        <v>42693</v>
      </c>
      <c r="D682" s="12">
        <v>42698</v>
      </c>
      <c r="E682" t="s">
        <v>233</v>
      </c>
      <c r="F682" t="s">
        <v>2400</v>
      </c>
      <c r="G682" t="s">
        <v>2401</v>
      </c>
      <c r="H682" t="s">
        <v>209</v>
      </c>
      <c r="I682" t="s">
        <v>210</v>
      </c>
      <c r="J682" t="s">
        <v>449</v>
      </c>
      <c r="K682" t="s">
        <v>450</v>
      </c>
      <c r="L682">
        <v>10024</v>
      </c>
      <c r="M682" t="s">
        <v>331</v>
      </c>
      <c r="N682" t="s">
        <v>2402</v>
      </c>
      <c r="O682" t="s">
        <v>229</v>
      </c>
      <c r="P682" t="s">
        <v>258</v>
      </c>
      <c r="Q682" t="s">
        <v>2403</v>
      </c>
      <c r="R682" s="13">
        <v>14.352</v>
      </c>
      <c r="S682">
        <v>3</v>
      </c>
      <c r="T682" s="14">
        <v>0.2</v>
      </c>
      <c r="U682" s="13">
        <v>4.6643999999999997</v>
      </c>
    </row>
    <row r="683" spans="1:21" ht="15" customHeight="1" x14ac:dyDescent="0.3">
      <c r="A683">
        <v>682</v>
      </c>
      <c r="B683" t="s">
        <v>2399</v>
      </c>
      <c r="C683" s="12">
        <v>42693</v>
      </c>
      <c r="D683" s="12">
        <v>42698</v>
      </c>
      <c r="E683" t="s">
        <v>233</v>
      </c>
      <c r="F683" t="s">
        <v>2400</v>
      </c>
      <c r="G683" t="s">
        <v>2401</v>
      </c>
      <c r="H683" t="s">
        <v>209</v>
      </c>
      <c r="I683" t="s">
        <v>210</v>
      </c>
      <c r="J683" t="s">
        <v>449</v>
      </c>
      <c r="K683" t="s">
        <v>450</v>
      </c>
      <c r="L683">
        <v>10024</v>
      </c>
      <c r="M683" t="s">
        <v>331</v>
      </c>
      <c r="N683" t="s">
        <v>2404</v>
      </c>
      <c r="O683" t="s">
        <v>229</v>
      </c>
      <c r="P683" t="s">
        <v>242</v>
      </c>
      <c r="Q683" t="s">
        <v>2405</v>
      </c>
      <c r="R683" s="13">
        <v>64.959999999999994</v>
      </c>
      <c r="S683">
        <v>2</v>
      </c>
      <c r="T683" s="14">
        <v>0</v>
      </c>
      <c r="U683" s="13">
        <v>2.5983999999999998</v>
      </c>
    </row>
    <row r="684" spans="1:21" ht="15" customHeight="1" x14ac:dyDescent="0.3">
      <c r="A684">
        <v>683</v>
      </c>
      <c r="B684" t="s">
        <v>2399</v>
      </c>
      <c r="C684" s="12">
        <v>42693</v>
      </c>
      <c r="D684" s="12">
        <v>42698</v>
      </c>
      <c r="E684" t="s">
        <v>233</v>
      </c>
      <c r="F684" t="s">
        <v>2400</v>
      </c>
      <c r="G684" t="s">
        <v>2401</v>
      </c>
      <c r="H684" t="s">
        <v>209</v>
      </c>
      <c r="I684" t="s">
        <v>210</v>
      </c>
      <c r="J684" t="s">
        <v>449</v>
      </c>
      <c r="K684" t="s">
        <v>450</v>
      </c>
      <c r="L684">
        <v>10024</v>
      </c>
      <c r="M684" t="s">
        <v>331</v>
      </c>
      <c r="N684" t="s">
        <v>1953</v>
      </c>
      <c r="O684" t="s">
        <v>229</v>
      </c>
      <c r="P684" t="s">
        <v>242</v>
      </c>
      <c r="Q684" t="s">
        <v>1954</v>
      </c>
      <c r="R684" s="13">
        <v>68.599999999999994</v>
      </c>
      <c r="S684">
        <v>4</v>
      </c>
      <c r="T684" s="14">
        <v>0</v>
      </c>
      <c r="U684" s="13">
        <v>18.521999999999998</v>
      </c>
    </row>
    <row r="685" spans="1:21" ht="15" customHeight="1" x14ac:dyDescent="0.3">
      <c r="A685">
        <v>684</v>
      </c>
      <c r="B685" t="s">
        <v>2406</v>
      </c>
      <c r="C685" s="12">
        <v>43043</v>
      </c>
      <c r="D685" s="12">
        <v>43043</v>
      </c>
      <c r="E685" t="s">
        <v>1476</v>
      </c>
      <c r="F685" t="s">
        <v>2407</v>
      </c>
      <c r="G685" t="s">
        <v>2408</v>
      </c>
      <c r="H685" t="s">
        <v>224</v>
      </c>
      <c r="I685" t="s">
        <v>210</v>
      </c>
      <c r="J685" t="s">
        <v>2409</v>
      </c>
      <c r="K685" t="s">
        <v>271</v>
      </c>
      <c r="L685">
        <v>27217</v>
      </c>
      <c r="M685" t="s">
        <v>213</v>
      </c>
      <c r="N685" t="s">
        <v>2410</v>
      </c>
      <c r="O685" t="s">
        <v>254</v>
      </c>
      <c r="P685" t="s">
        <v>867</v>
      </c>
      <c r="Q685" t="s">
        <v>2411</v>
      </c>
      <c r="R685" s="13">
        <v>7999.98</v>
      </c>
      <c r="S685">
        <v>4</v>
      </c>
      <c r="T685" s="14">
        <v>0.5</v>
      </c>
      <c r="U685" s="13">
        <v>-3839.9904000000001</v>
      </c>
    </row>
    <row r="686" spans="1:21" ht="15" customHeight="1" x14ac:dyDescent="0.3">
      <c r="A686">
        <v>685</v>
      </c>
      <c r="B686" t="s">
        <v>2406</v>
      </c>
      <c r="C686" s="12">
        <v>43043</v>
      </c>
      <c r="D686" s="12">
        <v>43043</v>
      </c>
      <c r="E686" t="s">
        <v>1476</v>
      </c>
      <c r="F686" t="s">
        <v>2407</v>
      </c>
      <c r="G686" t="s">
        <v>2408</v>
      </c>
      <c r="H686" t="s">
        <v>224</v>
      </c>
      <c r="I686" t="s">
        <v>210</v>
      </c>
      <c r="J686" t="s">
        <v>2409</v>
      </c>
      <c r="K686" t="s">
        <v>271</v>
      </c>
      <c r="L686">
        <v>27217</v>
      </c>
      <c r="M686" t="s">
        <v>213</v>
      </c>
      <c r="N686" t="s">
        <v>2320</v>
      </c>
      <c r="O686" t="s">
        <v>229</v>
      </c>
      <c r="P686" t="s">
        <v>261</v>
      </c>
      <c r="Q686" t="s">
        <v>2321</v>
      </c>
      <c r="R686" s="13">
        <v>167.44</v>
      </c>
      <c r="S686">
        <v>2</v>
      </c>
      <c r="T686" s="14">
        <v>0.2</v>
      </c>
      <c r="U686" s="13">
        <v>14.651</v>
      </c>
    </row>
    <row r="687" spans="1:21" ht="15" customHeight="1" x14ac:dyDescent="0.3">
      <c r="A687">
        <v>686</v>
      </c>
      <c r="B687" t="s">
        <v>2412</v>
      </c>
      <c r="C687" s="12">
        <v>41825</v>
      </c>
      <c r="D687" s="12">
        <v>41828</v>
      </c>
      <c r="E687" t="s">
        <v>371</v>
      </c>
      <c r="F687" t="s">
        <v>2413</v>
      </c>
      <c r="G687" t="s">
        <v>2414</v>
      </c>
      <c r="H687" t="s">
        <v>209</v>
      </c>
      <c r="I687" t="s">
        <v>210</v>
      </c>
      <c r="J687" t="s">
        <v>511</v>
      </c>
      <c r="K687" t="s">
        <v>1675</v>
      </c>
      <c r="L687">
        <v>39212</v>
      </c>
      <c r="M687" t="s">
        <v>213</v>
      </c>
      <c r="N687" t="s">
        <v>1498</v>
      </c>
      <c r="O687" t="s">
        <v>254</v>
      </c>
      <c r="P687" t="s">
        <v>344</v>
      </c>
      <c r="Q687" t="s">
        <v>1499</v>
      </c>
      <c r="R687" s="13">
        <v>479.97</v>
      </c>
      <c r="S687">
        <v>3</v>
      </c>
      <c r="T687" s="14">
        <v>0</v>
      </c>
      <c r="U687" s="13">
        <v>163.18979999999999</v>
      </c>
    </row>
    <row r="688" spans="1:21" ht="15" customHeight="1" x14ac:dyDescent="0.3">
      <c r="A688">
        <v>687</v>
      </c>
      <c r="B688" t="s">
        <v>2412</v>
      </c>
      <c r="C688" s="12">
        <v>41825</v>
      </c>
      <c r="D688" s="12">
        <v>41828</v>
      </c>
      <c r="E688" t="s">
        <v>371</v>
      </c>
      <c r="F688" t="s">
        <v>2413</v>
      </c>
      <c r="G688" t="s">
        <v>2414</v>
      </c>
      <c r="H688" t="s">
        <v>209</v>
      </c>
      <c r="I688" t="s">
        <v>210</v>
      </c>
      <c r="J688" t="s">
        <v>511</v>
      </c>
      <c r="K688" t="s">
        <v>1675</v>
      </c>
      <c r="L688">
        <v>39212</v>
      </c>
      <c r="M688" t="s">
        <v>213</v>
      </c>
      <c r="N688" t="s">
        <v>2415</v>
      </c>
      <c r="O688" t="s">
        <v>229</v>
      </c>
      <c r="P688" t="s">
        <v>230</v>
      </c>
      <c r="Q688" t="s">
        <v>2416</v>
      </c>
      <c r="R688" s="13">
        <v>14.62</v>
      </c>
      <c r="S688">
        <v>2</v>
      </c>
      <c r="T688" s="14">
        <v>0</v>
      </c>
      <c r="U688" s="13">
        <v>6.8714000000000004</v>
      </c>
    </row>
    <row r="689" spans="1:21" ht="15" customHeight="1" x14ac:dyDescent="0.3">
      <c r="A689">
        <v>688</v>
      </c>
      <c r="B689" t="s">
        <v>2412</v>
      </c>
      <c r="C689" s="12">
        <v>41825</v>
      </c>
      <c r="D689" s="12">
        <v>41828</v>
      </c>
      <c r="E689" t="s">
        <v>371</v>
      </c>
      <c r="F689" t="s">
        <v>2413</v>
      </c>
      <c r="G689" t="s">
        <v>2414</v>
      </c>
      <c r="H689" t="s">
        <v>209</v>
      </c>
      <c r="I689" t="s">
        <v>210</v>
      </c>
      <c r="J689" t="s">
        <v>511</v>
      </c>
      <c r="K689" t="s">
        <v>1675</v>
      </c>
      <c r="L689">
        <v>39212</v>
      </c>
      <c r="M689" t="s">
        <v>213</v>
      </c>
      <c r="N689" t="s">
        <v>587</v>
      </c>
      <c r="O689" t="s">
        <v>229</v>
      </c>
      <c r="P689" t="s">
        <v>273</v>
      </c>
      <c r="Q689" t="s">
        <v>588</v>
      </c>
      <c r="R689" s="13">
        <v>19.440000000000001</v>
      </c>
      <c r="S689">
        <v>3</v>
      </c>
      <c r="T689" s="14">
        <v>0</v>
      </c>
      <c r="U689" s="13">
        <v>9.3312000000000008</v>
      </c>
    </row>
    <row r="690" spans="1:21" ht="15" customHeight="1" x14ac:dyDescent="0.3">
      <c r="A690">
        <v>689</v>
      </c>
      <c r="B690" t="s">
        <v>2417</v>
      </c>
      <c r="C690" s="12">
        <v>43094</v>
      </c>
      <c r="D690" s="12">
        <v>43098</v>
      </c>
      <c r="E690" t="s">
        <v>233</v>
      </c>
      <c r="F690" t="s">
        <v>2418</v>
      </c>
      <c r="G690" t="s">
        <v>2419</v>
      </c>
      <c r="H690" t="s">
        <v>209</v>
      </c>
      <c r="I690" t="s">
        <v>210</v>
      </c>
      <c r="J690" t="s">
        <v>449</v>
      </c>
      <c r="K690" t="s">
        <v>450</v>
      </c>
      <c r="L690">
        <v>10035</v>
      </c>
      <c r="M690" t="s">
        <v>331</v>
      </c>
      <c r="N690" t="s">
        <v>2420</v>
      </c>
      <c r="O690" t="s">
        <v>215</v>
      </c>
      <c r="P690" t="s">
        <v>216</v>
      </c>
      <c r="Q690" t="s">
        <v>2421</v>
      </c>
      <c r="R690" s="13">
        <v>191.98400000000001</v>
      </c>
      <c r="S690">
        <v>2</v>
      </c>
      <c r="T690" s="14">
        <v>0.2</v>
      </c>
      <c r="U690" s="13">
        <v>4.7995999999999803</v>
      </c>
    </row>
    <row r="691" spans="1:21" ht="15" customHeight="1" x14ac:dyDescent="0.3">
      <c r="A691">
        <v>690</v>
      </c>
      <c r="B691" t="s">
        <v>2422</v>
      </c>
      <c r="C691" s="12">
        <v>41811</v>
      </c>
      <c r="D691" s="12">
        <v>41813</v>
      </c>
      <c r="E691" t="s">
        <v>206</v>
      </c>
      <c r="F691" t="s">
        <v>2423</v>
      </c>
      <c r="G691" t="s">
        <v>2424</v>
      </c>
      <c r="H691" t="s">
        <v>209</v>
      </c>
      <c r="I691" t="s">
        <v>210</v>
      </c>
      <c r="J691" t="s">
        <v>2425</v>
      </c>
      <c r="K691" t="s">
        <v>502</v>
      </c>
      <c r="L691">
        <v>22980</v>
      </c>
      <c r="M691" t="s">
        <v>213</v>
      </c>
      <c r="N691" t="s">
        <v>2426</v>
      </c>
      <c r="O691" t="s">
        <v>215</v>
      </c>
      <c r="P691" t="s">
        <v>248</v>
      </c>
      <c r="Q691" t="s">
        <v>2427</v>
      </c>
      <c r="R691" s="13">
        <v>104.01</v>
      </c>
      <c r="S691">
        <v>1</v>
      </c>
      <c r="T691" s="14">
        <v>0</v>
      </c>
      <c r="U691" s="13">
        <v>14.561400000000001</v>
      </c>
    </row>
    <row r="692" spans="1:21" ht="15" customHeight="1" x14ac:dyDescent="0.3">
      <c r="A692">
        <v>691</v>
      </c>
      <c r="B692" t="s">
        <v>2422</v>
      </c>
      <c r="C692" s="12">
        <v>41811</v>
      </c>
      <c r="D692" s="12">
        <v>41813</v>
      </c>
      <c r="E692" t="s">
        <v>206</v>
      </c>
      <c r="F692" t="s">
        <v>2423</v>
      </c>
      <c r="G692" t="s">
        <v>2424</v>
      </c>
      <c r="H692" t="s">
        <v>209</v>
      </c>
      <c r="I692" t="s">
        <v>210</v>
      </c>
      <c r="J692" t="s">
        <v>2425</v>
      </c>
      <c r="K692" t="s">
        <v>502</v>
      </c>
      <c r="L692">
        <v>22980</v>
      </c>
      <c r="M692" t="s">
        <v>213</v>
      </c>
      <c r="N692" t="s">
        <v>265</v>
      </c>
      <c r="O692" t="s">
        <v>254</v>
      </c>
      <c r="P692" t="s">
        <v>255</v>
      </c>
      <c r="Q692" t="s">
        <v>266</v>
      </c>
      <c r="R692" s="13">
        <v>284.82</v>
      </c>
      <c r="S692">
        <v>1</v>
      </c>
      <c r="T692" s="14">
        <v>0</v>
      </c>
      <c r="U692" s="13">
        <v>74.053200000000004</v>
      </c>
    </row>
    <row r="693" spans="1:21" ht="15" customHeight="1" x14ac:dyDescent="0.3">
      <c r="A693">
        <v>692</v>
      </c>
      <c r="B693" t="s">
        <v>2422</v>
      </c>
      <c r="C693" s="12">
        <v>41811</v>
      </c>
      <c r="D693" s="12">
        <v>41813</v>
      </c>
      <c r="E693" t="s">
        <v>206</v>
      </c>
      <c r="F693" t="s">
        <v>2423</v>
      </c>
      <c r="G693" t="s">
        <v>2424</v>
      </c>
      <c r="H693" t="s">
        <v>209</v>
      </c>
      <c r="I693" t="s">
        <v>210</v>
      </c>
      <c r="J693" t="s">
        <v>2425</v>
      </c>
      <c r="K693" t="s">
        <v>502</v>
      </c>
      <c r="L693">
        <v>22980</v>
      </c>
      <c r="M693" t="s">
        <v>213</v>
      </c>
      <c r="N693" t="s">
        <v>2428</v>
      </c>
      <c r="O693" t="s">
        <v>229</v>
      </c>
      <c r="P693" t="s">
        <v>242</v>
      </c>
      <c r="Q693" t="s">
        <v>2429</v>
      </c>
      <c r="R693" s="13">
        <v>36.840000000000003</v>
      </c>
      <c r="S693">
        <v>3</v>
      </c>
      <c r="T693" s="14">
        <v>0</v>
      </c>
      <c r="U693" s="13">
        <v>10.315200000000001</v>
      </c>
    </row>
    <row r="694" spans="1:21" ht="15" customHeight="1" x14ac:dyDescent="0.3">
      <c r="A694">
        <v>693</v>
      </c>
      <c r="B694" t="s">
        <v>2430</v>
      </c>
      <c r="C694" s="12">
        <v>42091</v>
      </c>
      <c r="D694" s="12">
        <v>42096</v>
      </c>
      <c r="E694" t="s">
        <v>233</v>
      </c>
      <c r="F694" t="s">
        <v>2431</v>
      </c>
      <c r="G694" t="s">
        <v>2432</v>
      </c>
      <c r="H694" t="s">
        <v>209</v>
      </c>
      <c r="I694" t="s">
        <v>210</v>
      </c>
      <c r="J694" t="s">
        <v>225</v>
      </c>
      <c r="K694" t="s">
        <v>226</v>
      </c>
      <c r="L694">
        <v>90036</v>
      </c>
      <c r="M694" t="s">
        <v>227</v>
      </c>
      <c r="N694" t="s">
        <v>2433</v>
      </c>
      <c r="O694" t="s">
        <v>254</v>
      </c>
      <c r="P694" t="s">
        <v>344</v>
      </c>
      <c r="Q694" t="s">
        <v>2434</v>
      </c>
      <c r="R694" s="13">
        <v>166.24</v>
      </c>
      <c r="S694">
        <v>1</v>
      </c>
      <c r="T694" s="14">
        <v>0</v>
      </c>
      <c r="U694" s="13">
        <v>24.936</v>
      </c>
    </row>
    <row r="695" spans="1:21" ht="15" customHeight="1" x14ac:dyDescent="0.3">
      <c r="A695">
        <v>694</v>
      </c>
      <c r="B695" t="s">
        <v>2430</v>
      </c>
      <c r="C695" s="12">
        <v>42091</v>
      </c>
      <c r="D695" s="12">
        <v>42096</v>
      </c>
      <c r="E695" t="s">
        <v>233</v>
      </c>
      <c r="F695" t="s">
        <v>2431</v>
      </c>
      <c r="G695" t="s">
        <v>2432</v>
      </c>
      <c r="H695" t="s">
        <v>209</v>
      </c>
      <c r="I695" t="s">
        <v>210</v>
      </c>
      <c r="J695" t="s">
        <v>225</v>
      </c>
      <c r="K695" t="s">
        <v>226</v>
      </c>
      <c r="L695">
        <v>90036</v>
      </c>
      <c r="M695" t="s">
        <v>227</v>
      </c>
      <c r="N695" t="s">
        <v>2435</v>
      </c>
      <c r="O695" t="s">
        <v>229</v>
      </c>
      <c r="P695" t="s">
        <v>273</v>
      </c>
      <c r="Q695" t="s">
        <v>2436</v>
      </c>
      <c r="R695" s="13">
        <v>33.4</v>
      </c>
      <c r="S695">
        <v>5</v>
      </c>
      <c r="T695" s="14">
        <v>0</v>
      </c>
      <c r="U695" s="13">
        <v>16.032</v>
      </c>
    </row>
    <row r="696" spans="1:21" ht="15" customHeight="1" x14ac:dyDescent="0.3">
      <c r="A696">
        <v>695</v>
      </c>
      <c r="B696" t="s">
        <v>2437</v>
      </c>
      <c r="C696" s="12">
        <v>42138</v>
      </c>
      <c r="D696" s="12">
        <v>42141</v>
      </c>
      <c r="E696" t="s">
        <v>371</v>
      </c>
      <c r="F696" t="s">
        <v>2438</v>
      </c>
      <c r="G696" t="s">
        <v>2439</v>
      </c>
      <c r="H696" t="s">
        <v>285</v>
      </c>
      <c r="I696" t="s">
        <v>210</v>
      </c>
      <c r="J696" t="s">
        <v>2440</v>
      </c>
      <c r="K696" t="s">
        <v>330</v>
      </c>
      <c r="L696">
        <v>19013</v>
      </c>
      <c r="M696" t="s">
        <v>331</v>
      </c>
      <c r="N696" t="s">
        <v>1345</v>
      </c>
      <c r="O696" t="s">
        <v>229</v>
      </c>
      <c r="P696" t="s">
        <v>251</v>
      </c>
      <c r="Q696" t="s">
        <v>1346</v>
      </c>
      <c r="R696" s="13">
        <v>198.27199999999999</v>
      </c>
      <c r="S696">
        <v>8</v>
      </c>
      <c r="T696" s="14">
        <v>0.2</v>
      </c>
      <c r="U696" s="13">
        <v>17.348800000000001</v>
      </c>
    </row>
    <row r="697" spans="1:21" ht="15" customHeight="1" x14ac:dyDescent="0.3">
      <c r="A697">
        <v>696</v>
      </c>
      <c r="B697" t="s">
        <v>2437</v>
      </c>
      <c r="C697" s="12">
        <v>42138</v>
      </c>
      <c r="D697" s="12">
        <v>42141</v>
      </c>
      <c r="E697" t="s">
        <v>371</v>
      </c>
      <c r="F697" t="s">
        <v>2438</v>
      </c>
      <c r="G697" t="s">
        <v>2439</v>
      </c>
      <c r="H697" t="s">
        <v>285</v>
      </c>
      <c r="I697" t="s">
        <v>210</v>
      </c>
      <c r="J697" t="s">
        <v>2440</v>
      </c>
      <c r="K697" t="s">
        <v>330</v>
      </c>
      <c r="L697">
        <v>19013</v>
      </c>
      <c r="M697" t="s">
        <v>331</v>
      </c>
      <c r="N697" t="s">
        <v>2441</v>
      </c>
      <c r="O697" t="s">
        <v>229</v>
      </c>
      <c r="P697" t="s">
        <v>230</v>
      </c>
      <c r="Q697" t="s">
        <v>2442</v>
      </c>
      <c r="R697" s="13">
        <v>47.36</v>
      </c>
      <c r="S697">
        <v>4</v>
      </c>
      <c r="T697" s="14">
        <v>0.2</v>
      </c>
      <c r="U697" s="13">
        <v>17.760000000000002</v>
      </c>
    </row>
    <row r="698" spans="1:21" ht="15" customHeight="1" x14ac:dyDescent="0.3">
      <c r="A698">
        <v>697</v>
      </c>
      <c r="B698" t="s">
        <v>2437</v>
      </c>
      <c r="C698" s="12">
        <v>42138</v>
      </c>
      <c r="D698" s="12">
        <v>42141</v>
      </c>
      <c r="E698" t="s">
        <v>371</v>
      </c>
      <c r="F698" t="s">
        <v>2438</v>
      </c>
      <c r="G698" t="s">
        <v>2439</v>
      </c>
      <c r="H698" t="s">
        <v>285</v>
      </c>
      <c r="I698" t="s">
        <v>210</v>
      </c>
      <c r="J698" t="s">
        <v>2440</v>
      </c>
      <c r="K698" t="s">
        <v>330</v>
      </c>
      <c r="L698">
        <v>19013</v>
      </c>
      <c r="M698" t="s">
        <v>331</v>
      </c>
      <c r="N698" t="s">
        <v>557</v>
      </c>
      <c r="O698" t="s">
        <v>229</v>
      </c>
      <c r="P698" t="s">
        <v>356</v>
      </c>
      <c r="Q698" t="s">
        <v>558</v>
      </c>
      <c r="R698" s="13">
        <v>200.98400000000001</v>
      </c>
      <c r="S698">
        <v>7</v>
      </c>
      <c r="T698" s="14">
        <v>0.2</v>
      </c>
      <c r="U698" s="13">
        <v>62.807499999999997</v>
      </c>
    </row>
    <row r="699" spans="1:21" ht="15" customHeight="1" x14ac:dyDescent="0.3">
      <c r="A699">
        <v>698</v>
      </c>
      <c r="B699" t="s">
        <v>2437</v>
      </c>
      <c r="C699" s="12">
        <v>42138</v>
      </c>
      <c r="D699" s="12">
        <v>42141</v>
      </c>
      <c r="E699" t="s">
        <v>371</v>
      </c>
      <c r="F699" t="s">
        <v>2438</v>
      </c>
      <c r="G699" t="s">
        <v>2439</v>
      </c>
      <c r="H699" t="s">
        <v>285</v>
      </c>
      <c r="I699" t="s">
        <v>210</v>
      </c>
      <c r="J699" t="s">
        <v>2440</v>
      </c>
      <c r="K699" t="s">
        <v>330</v>
      </c>
      <c r="L699">
        <v>19013</v>
      </c>
      <c r="M699" t="s">
        <v>331</v>
      </c>
      <c r="N699" t="s">
        <v>2443</v>
      </c>
      <c r="O699" t="s">
        <v>229</v>
      </c>
      <c r="P699" t="s">
        <v>230</v>
      </c>
      <c r="Q699" t="s">
        <v>2444</v>
      </c>
      <c r="R699" s="13">
        <v>97.695999999999998</v>
      </c>
      <c r="S699">
        <v>4</v>
      </c>
      <c r="T699" s="14">
        <v>0.2</v>
      </c>
      <c r="U699" s="13">
        <v>31.751200000000001</v>
      </c>
    </row>
    <row r="700" spans="1:21" ht="15" customHeight="1" x14ac:dyDescent="0.3">
      <c r="A700">
        <v>699</v>
      </c>
      <c r="B700" t="s">
        <v>2437</v>
      </c>
      <c r="C700" s="12">
        <v>42138</v>
      </c>
      <c r="D700" s="12">
        <v>42141</v>
      </c>
      <c r="E700" t="s">
        <v>371</v>
      </c>
      <c r="F700" t="s">
        <v>2438</v>
      </c>
      <c r="G700" t="s">
        <v>2439</v>
      </c>
      <c r="H700" t="s">
        <v>285</v>
      </c>
      <c r="I700" t="s">
        <v>210</v>
      </c>
      <c r="J700" t="s">
        <v>2440</v>
      </c>
      <c r="K700" t="s">
        <v>330</v>
      </c>
      <c r="L700">
        <v>19013</v>
      </c>
      <c r="M700" t="s">
        <v>331</v>
      </c>
      <c r="N700" t="s">
        <v>2445</v>
      </c>
      <c r="O700" t="s">
        <v>229</v>
      </c>
      <c r="P700" t="s">
        <v>251</v>
      </c>
      <c r="Q700" t="s">
        <v>2446</v>
      </c>
      <c r="R700" s="13">
        <v>2.6960000000000002</v>
      </c>
      <c r="S700">
        <v>1</v>
      </c>
      <c r="T700" s="14">
        <v>0.2</v>
      </c>
      <c r="U700" s="13">
        <v>0.80879999999999996</v>
      </c>
    </row>
    <row r="701" spans="1:21" ht="15" customHeight="1" x14ac:dyDescent="0.3">
      <c r="A701">
        <v>700</v>
      </c>
      <c r="B701" t="s">
        <v>2437</v>
      </c>
      <c r="C701" s="12">
        <v>42138</v>
      </c>
      <c r="D701" s="12">
        <v>42141</v>
      </c>
      <c r="E701" t="s">
        <v>371</v>
      </c>
      <c r="F701" t="s">
        <v>2438</v>
      </c>
      <c r="G701" t="s">
        <v>2439</v>
      </c>
      <c r="H701" t="s">
        <v>285</v>
      </c>
      <c r="I701" t="s">
        <v>210</v>
      </c>
      <c r="J701" t="s">
        <v>2440</v>
      </c>
      <c r="K701" t="s">
        <v>330</v>
      </c>
      <c r="L701">
        <v>19013</v>
      </c>
      <c r="M701" t="s">
        <v>331</v>
      </c>
      <c r="N701" t="s">
        <v>2447</v>
      </c>
      <c r="O701" t="s">
        <v>229</v>
      </c>
      <c r="P701" t="s">
        <v>258</v>
      </c>
      <c r="Q701" t="s">
        <v>2448</v>
      </c>
      <c r="R701" s="13">
        <v>18.588000000000001</v>
      </c>
      <c r="S701">
        <v>2</v>
      </c>
      <c r="T701" s="14">
        <v>0.7</v>
      </c>
      <c r="U701" s="13">
        <v>-13.6312</v>
      </c>
    </row>
    <row r="702" spans="1:21" ht="15" customHeight="1" x14ac:dyDescent="0.3">
      <c r="A702">
        <v>701</v>
      </c>
      <c r="B702" t="s">
        <v>2437</v>
      </c>
      <c r="C702" s="12">
        <v>42138</v>
      </c>
      <c r="D702" s="12">
        <v>42141</v>
      </c>
      <c r="E702" t="s">
        <v>371</v>
      </c>
      <c r="F702" t="s">
        <v>2438</v>
      </c>
      <c r="G702" t="s">
        <v>2439</v>
      </c>
      <c r="H702" t="s">
        <v>285</v>
      </c>
      <c r="I702" t="s">
        <v>210</v>
      </c>
      <c r="J702" t="s">
        <v>2440</v>
      </c>
      <c r="K702" t="s">
        <v>330</v>
      </c>
      <c r="L702">
        <v>19013</v>
      </c>
      <c r="M702" t="s">
        <v>331</v>
      </c>
      <c r="N702" t="s">
        <v>1394</v>
      </c>
      <c r="O702" t="s">
        <v>229</v>
      </c>
      <c r="P702" t="s">
        <v>258</v>
      </c>
      <c r="Q702" t="s">
        <v>1395</v>
      </c>
      <c r="R702" s="13">
        <v>4.8959999999999999</v>
      </c>
      <c r="S702">
        <v>3</v>
      </c>
      <c r="T702" s="14">
        <v>0.7</v>
      </c>
      <c r="U702" s="13">
        <v>-3.4272</v>
      </c>
    </row>
    <row r="703" spans="1:21" ht="15" customHeight="1" x14ac:dyDescent="0.3">
      <c r="A703">
        <v>702</v>
      </c>
      <c r="B703" t="s">
        <v>2449</v>
      </c>
      <c r="C703" s="12">
        <v>42980</v>
      </c>
      <c r="D703" s="12">
        <v>42986</v>
      </c>
      <c r="E703" t="s">
        <v>233</v>
      </c>
      <c r="F703" t="s">
        <v>1160</v>
      </c>
      <c r="G703" t="s">
        <v>1161</v>
      </c>
      <c r="H703" t="s">
        <v>224</v>
      </c>
      <c r="I703" t="s">
        <v>210</v>
      </c>
      <c r="J703" t="s">
        <v>2368</v>
      </c>
      <c r="K703" t="s">
        <v>681</v>
      </c>
      <c r="L703">
        <v>44105</v>
      </c>
      <c r="M703" t="s">
        <v>331</v>
      </c>
      <c r="N703" t="s">
        <v>1006</v>
      </c>
      <c r="O703" t="s">
        <v>215</v>
      </c>
      <c r="P703" t="s">
        <v>248</v>
      </c>
      <c r="Q703" t="s">
        <v>1007</v>
      </c>
      <c r="R703" s="13">
        <v>15.071999999999999</v>
      </c>
      <c r="S703">
        <v>3</v>
      </c>
      <c r="T703" s="14">
        <v>0.2</v>
      </c>
      <c r="U703" s="13">
        <v>4.1448</v>
      </c>
    </row>
    <row r="704" spans="1:21" ht="15" customHeight="1" x14ac:dyDescent="0.3">
      <c r="A704">
        <v>703</v>
      </c>
      <c r="B704" t="s">
        <v>2450</v>
      </c>
      <c r="C704" s="12">
        <v>42678</v>
      </c>
      <c r="D704" s="12">
        <v>42682</v>
      </c>
      <c r="E704" t="s">
        <v>206</v>
      </c>
      <c r="F704" t="s">
        <v>1525</v>
      </c>
      <c r="G704" t="s">
        <v>1526</v>
      </c>
      <c r="H704" t="s">
        <v>224</v>
      </c>
      <c r="I704" t="s">
        <v>210</v>
      </c>
      <c r="J704" t="s">
        <v>278</v>
      </c>
      <c r="K704" t="s">
        <v>279</v>
      </c>
      <c r="L704">
        <v>98103</v>
      </c>
      <c r="M704" t="s">
        <v>227</v>
      </c>
      <c r="N704" t="s">
        <v>2451</v>
      </c>
      <c r="O704" t="s">
        <v>215</v>
      </c>
      <c r="P704" t="s">
        <v>248</v>
      </c>
      <c r="Q704" t="s">
        <v>2452</v>
      </c>
      <c r="R704" s="13">
        <v>209.88</v>
      </c>
      <c r="S704">
        <v>3</v>
      </c>
      <c r="T704" s="14">
        <v>0</v>
      </c>
      <c r="U704" s="13">
        <v>35.679600000000001</v>
      </c>
    </row>
    <row r="705" spans="1:21" ht="15" customHeight="1" x14ac:dyDescent="0.3">
      <c r="A705">
        <v>704</v>
      </c>
      <c r="B705" t="s">
        <v>2453</v>
      </c>
      <c r="C705" s="12">
        <v>42103</v>
      </c>
      <c r="D705" s="12">
        <v>42108</v>
      </c>
      <c r="E705" t="s">
        <v>233</v>
      </c>
      <c r="F705" t="s">
        <v>2454</v>
      </c>
      <c r="G705" t="s">
        <v>2455</v>
      </c>
      <c r="H705" t="s">
        <v>209</v>
      </c>
      <c r="I705" t="s">
        <v>210</v>
      </c>
      <c r="J705" t="s">
        <v>1359</v>
      </c>
      <c r="K705" t="s">
        <v>226</v>
      </c>
      <c r="L705">
        <v>90805</v>
      </c>
      <c r="M705" t="s">
        <v>227</v>
      </c>
      <c r="N705" t="s">
        <v>2456</v>
      </c>
      <c r="O705" t="s">
        <v>215</v>
      </c>
      <c r="P705" t="s">
        <v>239</v>
      </c>
      <c r="Q705" t="s">
        <v>2457</v>
      </c>
      <c r="R705" s="13">
        <v>369.91199999999998</v>
      </c>
      <c r="S705">
        <v>3</v>
      </c>
      <c r="T705" s="14">
        <v>0.2</v>
      </c>
      <c r="U705" s="13">
        <v>-13.8717000000001</v>
      </c>
    </row>
    <row r="706" spans="1:21" ht="15" customHeight="1" x14ac:dyDescent="0.3">
      <c r="A706">
        <v>705</v>
      </c>
      <c r="B706" t="s">
        <v>2458</v>
      </c>
      <c r="C706" s="12">
        <v>41894</v>
      </c>
      <c r="D706" s="12">
        <v>41899</v>
      </c>
      <c r="E706" t="s">
        <v>233</v>
      </c>
      <c r="F706" t="s">
        <v>2459</v>
      </c>
      <c r="G706" t="s">
        <v>2460</v>
      </c>
      <c r="H706" t="s">
        <v>224</v>
      </c>
      <c r="I706" t="s">
        <v>210</v>
      </c>
      <c r="J706" t="s">
        <v>2461</v>
      </c>
      <c r="K706" t="s">
        <v>271</v>
      </c>
      <c r="L706">
        <v>27511</v>
      </c>
      <c r="M706" t="s">
        <v>213</v>
      </c>
      <c r="N706" t="s">
        <v>2462</v>
      </c>
      <c r="O706" t="s">
        <v>229</v>
      </c>
      <c r="P706" t="s">
        <v>273</v>
      </c>
      <c r="Q706" t="s">
        <v>2463</v>
      </c>
      <c r="R706" s="13">
        <v>10.368</v>
      </c>
      <c r="S706">
        <v>2</v>
      </c>
      <c r="T706" s="14">
        <v>0.2</v>
      </c>
      <c r="U706" s="13">
        <v>3.6288</v>
      </c>
    </row>
    <row r="707" spans="1:21" ht="15" customHeight="1" x14ac:dyDescent="0.3">
      <c r="A707">
        <v>706</v>
      </c>
      <c r="B707" t="s">
        <v>2458</v>
      </c>
      <c r="C707" s="12">
        <v>41894</v>
      </c>
      <c r="D707" s="12">
        <v>41899</v>
      </c>
      <c r="E707" t="s">
        <v>233</v>
      </c>
      <c r="F707" t="s">
        <v>2459</v>
      </c>
      <c r="G707" t="s">
        <v>2460</v>
      </c>
      <c r="H707" t="s">
        <v>224</v>
      </c>
      <c r="I707" t="s">
        <v>210</v>
      </c>
      <c r="J707" t="s">
        <v>2461</v>
      </c>
      <c r="K707" t="s">
        <v>271</v>
      </c>
      <c r="L707">
        <v>27511</v>
      </c>
      <c r="M707" t="s">
        <v>213</v>
      </c>
      <c r="N707" t="s">
        <v>2464</v>
      </c>
      <c r="O707" t="s">
        <v>229</v>
      </c>
      <c r="P707" t="s">
        <v>261</v>
      </c>
      <c r="Q707" t="s">
        <v>2465</v>
      </c>
      <c r="R707" s="13">
        <v>166.84</v>
      </c>
      <c r="S707">
        <v>5</v>
      </c>
      <c r="T707" s="14">
        <v>0.2</v>
      </c>
      <c r="U707" s="13">
        <v>18.769500000000001</v>
      </c>
    </row>
    <row r="708" spans="1:21" ht="15" customHeight="1" x14ac:dyDescent="0.3">
      <c r="A708">
        <v>707</v>
      </c>
      <c r="B708" t="s">
        <v>2458</v>
      </c>
      <c r="C708" s="12">
        <v>41894</v>
      </c>
      <c r="D708" s="12">
        <v>41899</v>
      </c>
      <c r="E708" t="s">
        <v>233</v>
      </c>
      <c r="F708" t="s">
        <v>2459</v>
      </c>
      <c r="G708" t="s">
        <v>2460</v>
      </c>
      <c r="H708" t="s">
        <v>224</v>
      </c>
      <c r="I708" t="s">
        <v>210</v>
      </c>
      <c r="J708" t="s">
        <v>2461</v>
      </c>
      <c r="K708" t="s">
        <v>271</v>
      </c>
      <c r="L708">
        <v>27511</v>
      </c>
      <c r="M708" t="s">
        <v>213</v>
      </c>
      <c r="N708" t="s">
        <v>1938</v>
      </c>
      <c r="O708" t="s">
        <v>254</v>
      </c>
      <c r="P708" t="s">
        <v>344</v>
      </c>
      <c r="Q708" t="s">
        <v>1939</v>
      </c>
      <c r="R708" s="13">
        <v>15.215999999999999</v>
      </c>
      <c r="S708">
        <v>1</v>
      </c>
      <c r="T708" s="14">
        <v>0.2</v>
      </c>
      <c r="U708" s="13">
        <v>2.2824</v>
      </c>
    </row>
    <row r="709" spans="1:21" ht="15" customHeight="1" x14ac:dyDescent="0.3">
      <c r="A709">
        <v>708</v>
      </c>
      <c r="B709" t="s">
        <v>2466</v>
      </c>
      <c r="C709" s="12">
        <v>41975</v>
      </c>
      <c r="D709" s="12">
        <v>41977</v>
      </c>
      <c r="E709" t="s">
        <v>371</v>
      </c>
      <c r="F709" t="s">
        <v>2467</v>
      </c>
      <c r="G709" t="s">
        <v>2468</v>
      </c>
      <c r="H709" t="s">
        <v>209</v>
      </c>
      <c r="I709" t="s">
        <v>210</v>
      </c>
      <c r="J709" t="s">
        <v>449</v>
      </c>
      <c r="K709" t="s">
        <v>450</v>
      </c>
      <c r="L709">
        <v>10035</v>
      </c>
      <c r="M709" t="s">
        <v>331</v>
      </c>
      <c r="N709" t="s">
        <v>1204</v>
      </c>
      <c r="O709" t="s">
        <v>254</v>
      </c>
      <c r="P709" t="s">
        <v>344</v>
      </c>
      <c r="Q709" t="s">
        <v>1205</v>
      </c>
      <c r="R709" s="13">
        <v>119.96</v>
      </c>
      <c r="S709">
        <v>4</v>
      </c>
      <c r="T709" s="14">
        <v>0</v>
      </c>
      <c r="U709" s="13">
        <v>52.782400000000003</v>
      </c>
    </row>
    <row r="710" spans="1:21" ht="15" customHeight="1" x14ac:dyDescent="0.3">
      <c r="A710">
        <v>709</v>
      </c>
      <c r="B710" t="s">
        <v>2466</v>
      </c>
      <c r="C710" s="12">
        <v>41975</v>
      </c>
      <c r="D710" s="12">
        <v>41977</v>
      </c>
      <c r="E710" t="s">
        <v>371</v>
      </c>
      <c r="F710" t="s">
        <v>2467</v>
      </c>
      <c r="G710" t="s">
        <v>2468</v>
      </c>
      <c r="H710" t="s">
        <v>209</v>
      </c>
      <c r="I710" t="s">
        <v>210</v>
      </c>
      <c r="J710" t="s">
        <v>449</v>
      </c>
      <c r="K710" t="s">
        <v>450</v>
      </c>
      <c r="L710">
        <v>10035</v>
      </c>
      <c r="M710" t="s">
        <v>331</v>
      </c>
      <c r="N710" t="s">
        <v>2469</v>
      </c>
      <c r="O710" t="s">
        <v>215</v>
      </c>
      <c r="P710" t="s">
        <v>216</v>
      </c>
      <c r="Q710" t="s">
        <v>2470</v>
      </c>
      <c r="R710" s="13">
        <v>883.92</v>
      </c>
      <c r="S710">
        <v>5</v>
      </c>
      <c r="T710" s="14">
        <v>0.2</v>
      </c>
      <c r="U710" s="13">
        <v>-110.49</v>
      </c>
    </row>
    <row r="711" spans="1:21" ht="15" customHeight="1" x14ac:dyDescent="0.3">
      <c r="A711">
        <v>710</v>
      </c>
      <c r="B711" t="s">
        <v>2466</v>
      </c>
      <c r="C711" s="12">
        <v>41975</v>
      </c>
      <c r="D711" s="12">
        <v>41977</v>
      </c>
      <c r="E711" t="s">
        <v>371</v>
      </c>
      <c r="F711" t="s">
        <v>2467</v>
      </c>
      <c r="G711" t="s">
        <v>2468</v>
      </c>
      <c r="H711" t="s">
        <v>209</v>
      </c>
      <c r="I711" t="s">
        <v>210</v>
      </c>
      <c r="J711" t="s">
        <v>449</v>
      </c>
      <c r="K711" t="s">
        <v>450</v>
      </c>
      <c r="L711">
        <v>10035</v>
      </c>
      <c r="M711" t="s">
        <v>331</v>
      </c>
      <c r="N711" t="s">
        <v>1559</v>
      </c>
      <c r="O711" t="s">
        <v>229</v>
      </c>
      <c r="P711" t="s">
        <v>258</v>
      </c>
      <c r="Q711" t="s">
        <v>1560</v>
      </c>
      <c r="R711" s="13">
        <v>46.72</v>
      </c>
      <c r="S711">
        <v>8</v>
      </c>
      <c r="T711" s="14">
        <v>0.2</v>
      </c>
      <c r="U711" s="13">
        <v>15.768000000000001</v>
      </c>
    </row>
    <row r="712" spans="1:21" ht="15" customHeight="1" x14ac:dyDescent="0.3">
      <c r="A712">
        <v>711</v>
      </c>
      <c r="B712" t="s">
        <v>2471</v>
      </c>
      <c r="C712" s="12">
        <v>41734</v>
      </c>
      <c r="D712" s="12">
        <v>41736</v>
      </c>
      <c r="E712" t="s">
        <v>371</v>
      </c>
      <c r="F712" t="s">
        <v>2472</v>
      </c>
      <c r="G712" t="s">
        <v>2473</v>
      </c>
      <c r="H712" t="s">
        <v>285</v>
      </c>
      <c r="I712" t="s">
        <v>210</v>
      </c>
      <c r="J712" t="s">
        <v>449</v>
      </c>
      <c r="K712" t="s">
        <v>450</v>
      </c>
      <c r="L712">
        <v>10035</v>
      </c>
      <c r="M712" t="s">
        <v>331</v>
      </c>
      <c r="N712" t="s">
        <v>1812</v>
      </c>
      <c r="O712" t="s">
        <v>229</v>
      </c>
      <c r="P712" t="s">
        <v>273</v>
      </c>
      <c r="Q712" t="s">
        <v>1813</v>
      </c>
      <c r="R712" s="13">
        <v>55.48</v>
      </c>
      <c r="S712">
        <v>1</v>
      </c>
      <c r="T712" s="14">
        <v>0</v>
      </c>
      <c r="U712" s="13">
        <v>26.630400000000002</v>
      </c>
    </row>
    <row r="713" spans="1:21" ht="15" customHeight="1" x14ac:dyDescent="0.3">
      <c r="A713">
        <v>712</v>
      </c>
      <c r="B713" t="s">
        <v>2474</v>
      </c>
      <c r="C713" s="12">
        <v>42981</v>
      </c>
      <c r="D713" s="12">
        <v>42985</v>
      </c>
      <c r="E713" t="s">
        <v>233</v>
      </c>
      <c r="F713" t="s">
        <v>2475</v>
      </c>
      <c r="G713" t="s">
        <v>2476</v>
      </c>
      <c r="H713" t="s">
        <v>209</v>
      </c>
      <c r="I713" t="s">
        <v>210</v>
      </c>
      <c r="J713" t="s">
        <v>2477</v>
      </c>
      <c r="K713" t="s">
        <v>237</v>
      </c>
      <c r="L713">
        <v>32137</v>
      </c>
      <c r="M713" t="s">
        <v>213</v>
      </c>
      <c r="N713" t="s">
        <v>2478</v>
      </c>
      <c r="O713" t="s">
        <v>229</v>
      </c>
      <c r="P713" t="s">
        <v>356</v>
      </c>
      <c r="Q713" t="s">
        <v>2479</v>
      </c>
      <c r="R713" s="13">
        <v>24.448</v>
      </c>
      <c r="S713">
        <v>4</v>
      </c>
      <c r="T713" s="14">
        <v>0.2</v>
      </c>
      <c r="U713" s="13">
        <v>8.8623999999999992</v>
      </c>
    </row>
    <row r="714" spans="1:21" ht="15" customHeight="1" x14ac:dyDescent="0.3">
      <c r="A714">
        <v>713</v>
      </c>
      <c r="B714" t="s">
        <v>2480</v>
      </c>
      <c r="C714" s="12">
        <v>42874</v>
      </c>
      <c r="D714" s="12">
        <v>42879</v>
      </c>
      <c r="E714" t="s">
        <v>233</v>
      </c>
      <c r="F714" t="s">
        <v>2481</v>
      </c>
      <c r="G714" t="s">
        <v>2482</v>
      </c>
      <c r="H714" t="s">
        <v>224</v>
      </c>
      <c r="I714" t="s">
        <v>210</v>
      </c>
      <c r="J714" t="s">
        <v>2483</v>
      </c>
      <c r="K714" t="s">
        <v>450</v>
      </c>
      <c r="L714">
        <v>10550</v>
      </c>
      <c r="M714" t="s">
        <v>331</v>
      </c>
      <c r="N714" t="s">
        <v>2484</v>
      </c>
      <c r="O714" t="s">
        <v>229</v>
      </c>
      <c r="P714" t="s">
        <v>261</v>
      </c>
      <c r="Q714" t="s">
        <v>2485</v>
      </c>
      <c r="R714" s="13">
        <v>281.33999999999997</v>
      </c>
      <c r="S714">
        <v>6</v>
      </c>
      <c r="T714" s="14">
        <v>0</v>
      </c>
      <c r="U714" s="13">
        <v>109.7226</v>
      </c>
    </row>
    <row r="715" spans="1:21" ht="15" customHeight="1" x14ac:dyDescent="0.3">
      <c r="A715">
        <v>714</v>
      </c>
      <c r="B715" t="s">
        <v>2480</v>
      </c>
      <c r="C715" s="12">
        <v>42874</v>
      </c>
      <c r="D715" s="12">
        <v>42879</v>
      </c>
      <c r="E715" t="s">
        <v>233</v>
      </c>
      <c r="F715" t="s">
        <v>2481</v>
      </c>
      <c r="G715" t="s">
        <v>2482</v>
      </c>
      <c r="H715" t="s">
        <v>224</v>
      </c>
      <c r="I715" t="s">
        <v>210</v>
      </c>
      <c r="J715" t="s">
        <v>2483</v>
      </c>
      <c r="K715" t="s">
        <v>450</v>
      </c>
      <c r="L715">
        <v>10550</v>
      </c>
      <c r="M715" t="s">
        <v>331</v>
      </c>
      <c r="N715" t="s">
        <v>1565</v>
      </c>
      <c r="O715" t="s">
        <v>254</v>
      </c>
      <c r="P715" t="s">
        <v>255</v>
      </c>
      <c r="Q715" t="s">
        <v>1566</v>
      </c>
      <c r="R715" s="13">
        <v>307.98</v>
      </c>
      <c r="S715">
        <v>2</v>
      </c>
      <c r="T715" s="14">
        <v>0</v>
      </c>
      <c r="U715" s="13">
        <v>89.3142</v>
      </c>
    </row>
    <row r="716" spans="1:21" ht="15" customHeight="1" x14ac:dyDescent="0.3">
      <c r="A716">
        <v>715</v>
      </c>
      <c r="B716" t="s">
        <v>2480</v>
      </c>
      <c r="C716" s="12">
        <v>42874</v>
      </c>
      <c r="D716" s="12">
        <v>42879</v>
      </c>
      <c r="E716" t="s">
        <v>233</v>
      </c>
      <c r="F716" t="s">
        <v>2481</v>
      </c>
      <c r="G716" t="s">
        <v>2482</v>
      </c>
      <c r="H716" t="s">
        <v>224</v>
      </c>
      <c r="I716" t="s">
        <v>210</v>
      </c>
      <c r="J716" t="s">
        <v>2483</v>
      </c>
      <c r="K716" t="s">
        <v>450</v>
      </c>
      <c r="L716">
        <v>10550</v>
      </c>
      <c r="M716" t="s">
        <v>331</v>
      </c>
      <c r="N716" t="s">
        <v>2486</v>
      </c>
      <c r="O716" t="s">
        <v>254</v>
      </c>
      <c r="P716" t="s">
        <v>344</v>
      </c>
      <c r="Q716" t="s">
        <v>2487</v>
      </c>
      <c r="R716" s="13">
        <v>299.97000000000003</v>
      </c>
      <c r="S716">
        <v>3</v>
      </c>
      <c r="T716" s="14">
        <v>0</v>
      </c>
      <c r="U716" s="13">
        <v>113.98860000000001</v>
      </c>
    </row>
    <row r="717" spans="1:21" ht="15" customHeight="1" x14ac:dyDescent="0.3">
      <c r="A717">
        <v>716</v>
      </c>
      <c r="B717" t="s">
        <v>2488</v>
      </c>
      <c r="C717" s="12">
        <v>41821</v>
      </c>
      <c r="D717" s="12">
        <v>41826</v>
      </c>
      <c r="E717" t="s">
        <v>206</v>
      </c>
      <c r="F717" t="s">
        <v>1160</v>
      </c>
      <c r="G717" t="s">
        <v>1161</v>
      </c>
      <c r="H717" t="s">
        <v>224</v>
      </c>
      <c r="I717" t="s">
        <v>210</v>
      </c>
      <c r="J717" t="s">
        <v>278</v>
      </c>
      <c r="K717" t="s">
        <v>279</v>
      </c>
      <c r="L717">
        <v>98105</v>
      </c>
      <c r="M717" t="s">
        <v>227</v>
      </c>
      <c r="N717" t="s">
        <v>2489</v>
      </c>
      <c r="O717" t="s">
        <v>229</v>
      </c>
      <c r="P717" t="s">
        <v>258</v>
      </c>
      <c r="Q717" t="s">
        <v>2490</v>
      </c>
      <c r="R717" s="13">
        <v>19.920000000000002</v>
      </c>
      <c r="S717">
        <v>5</v>
      </c>
      <c r="T717" s="14">
        <v>0.2</v>
      </c>
      <c r="U717" s="13">
        <v>6.9720000000000004</v>
      </c>
    </row>
    <row r="718" spans="1:21" ht="15" customHeight="1" x14ac:dyDescent="0.3">
      <c r="A718">
        <v>717</v>
      </c>
      <c r="B718" t="s">
        <v>2491</v>
      </c>
      <c r="C718" s="12">
        <v>41650</v>
      </c>
      <c r="D718" s="12">
        <v>41653</v>
      </c>
      <c r="E718" t="s">
        <v>371</v>
      </c>
      <c r="F718" t="s">
        <v>2492</v>
      </c>
      <c r="G718" t="s">
        <v>2493</v>
      </c>
      <c r="H718" t="s">
        <v>209</v>
      </c>
      <c r="I718" t="s">
        <v>210</v>
      </c>
      <c r="J718" t="s">
        <v>427</v>
      </c>
      <c r="K718" t="s">
        <v>428</v>
      </c>
      <c r="L718">
        <v>19901</v>
      </c>
      <c r="M718" t="s">
        <v>331</v>
      </c>
      <c r="N718" t="s">
        <v>2233</v>
      </c>
      <c r="O718" t="s">
        <v>215</v>
      </c>
      <c r="P718" t="s">
        <v>248</v>
      </c>
      <c r="Q718" t="s">
        <v>2234</v>
      </c>
      <c r="R718" s="13">
        <v>9.94</v>
      </c>
      <c r="S718">
        <v>2</v>
      </c>
      <c r="T718" s="14">
        <v>0</v>
      </c>
      <c r="U718" s="13">
        <v>3.0813999999999999</v>
      </c>
    </row>
    <row r="719" spans="1:21" ht="15" customHeight="1" x14ac:dyDescent="0.3">
      <c r="A719">
        <v>718</v>
      </c>
      <c r="B719" t="s">
        <v>2494</v>
      </c>
      <c r="C719" s="12">
        <v>43002</v>
      </c>
      <c r="D719" s="12">
        <v>43007</v>
      </c>
      <c r="E719" t="s">
        <v>233</v>
      </c>
      <c r="F719" t="s">
        <v>1131</v>
      </c>
      <c r="G719" t="s">
        <v>1132</v>
      </c>
      <c r="H719" t="s">
        <v>209</v>
      </c>
      <c r="I719" t="s">
        <v>210</v>
      </c>
      <c r="J719" t="s">
        <v>790</v>
      </c>
      <c r="K719" t="s">
        <v>681</v>
      </c>
      <c r="L719">
        <v>43055</v>
      </c>
      <c r="M719" t="s">
        <v>331</v>
      </c>
      <c r="N719" t="s">
        <v>2495</v>
      </c>
      <c r="O719" t="s">
        <v>215</v>
      </c>
      <c r="P719" t="s">
        <v>248</v>
      </c>
      <c r="Q719" t="s">
        <v>2496</v>
      </c>
      <c r="R719" s="13">
        <v>103.056</v>
      </c>
      <c r="S719">
        <v>3</v>
      </c>
      <c r="T719" s="14">
        <v>0.2</v>
      </c>
      <c r="U719" s="13">
        <v>24.4758</v>
      </c>
    </row>
    <row r="720" spans="1:21" ht="15" customHeight="1" x14ac:dyDescent="0.3">
      <c r="A720">
        <v>719</v>
      </c>
      <c r="B720" t="s">
        <v>2497</v>
      </c>
      <c r="C720" s="12">
        <v>41792</v>
      </c>
      <c r="D720" s="12">
        <v>41797</v>
      </c>
      <c r="E720" t="s">
        <v>233</v>
      </c>
      <c r="F720" t="s">
        <v>2498</v>
      </c>
      <c r="G720" t="s">
        <v>2499</v>
      </c>
      <c r="H720" t="s">
        <v>285</v>
      </c>
      <c r="I720" t="s">
        <v>210</v>
      </c>
      <c r="J720" t="s">
        <v>337</v>
      </c>
      <c r="K720" t="s">
        <v>304</v>
      </c>
      <c r="L720">
        <v>84057</v>
      </c>
      <c r="M720" t="s">
        <v>227</v>
      </c>
      <c r="N720" t="s">
        <v>1912</v>
      </c>
      <c r="O720" t="s">
        <v>229</v>
      </c>
      <c r="P720" t="s">
        <v>258</v>
      </c>
      <c r="Q720" t="s">
        <v>1913</v>
      </c>
      <c r="R720" s="13">
        <v>59.808</v>
      </c>
      <c r="S720">
        <v>3</v>
      </c>
      <c r="T720" s="14">
        <v>0.2</v>
      </c>
      <c r="U720" s="13">
        <v>19.4376</v>
      </c>
    </row>
    <row r="721" spans="1:21" ht="15" customHeight="1" x14ac:dyDescent="0.3">
      <c r="A721">
        <v>720</v>
      </c>
      <c r="B721" t="s">
        <v>2497</v>
      </c>
      <c r="C721" s="12">
        <v>41792</v>
      </c>
      <c r="D721" s="12">
        <v>41797</v>
      </c>
      <c r="E721" t="s">
        <v>233</v>
      </c>
      <c r="F721" t="s">
        <v>2498</v>
      </c>
      <c r="G721" t="s">
        <v>2499</v>
      </c>
      <c r="H721" t="s">
        <v>285</v>
      </c>
      <c r="I721" t="s">
        <v>210</v>
      </c>
      <c r="J721" t="s">
        <v>337</v>
      </c>
      <c r="K721" t="s">
        <v>304</v>
      </c>
      <c r="L721">
        <v>84057</v>
      </c>
      <c r="M721" t="s">
        <v>227</v>
      </c>
      <c r="N721" t="s">
        <v>1728</v>
      </c>
      <c r="O721" t="s">
        <v>215</v>
      </c>
      <c r="P721" t="s">
        <v>248</v>
      </c>
      <c r="Q721" t="s">
        <v>1729</v>
      </c>
      <c r="R721" s="13">
        <v>73.319999999999993</v>
      </c>
      <c r="S721">
        <v>6</v>
      </c>
      <c r="T721" s="14">
        <v>0</v>
      </c>
      <c r="U721" s="13">
        <v>21.995999999999999</v>
      </c>
    </row>
    <row r="722" spans="1:21" ht="15" customHeight="1" x14ac:dyDescent="0.3">
      <c r="A722">
        <v>721</v>
      </c>
      <c r="B722" t="s">
        <v>2500</v>
      </c>
      <c r="C722" s="12">
        <v>42413</v>
      </c>
      <c r="D722" s="12">
        <v>42418</v>
      </c>
      <c r="E722" t="s">
        <v>233</v>
      </c>
      <c r="F722" t="s">
        <v>2501</v>
      </c>
      <c r="G722" t="s">
        <v>2502</v>
      </c>
      <c r="H722" t="s">
        <v>285</v>
      </c>
      <c r="I722" t="s">
        <v>210</v>
      </c>
      <c r="J722" t="s">
        <v>225</v>
      </c>
      <c r="K722" t="s">
        <v>226</v>
      </c>
      <c r="L722">
        <v>90045</v>
      </c>
      <c r="M722" t="s">
        <v>227</v>
      </c>
      <c r="N722" t="s">
        <v>2503</v>
      </c>
      <c r="O722" t="s">
        <v>229</v>
      </c>
      <c r="P722" t="s">
        <v>273</v>
      </c>
      <c r="Q722" t="s">
        <v>2504</v>
      </c>
      <c r="R722" s="13">
        <v>146.82</v>
      </c>
      <c r="S722">
        <v>3</v>
      </c>
      <c r="T722" s="14">
        <v>0</v>
      </c>
      <c r="U722" s="13">
        <v>73.41</v>
      </c>
    </row>
    <row r="723" spans="1:21" ht="15" customHeight="1" x14ac:dyDescent="0.3">
      <c r="A723">
        <v>722</v>
      </c>
      <c r="B723" t="s">
        <v>2505</v>
      </c>
      <c r="C723" s="12">
        <v>42719</v>
      </c>
      <c r="D723" s="12">
        <v>42723</v>
      </c>
      <c r="E723" t="s">
        <v>233</v>
      </c>
      <c r="F723" t="s">
        <v>1665</v>
      </c>
      <c r="G723" t="s">
        <v>1666</v>
      </c>
      <c r="H723" t="s">
        <v>224</v>
      </c>
      <c r="I723" t="s">
        <v>210</v>
      </c>
      <c r="J723" t="s">
        <v>1065</v>
      </c>
      <c r="K723" t="s">
        <v>421</v>
      </c>
      <c r="L723">
        <v>48205</v>
      </c>
      <c r="M723" t="s">
        <v>288</v>
      </c>
      <c r="N723" t="s">
        <v>2506</v>
      </c>
      <c r="O723" t="s">
        <v>215</v>
      </c>
      <c r="P723" t="s">
        <v>239</v>
      </c>
      <c r="Q723" t="s">
        <v>2507</v>
      </c>
      <c r="R723" s="13">
        <v>1652.94</v>
      </c>
      <c r="S723">
        <v>3</v>
      </c>
      <c r="T723" s="14">
        <v>0</v>
      </c>
      <c r="U723" s="13">
        <v>231.41159999999999</v>
      </c>
    </row>
    <row r="724" spans="1:21" ht="15" customHeight="1" x14ac:dyDescent="0.3">
      <c r="A724">
        <v>723</v>
      </c>
      <c r="B724" t="s">
        <v>2505</v>
      </c>
      <c r="C724" s="12">
        <v>42719</v>
      </c>
      <c r="D724" s="12">
        <v>42723</v>
      </c>
      <c r="E724" t="s">
        <v>233</v>
      </c>
      <c r="F724" t="s">
        <v>1665</v>
      </c>
      <c r="G724" t="s">
        <v>1666</v>
      </c>
      <c r="H724" t="s">
        <v>224</v>
      </c>
      <c r="I724" t="s">
        <v>210</v>
      </c>
      <c r="J724" t="s">
        <v>1065</v>
      </c>
      <c r="K724" t="s">
        <v>421</v>
      </c>
      <c r="L724">
        <v>48205</v>
      </c>
      <c r="M724" t="s">
        <v>288</v>
      </c>
      <c r="N724" t="s">
        <v>2508</v>
      </c>
      <c r="O724" t="s">
        <v>229</v>
      </c>
      <c r="P724" t="s">
        <v>242</v>
      </c>
      <c r="Q724" t="s">
        <v>2509</v>
      </c>
      <c r="R724" s="13">
        <v>296.37</v>
      </c>
      <c r="S724">
        <v>3</v>
      </c>
      <c r="T724" s="14">
        <v>0</v>
      </c>
      <c r="U724" s="13">
        <v>80.019900000000007</v>
      </c>
    </row>
    <row r="725" spans="1:21" ht="15" customHeight="1" x14ac:dyDescent="0.3">
      <c r="A725">
        <v>724</v>
      </c>
      <c r="B725" t="s">
        <v>2510</v>
      </c>
      <c r="C725" s="12">
        <v>41919</v>
      </c>
      <c r="D725" s="12">
        <v>41925</v>
      </c>
      <c r="E725" t="s">
        <v>233</v>
      </c>
      <c r="F725" t="s">
        <v>2511</v>
      </c>
      <c r="G725" t="s">
        <v>2512</v>
      </c>
      <c r="H725" t="s">
        <v>285</v>
      </c>
      <c r="I725" t="s">
        <v>210</v>
      </c>
      <c r="J725" t="s">
        <v>329</v>
      </c>
      <c r="K725" t="s">
        <v>330</v>
      </c>
      <c r="L725">
        <v>19140</v>
      </c>
      <c r="M725" t="s">
        <v>331</v>
      </c>
      <c r="N725" t="s">
        <v>2513</v>
      </c>
      <c r="O725" t="s">
        <v>215</v>
      </c>
      <c r="P725" t="s">
        <v>248</v>
      </c>
      <c r="Q725" t="s">
        <v>2514</v>
      </c>
      <c r="R725" s="13">
        <v>129.91999999999999</v>
      </c>
      <c r="S725">
        <v>5</v>
      </c>
      <c r="T725" s="14">
        <v>0.2</v>
      </c>
      <c r="U725" s="13">
        <v>21.111999999999998</v>
      </c>
    </row>
    <row r="726" spans="1:21" ht="15" customHeight="1" x14ac:dyDescent="0.3">
      <c r="A726">
        <v>725</v>
      </c>
      <c r="B726" t="s">
        <v>2515</v>
      </c>
      <c r="C726" s="12">
        <v>42558</v>
      </c>
      <c r="D726" s="12">
        <v>42563</v>
      </c>
      <c r="E726" t="s">
        <v>233</v>
      </c>
      <c r="F726" t="s">
        <v>2516</v>
      </c>
      <c r="G726" t="s">
        <v>2517</v>
      </c>
      <c r="H726" t="s">
        <v>224</v>
      </c>
      <c r="I726" t="s">
        <v>210</v>
      </c>
      <c r="J726" t="s">
        <v>2518</v>
      </c>
      <c r="K726" t="s">
        <v>237</v>
      </c>
      <c r="L726">
        <v>33012</v>
      </c>
      <c r="M726" t="s">
        <v>213</v>
      </c>
      <c r="N726" t="s">
        <v>2519</v>
      </c>
      <c r="O726" t="s">
        <v>229</v>
      </c>
      <c r="P726" t="s">
        <v>762</v>
      </c>
      <c r="Q726" t="s">
        <v>2520</v>
      </c>
      <c r="R726" s="13">
        <v>45.584000000000003</v>
      </c>
      <c r="S726">
        <v>7</v>
      </c>
      <c r="T726" s="14">
        <v>0.2</v>
      </c>
      <c r="U726" s="13">
        <v>5.1281999999999996</v>
      </c>
    </row>
    <row r="727" spans="1:21" ht="15" customHeight="1" x14ac:dyDescent="0.3">
      <c r="A727">
        <v>726</v>
      </c>
      <c r="B727" t="s">
        <v>2521</v>
      </c>
      <c r="C727" s="12">
        <v>42994</v>
      </c>
      <c r="D727" s="12">
        <v>42998</v>
      </c>
      <c r="E727" t="s">
        <v>233</v>
      </c>
      <c r="F727" t="s">
        <v>2522</v>
      </c>
      <c r="G727" t="s">
        <v>2523</v>
      </c>
      <c r="H727" t="s">
        <v>209</v>
      </c>
      <c r="I727" t="s">
        <v>210</v>
      </c>
      <c r="J727" t="s">
        <v>1423</v>
      </c>
      <c r="K727" t="s">
        <v>287</v>
      </c>
      <c r="L727">
        <v>78745</v>
      </c>
      <c r="M727" t="s">
        <v>288</v>
      </c>
      <c r="N727" t="s">
        <v>2524</v>
      </c>
      <c r="O727" t="s">
        <v>229</v>
      </c>
      <c r="P727" t="s">
        <v>356</v>
      </c>
      <c r="Q727" t="s">
        <v>2525</v>
      </c>
      <c r="R727" s="13">
        <v>17.568000000000001</v>
      </c>
      <c r="S727">
        <v>2</v>
      </c>
      <c r="T727" s="14">
        <v>0.2</v>
      </c>
      <c r="U727" s="13">
        <v>6.3684000000000003</v>
      </c>
    </row>
    <row r="728" spans="1:21" ht="15" customHeight="1" x14ac:dyDescent="0.3">
      <c r="A728">
        <v>727</v>
      </c>
      <c r="B728" t="s">
        <v>2521</v>
      </c>
      <c r="C728" s="12">
        <v>42994</v>
      </c>
      <c r="D728" s="12">
        <v>42998</v>
      </c>
      <c r="E728" t="s">
        <v>233</v>
      </c>
      <c r="F728" t="s">
        <v>2522</v>
      </c>
      <c r="G728" t="s">
        <v>2523</v>
      </c>
      <c r="H728" t="s">
        <v>209</v>
      </c>
      <c r="I728" t="s">
        <v>210</v>
      </c>
      <c r="J728" t="s">
        <v>1423</v>
      </c>
      <c r="K728" t="s">
        <v>287</v>
      </c>
      <c r="L728">
        <v>78745</v>
      </c>
      <c r="M728" t="s">
        <v>288</v>
      </c>
      <c r="N728" t="s">
        <v>2526</v>
      </c>
      <c r="O728" t="s">
        <v>254</v>
      </c>
      <c r="P728" t="s">
        <v>255</v>
      </c>
      <c r="Q728" t="s">
        <v>2527</v>
      </c>
      <c r="R728" s="13">
        <v>55.991999999999997</v>
      </c>
      <c r="S728">
        <v>1</v>
      </c>
      <c r="T728" s="14">
        <v>0.2</v>
      </c>
      <c r="U728" s="13">
        <v>5.5991999999999997</v>
      </c>
    </row>
    <row r="729" spans="1:21" ht="15" customHeight="1" x14ac:dyDescent="0.3">
      <c r="A729">
        <v>728</v>
      </c>
      <c r="B729" t="s">
        <v>2528</v>
      </c>
      <c r="C729" s="12">
        <v>42707</v>
      </c>
      <c r="D729" s="12">
        <v>42710</v>
      </c>
      <c r="E729" t="s">
        <v>371</v>
      </c>
      <c r="F729" t="s">
        <v>2529</v>
      </c>
      <c r="G729" t="s">
        <v>2530</v>
      </c>
      <c r="H729" t="s">
        <v>209</v>
      </c>
      <c r="I729" t="s">
        <v>210</v>
      </c>
      <c r="J729" t="s">
        <v>2531</v>
      </c>
      <c r="K729" t="s">
        <v>450</v>
      </c>
      <c r="L729">
        <v>11572</v>
      </c>
      <c r="M729" t="s">
        <v>331</v>
      </c>
      <c r="N729" t="s">
        <v>2532</v>
      </c>
      <c r="O729" t="s">
        <v>229</v>
      </c>
      <c r="P729" t="s">
        <v>273</v>
      </c>
      <c r="Q729" t="s">
        <v>2533</v>
      </c>
      <c r="R729" s="13">
        <v>182.72</v>
      </c>
      <c r="S729">
        <v>8</v>
      </c>
      <c r="T729" s="14">
        <v>0</v>
      </c>
      <c r="U729" s="13">
        <v>84.051199999999994</v>
      </c>
    </row>
    <row r="730" spans="1:21" ht="15" customHeight="1" x14ac:dyDescent="0.3">
      <c r="A730">
        <v>729</v>
      </c>
      <c r="B730" t="s">
        <v>2528</v>
      </c>
      <c r="C730" s="12">
        <v>42707</v>
      </c>
      <c r="D730" s="12">
        <v>42710</v>
      </c>
      <c r="E730" t="s">
        <v>371</v>
      </c>
      <c r="F730" t="s">
        <v>2529</v>
      </c>
      <c r="G730" t="s">
        <v>2530</v>
      </c>
      <c r="H730" t="s">
        <v>209</v>
      </c>
      <c r="I730" t="s">
        <v>210</v>
      </c>
      <c r="J730" t="s">
        <v>2531</v>
      </c>
      <c r="K730" t="s">
        <v>450</v>
      </c>
      <c r="L730">
        <v>11572</v>
      </c>
      <c r="M730" t="s">
        <v>331</v>
      </c>
      <c r="N730" t="s">
        <v>2534</v>
      </c>
      <c r="O730" t="s">
        <v>215</v>
      </c>
      <c r="P730" t="s">
        <v>239</v>
      </c>
      <c r="Q730" t="s">
        <v>2535</v>
      </c>
      <c r="R730" s="13">
        <v>400.03199999999998</v>
      </c>
      <c r="S730">
        <v>2</v>
      </c>
      <c r="T730" s="14">
        <v>0.4</v>
      </c>
      <c r="U730" s="13">
        <v>-153.34559999999999</v>
      </c>
    </row>
    <row r="731" spans="1:21" ht="15" customHeight="1" x14ac:dyDescent="0.3">
      <c r="A731">
        <v>730</v>
      </c>
      <c r="B731" t="s">
        <v>2528</v>
      </c>
      <c r="C731" s="12">
        <v>42707</v>
      </c>
      <c r="D731" s="12">
        <v>42710</v>
      </c>
      <c r="E731" t="s">
        <v>371</v>
      </c>
      <c r="F731" t="s">
        <v>2529</v>
      </c>
      <c r="G731" t="s">
        <v>2530</v>
      </c>
      <c r="H731" t="s">
        <v>209</v>
      </c>
      <c r="I731" t="s">
        <v>210</v>
      </c>
      <c r="J731" t="s">
        <v>2531</v>
      </c>
      <c r="K731" t="s">
        <v>450</v>
      </c>
      <c r="L731">
        <v>11572</v>
      </c>
      <c r="M731" t="s">
        <v>331</v>
      </c>
      <c r="N731" t="s">
        <v>2536</v>
      </c>
      <c r="O731" t="s">
        <v>229</v>
      </c>
      <c r="P731" t="s">
        <v>242</v>
      </c>
      <c r="Q731" t="s">
        <v>2537</v>
      </c>
      <c r="R731" s="13">
        <v>33.630000000000003</v>
      </c>
      <c r="S731">
        <v>3</v>
      </c>
      <c r="T731" s="14">
        <v>0</v>
      </c>
      <c r="U731" s="13">
        <v>10.089</v>
      </c>
    </row>
    <row r="732" spans="1:21" ht="15" customHeight="1" x14ac:dyDescent="0.3">
      <c r="A732">
        <v>731</v>
      </c>
      <c r="B732" t="s">
        <v>2528</v>
      </c>
      <c r="C732" s="12">
        <v>42707</v>
      </c>
      <c r="D732" s="12">
        <v>42710</v>
      </c>
      <c r="E732" t="s">
        <v>371</v>
      </c>
      <c r="F732" t="s">
        <v>2529</v>
      </c>
      <c r="G732" t="s">
        <v>2530</v>
      </c>
      <c r="H732" t="s">
        <v>209</v>
      </c>
      <c r="I732" t="s">
        <v>210</v>
      </c>
      <c r="J732" t="s">
        <v>2531</v>
      </c>
      <c r="K732" t="s">
        <v>450</v>
      </c>
      <c r="L732">
        <v>11572</v>
      </c>
      <c r="M732" t="s">
        <v>331</v>
      </c>
      <c r="N732" t="s">
        <v>1128</v>
      </c>
      <c r="O732" t="s">
        <v>215</v>
      </c>
      <c r="P732" t="s">
        <v>219</v>
      </c>
      <c r="Q732" t="s">
        <v>1129</v>
      </c>
      <c r="R732" s="13">
        <v>542.64599999999996</v>
      </c>
      <c r="S732">
        <v>3</v>
      </c>
      <c r="T732" s="14">
        <v>0.1</v>
      </c>
      <c r="U732" s="13">
        <v>102.49979999999999</v>
      </c>
    </row>
    <row r="733" spans="1:21" ht="15" customHeight="1" x14ac:dyDescent="0.3">
      <c r="A733">
        <v>732</v>
      </c>
      <c r="B733" t="s">
        <v>2528</v>
      </c>
      <c r="C733" s="12">
        <v>42707</v>
      </c>
      <c r="D733" s="12">
        <v>42710</v>
      </c>
      <c r="E733" t="s">
        <v>371</v>
      </c>
      <c r="F733" t="s">
        <v>2529</v>
      </c>
      <c r="G733" t="s">
        <v>2530</v>
      </c>
      <c r="H733" t="s">
        <v>209</v>
      </c>
      <c r="I733" t="s">
        <v>210</v>
      </c>
      <c r="J733" t="s">
        <v>2531</v>
      </c>
      <c r="K733" t="s">
        <v>450</v>
      </c>
      <c r="L733">
        <v>11572</v>
      </c>
      <c r="M733" t="s">
        <v>331</v>
      </c>
      <c r="N733" t="s">
        <v>1738</v>
      </c>
      <c r="O733" t="s">
        <v>229</v>
      </c>
      <c r="P733" t="s">
        <v>230</v>
      </c>
      <c r="Q733" t="s">
        <v>1739</v>
      </c>
      <c r="R733" s="13">
        <v>6.3</v>
      </c>
      <c r="S733">
        <v>2</v>
      </c>
      <c r="T733" s="14">
        <v>0</v>
      </c>
      <c r="U733" s="13">
        <v>3.024</v>
      </c>
    </row>
    <row r="734" spans="1:21" ht="15" customHeight="1" x14ac:dyDescent="0.3">
      <c r="A734">
        <v>733</v>
      </c>
      <c r="B734" t="s">
        <v>2538</v>
      </c>
      <c r="C734" s="12">
        <v>42756</v>
      </c>
      <c r="D734" s="12">
        <v>42760</v>
      </c>
      <c r="E734" t="s">
        <v>233</v>
      </c>
      <c r="F734" t="s">
        <v>2539</v>
      </c>
      <c r="G734" t="s">
        <v>2540</v>
      </c>
      <c r="H734" t="s">
        <v>285</v>
      </c>
      <c r="I734" t="s">
        <v>210</v>
      </c>
      <c r="J734" t="s">
        <v>278</v>
      </c>
      <c r="K734" t="s">
        <v>279</v>
      </c>
      <c r="L734">
        <v>98115</v>
      </c>
      <c r="M734" t="s">
        <v>227</v>
      </c>
      <c r="N734" t="s">
        <v>1962</v>
      </c>
      <c r="O734" t="s">
        <v>229</v>
      </c>
      <c r="P734" t="s">
        <v>242</v>
      </c>
      <c r="Q734" t="s">
        <v>1963</v>
      </c>
      <c r="R734" s="13">
        <v>242.94</v>
      </c>
      <c r="S734">
        <v>3</v>
      </c>
      <c r="T734" s="14">
        <v>0</v>
      </c>
      <c r="U734" s="13">
        <v>9.7175999999999902</v>
      </c>
    </row>
    <row r="735" spans="1:21" ht="15" customHeight="1" x14ac:dyDescent="0.3">
      <c r="A735">
        <v>734</v>
      </c>
      <c r="B735" t="s">
        <v>2538</v>
      </c>
      <c r="C735" s="12">
        <v>42756</v>
      </c>
      <c r="D735" s="12">
        <v>42760</v>
      </c>
      <c r="E735" t="s">
        <v>233</v>
      </c>
      <c r="F735" t="s">
        <v>2539</v>
      </c>
      <c r="G735" t="s">
        <v>2540</v>
      </c>
      <c r="H735" t="s">
        <v>285</v>
      </c>
      <c r="I735" t="s">
        <v>210</v>
      </c>
      <c r="J735" t="s">
        <v>278</v>
      </c>
      <c r="K735" t="s">
        <v>279</v>
      </c>
      <c r="L735">
        <v>98115</v>
      </c>
      <c r="M735" t="s">
        <v>227</v>
      </c>
      <c r="N735" t="s">
        <v>2541</v>
      </c>
      <c r="O735" t="s">
        <v>254</v>
      </c>
      <c r="P735" t="s">
        <v>344</v>
      </c>
      <c r="Q735" t="s">
        <v>2542</v>
      </c>
      <c r="R735" s="13">
        <v>179.97</v>
      </c>
      <c r="S735">
        <v>3</v>
      </c>
      <c r="T735" s="14">
        <v>0</v>
      </c>
      <c r="U735" s="13">
        <v>86.385599999999997</v>
      </c>
    </row>
    <row r="736" spans="1:21" ht="15" customHeight="1" x14ac:dyDescent="0.3">
      <c r="A736">
        <v>735</v>
      </c>
      <c r="B736" t="s">
        <v>2538</v>
      </c>
      <c r="C736" s="12">
        <v>42756</v>
      </c>
      <c r="D736" s="12">
        <v>42760</v>
      </c>
      <c r="E736" t="s">
        <v>233</v>
      </c>
      <c r="F736" t="s">
        <v>2539</v>
      </c>
      <c r="G736" t="s">
        <v>2540</v>
      </c>
      <c r="H736" t="s">
        <v>285</v>
      </c>
      <c r="I736" t="s">
        <v>210</v>
      </c>
      <c r="J736" t="s">
        <v>278</v>
      </c>
      <c r="K736" t="s">
        <v>279</v>
      </c>
      <c r="L736">
        <v>98115</v>
      </c>
      <c r="M736" t="s">
        <v>227</v>
      </c>
      <c r="N736" t="s">
        <v>1573</v>
      </c>
      <c r="O736" t="s">
        <v>229</v>
      </c>
      <c r="P736" t="s">
        <v>258</v>
      </c>
      <c r="Q736" t="s">
        <v>1574</v>
      </c>
      <c r="R736" s="13">
        <v>99.695999999999998</v>
      </c>
      <c r="S736">
        <v>6</v>
      </c>
      <c r="T736" s="14">
        <v>0.2</v>
      </c>
      <c r="U736" s="13">
        <v>33.647399999999998</v>
      </c>
    </row>
    <row r="737" spans="1:21" ht="15" customHeight="1" x14ac:dyDescent="0.3">
      <c r="A737">
        <v>736</v>
      </c>
      <c r="B737" t="s">
        <v>2538</v>
      </c>
      <c r="C737" s="12">
        <v>42756</v>
      </c>
      <c r="D737" s="12">
        <v>42760</v>
      </c>
      <c r="E737" t="s">
        <v>233</v>
      </c>
      <c r="F737" t="s">
        <v>2539</v>
      </c>
      <c r="G737" t="s">
        <v>2540</v>
      </c>
      <c r="H737" t="s">
        <v>285</v>
      </c>
      <c r="I737" t="s">
        <v>210</v>
      </c>
      <c r="J737" t="s">
        <v>278</v>
      </c>
      <c r="K737" t="s">
        <v>279</v>
      </c>
      <c r="L737">
        <v>98115</v>
      </c>
      <c r="M737" t="s">
        <v>227</v>
      </c>
      <c r="N737" t="s">
        <v>415</v>
      </c>
      <c r="O737" t="s">
        <v>229</v>
      </c>
      <c r="P737" t="s">
        <v>258</v>
      </c>
      <c r="Q737" t="s">
        <v>416</v>
      </c>
      <c r="R737" s="13">
        <v>27.936</v>
      </c>
      <c r="S737">
        <v>4</v>
      </c>
      <c r="T737" s="14">
        <v>0.2</v>
      </c>
      <c r="U737" s="13">
        <v>9.4283999999999999</v>
      </c>
    </row>
    <row r="738" spans="1:21" ht="15" customHeight="1" x14ac:dyDescent="0.3">
      <c r="A738">
        <v>737</v>
      </c>
      <c r="B738" t="s">
        <v>2538</v>
      </c>
      <c r="C738" s="12">
        <v>42756</v>
      </c>
      <c r="D738" s="12">
        <v>42760</v>
      </c>
      <c r="E738" t="s">
        <v>233</v>
      </c>
      <c r="F738" t="s">
        <v>2539</v>
      </c>
      <c r="G738" t="s">
        <v>2540</v>
      </c>
      <c r="H738" t="s">
        <v>285</v>
      </c>
      <c r="I738" t="s">
        <v>210</v>
      </c>
      <c r="J738" t="s">
        <v>278</v>
      </c>
      <c r="K738" t="s">
        <v>279</v>
      </c>
      <c r="L738">
        <v>98115</v>
      </c>
      <c r="M738" t="s">
        <v>227</v>
      </c>
      <c r="N738" t="s">
        <v>2543</v>
      </c>
      <c r="O738" t="s">
        <v>215</v>
      </c>
      <c r="P738" t="s">
        <v>216</v>
      </c>
      <c r="Q738" t="s">
        <v>2544</v>
      </c>
      <c r="R738" s="13">
        <v>84.98</v>
      </c>
      <c r="S738">
        <v>1</v>
      </c>
      <c r="T738" s="14">
        <v>0</v>
      </c>
      <c r="U738" s="13">
        <v>18.695599999999999</v>
      </c>
    </row>
    <row r="739" spans="1:21" ht="15" customHeight="1" x14ac:dyDescent="0.3">
      <c r="A739">
        <v>738</v>
      </c>
      <c r="B739" t="s">
        <v>2538</v>
      </c>
      <c r="C739" s="12">
        <v>42756</v>
      </c>
      <c r="D739" s="12">
        <v>42760</v>
      </c>
      <c r="E739" t="s">
        <v>233</v>
      </c>
      <c r="F739" t="s">
        <v>2539</v>
      </c>
      <c r="G739" t="s">
        <v>2540</v>
      </c>
      <c r="H739" t="s">
        <v>285</v>
      </c>
      <c r="I739" t="s">
        <v>210</v>
      </c>
      <c r="J739" t="s">
        <v>278</v>
      </c>
      <c r="K739" t="s">
        <v>279</v>
      </c>
      <c r="L739">
        <v>98115</v>
      </c>
      <c r="M739" t="s">
        <v>227</v>
      </c>
      <c r="N739" t="s">
        <v>2545</v>
      </c>
      <c r="O739" t="s">
        <v>229</v>
      </c>
      <c r="P739" t="s">
        <v>258</v>
      </c>
      <c r="Q739" t="s">
        <v>2546</v>
      </c>
      <c r="R739" s="13">
        <v>18.72</v>
      </c>
      <c r="S739">
        <v>5</v>
      </c>
      <c r="T739" s="14">
        <v>0.2</v>
      </c>
      <c r="U739" s="13">
        <v>6.5519999999999996</v>
      </c>
    </row>
    <row r="740" spans="1:21" ht="15" customHeight="1" x14ac:dyDescent="0.3">
      <c r="A740">
        <v>739</v>
      </c>
      <c r="B740" t="s">
        <v>2547</v>
      </c>
      <c r="C740" s="12">
        <v>41890</v>
      </c>
      <c r="D740" s="12">
        <v>41894</v>
      </c>
      <c r="E740" t="s">
        <v>233</v>
      </c>
      <c r="F740" t="s">
        <v>632</v>
      </c>
      <c r="G740" t="s">
        <v>633</v>
      </c>
      <c r="H740" t="s">
        <v>209</v>
      </c>
      <c r="I740" t="s">
        <v>210</v>
      </c>
      <c r="J740" t="s">
        <v>310</v>
      </c>
      <c r="K740" t="s">
        <v>226</v>
      </c>
      <c r="L740">
        <v>94110</v>
      </c>
      <c r="M740" t="s">
        <v>227</v>
      </c>
      <c r="N740" t="s">
        <v>2548</v>
      </c>
      <c r="O740" t="s">
        <v>254</v>
      </c>
      <c r="P740" t="s">
        <v>344</v>
      </c>
      <c r="Q740" t="s">
        <v>2549</v>
      </c>
      <c r="R740" s="13">
        <v>49.98</v>
      </c>
      <c r="S740">
        <v>2</v>
      </c>
      <c r="T740" s="14">
        <v>0</v>
      </c>
      <c r="U740" s="13">
        <v>8.4965999999999902</v>
      </c>
    </row>
    <row r="741" spans="1:21" ht="15" customHeight="1" x14ac:dyDescent="0.3">
      <c r="A741">
        <v>740</v>
      </c>
      <c r="B741" t="s">
        <v>2550</v>
      </c>
      <c r="C741" s="12">
        <v>41643</v>
      </c>
      <c r="D741" s="12">
        <v>41647</v>
      </c>
      <c r="E741" t="s">
        <v>233</v>
      </c>
      <c r="F741" t="s">
        <v>2551</v>
      </c>
      <c r="G741" t="s">
        <v>2552</v>
      </c>
      <c r="H741" t="s">
        <v>285</v>
      </c>
      <c r="I741" t="s">
        <v>210</v>
      </c>
      <c r="J741" t="s">
        <v>393</v>
      </c>
      <c r="K741" t="s">
        <v>394</v>
      </c>
      <c r="L741">
        <v>60540</v>
      </c>
      <c r="M741" t="s">
        <v>288</v>
      </c>
      <c r="N741" t="s">
        <v>2553</v>
      </c>
      <c r="O741" t="s">
        <v>229</v>
      </c>
      <c r="P741" t="s">
        <v>230</v>
      </c>
      <c r="Q741" t="s">
        <v>2554</v>
      </c>
      <c r="R741" s="13">
        <v>11.784000000000001</v>
      </c>
      <c r="S741">
        <v>3</v>
      </c>
      <c r="T741" s="14">
        <v>0.2</v>
      </c>
      <c r="U741" s="13">
        <v>4.2717000000000001</v>
      </c>
    </row>
    <row r="742" spans="1:21" ht="15" customHeight="1" x14ac:dyDescent="0.3">
      <c r="A742">
        <v>741</v>
      </c>
      <c r="B742" t="s">
        <v>2550</v>
      </c>
      <c r="C742" s="12">
        <v>41643</v>
      </c>
      <c r="D742" s="12">
        <v>41647</v>
      </c>
      <c r="E742" t="s">
        <v>233</v>
      </c>
      <c r="F742" t="s">
        <v>2551</v>
      </c>
      <c r="G742" t="s">
        <v>2552</v>
      </c>
      <c r="H742" t="s">
        <v>285</v>
      </c>
      <c r="I742" t="s">
        <v>210</v>
      </c>
      <c r="J742" t="s">
        <v>393</v>
      </c>
      <c r="K742" t="s">
        <v>394</v>
      </c>
      <c r="L742">
        <v>60540</v>
      </c>
      <c r="M742" t="s">
        <v>288</v>
      </c>
      <c r="N742" t="s">
        <v>1817</v>
      </c>
      <c r="O742" t="s">
        <v>229</v>
      </c>
      <c r="P742" t="s">
        <v>242</v>
      </c>
      <c r="Q742" t="s">
        <v>1818</v>
      </c>
      <c r="R742" s="13">
        <v>272.73599999999999</v>
      </c>
      <c r="S742">
        <v>3</v>
      </c>
      <c r="T742" s="14">
        <v>0.2</v>
      </c>
      <c r="U742" s="13">
        <v>-64.774799999999999</v>
      </c>
    </row>
    <row r="743" spans="1:21" ht="15" customHeight="1" x14ac:dyDescent="0.3">
      <c r="A743">
        <v>742</v>
      </c>
      <c r="B743" t="s">
        <v>2550</v>
      </c>
      <c r="C743" s="12">
        <v>41643</v>
      </c>
      <c r="D743" s="12">
        <v>41647</v>
      </c>
      <c r="E743" t="s">
        <v>233</v>
      </c>
      <c r="F743" t="s">
        <v>2551</v>
      </c>
      <c r="G743" t="s">
        <v>2552</v>
      </c>
      <c r="H743" t="s">
        <v>285</v>
      </c>
      <c r="I743" t="s">
        <v>210</v>
      </c>
      <c r="J743" t="s">
        <v>393</v>
      </c>
      <c r="K743" t="s">
        <v>394</v>
      </c>
      <c r="L743">
        <v>60540</v>
      </c>
      <c r="M743" t="s">
        <v>288</v>
      </c>
      <c r="N743" t="s">
        <v>2555</v>
      </c>
      <c r="O743" t="s">
        <v>229</v>
      </c>
      <c r="P743" t="s">
        <v>258</v>
      </c>
      <c r="Q743" t="s">
        <v>2556</v>
      </c>
      <c r="R743" s="13">
        <v>3.54</v>
      </c>
      <c r="S743">
        <v>2</v>
      </c>
      <c r="T743" s="14">
        <v>0.8</v>
      </c>
      <c r="U743" s="13">
        <v>-5.4870000000000001</v>
      </c>
    </row>
    <row r="744" spans="1:21" ht="15" customHeight="1" x14ac:dyDescent="0.3">
      <c r="A744">
        <v>743</v>
      </c>
      <c r="B744" t="s">
        <v>2557</v>
      </c>
      <c r="C744" s="12">
        <v>42609</v>
      </c>
      <c r="D744" s="12">
        <v>42614</v>
      </c>
      <c r="E744" t="s">
        <v>233</v>
      </c>
      <c r="F744" t="s">
        <v>2558</v>
      </c>
      <c r="G744" t="s">
        <v>2559</v>
      </c>
      <c r="H744" t="s">
        <v>209</v>
      </c>
      <c r="I744" t="s">
        <v>210</v>
      </c>
      <c r="J744" t="s">
        <v>1000</v>
      </c>
      <c r="K744" t="s">
        <v>287</v>
      </c>
      <c r="L744">
        <v>75220</v>
      </c>
      <c r="M744" t="s">
        <v>288</v>
      </c>
      <c r="N744" t="s">
        <v>2147</v>
      </c>
      <c r="O744" t="s">
        <v>229</v>
      </c>
      <c r="P744" t="s">
        <v>762</v>
      </c>
      <c r="Q744" t="s">
        <v>2148</v>
      </c>
      <c r="R744" s="13">
        <v>51.52</v>
      </c>
      <c r="S744">
        <v>5</v>
      </c>
      <c r="T744" s="14">
        <v>0.2</v>
      </c>
      <c r="U744" s="13">
        <v>-10.948</v>
      </c>
    </row>
    <row r="745" spans="1:21" ht="15" customHeight="1" x14ac:dyDescent="0.3">
      <c r="A745">
        <v>744</v>
      </c>
      <c r="B745" t="s">
        <v>2557</v>
      </c>
      <c r="C745" s="12">
        <v>42609</v>
      </c>
      <c r="D745" s="12">
        <v>42614</v>
      </c>
      <c r="E745" t="s">
        <v>233</v>
      </c>
      <c r="F745" t="s">
        <v>2558</v>
      </c>
      <c r="G745" t="s">
        <v>2559</v>
      </c>
      <c r="H745" t="s">
        <v>209</v>
      </c>
      <c r="I745" t="s">
        <v>210</v>
      </c>
      <c r="J745" t="s">
        <v>1000</v>
      </c>
      <c r="K745" t="s">
        <v>287</v>
      </c>
      <c r="L745">
        <v>75220</v>
      </c>
      <c r="M745" t="s">
        <v>288</v>
      </c>
      <c r="N745" t="s">
        <v>1214</v>
      </c>
      <c r="O745" t="s">
        <v>229</v>
      </c>
      <c r="P745" t="s">
        <v>273</v>
      </c>
      <c r="Q745" t="s">
        <v>1215</v>
      </c>
      <c r="R745" s="13">
        <v>3.528</v>
      </c>
      <c r="S745">
        <v>1</v>
      </c>
      <c r="T745" s="14">
        <v>0.2</v>
      </c>
      <c r="U745" s="13">
        <v>1.1466000000000001</v>
      </c>
    </row>
    <row r="746" spans="1:21" ht="15" customHeight="1" x14ac:dyDescent="0.3">
      <c r="A746">
        <v>745</v>
      </c>
      <c r="B746" t="s">
        <v>2557</v>
      </c>
      <c r="C746" s="12">
        <v>42609</v>
      </c>
      <c r="D746" s="12">
        <v>42614</v>
      </c>
      <c r="E746" t="s">
        <v>233</v>
      </c>
      <c r="F746" t="s">
        <v>2558</v>
      </c>
      <c r="G746" t="s">
        <v>2559</v>
      </c>
      <c r="H746" t="s">
        <v>209</v>
      </c>
      <c r="I746" t="s">
        <v>210</v>
      </c>
      <c r="J746" t="s">
        <v>1000</v>
      </c>
      <c r="K746" t="s">
        <v>287</v>
      </c>
      <c r="L746">
        <v>75220</v>
      </c>
      <c r="M746" t="s">
        <v>288</v>
      </c>
      <c r="N746" t="s">
        <v>2560</v>
      </c>
      <c r="O746" t="s">
        <v>229</v>
      </c>
      <c r="P746" t="s">
        <v>273</v>
      </c>
      <c r="Q746" t="s">
        <v>2561</v>
      </c>
      <c r="R746" s="13">
        <v>4.6239999999999997</v>
      </c>
      <c r="S746">
        <v>1</v>
      </c>
      <c r="T746" s="14">
        <v>0.2</v>
      </c>
      <c r="U746" s="13">
        <v>1.6761999999999999</v>
      </c>
    </row>
    <row r="747" spans="1:21" ht="15" customHeight="1" x14ac:dyDescent="0.3">
      <c r="A747">
        <v>746</v>
      </c>
      <c r="B747" t="s">
        <v>2557</v>
      </c>
      <c r="C747" s="12">
        <v>42609</v>
      </c>
      <c r="D747" s="12">
        <v>42614</v>
      </c>
      <c r="E747" t="s">
        <v>233</v>
      </c>
      <c r="F747" t="s">
        <v>2558</v>
      </c>
      <c r="G747" t="s">
        <v>2559</v>
      </c>
      <c r="H747" t="s">
        <v>209</v>
      </c>
      <c r="I747" t="s">
        <v>210</v>
      </c>
      <c r="J747" t="s">
        <v>1000</v>
      </c>
      <c r="K747" t="s">
        <v>287</v>
      </c>
      <c r="L747">
        <v>75220</v>
      </c>
      <c r="M747" t="s">
        <v>288</v>
      </c>
      <c r="N747" t="s">
        <v>2562</v>
      </c>
      <c r="O747" t="s">
        <v>229</v>
      </c>
      <c r="P747" t="s">
        <v>762</v>
      </c>
      <c r="Q747" t="s">
        <v>2563</v>
      </c>
      <c r="R747" s="13">
        <v>55.167999999999999</v>
      </c>
      <c r="S747">
        <v>4</v>
      </c>
      <c r="T747" s="14">
        <v>0.2</v>
      </c>
      <c r="U747" s="13">
        <v>6.2063999999999897</v>
      </c>
    </row>
    <row r="748" spans="1:21" ht="15" customHeight="1" x14ac:dyDescent="0.3">
      <c r="A748">
        <v>747</v>
      </c>
      <c r="B748" t="s">
        <v>2564</v>
      </c>
      <c r="C748" s="12">
        <v>41786</v>
      </c>
      <c r="D748" s="12">
        <v>41786</v>
      </c>
      <c r="E748" t="s">
        <v>1476</v>
      </c>
      <c r="F748" t="s">
        <v>1809</v>
      </c>
      <c r="G748" t="s">
        <v>1810</v>
      </c>
      <c r="H748" t="s">
        <v>224</v>
      </c>
      <c r="I748" t="s">
        <v>210</v>
      </c>
      <c r="J748" t="s">
        <v>1133</v>
      </c>
      <c r="K748" t="s">
        <v>226</v>
      </c>
      <c r="L748">
        <v>92105</v>
      </c>
      <c r="M748" t="s">
        <v>227</v>
      </c>
      <c r="N748" t="s">
        <v>1111</v>
      </c>
      <c r="O748" t="s">
        <v>215</v>
      </c>
      <c r="P748" t="s">
        <v>239</v>
      </c>
      <c r="Q748" t="s">
        <v>1112</v>
      </c>
      <c r="R748" s="13">
        <v>567.12</v>
      </c>
      <c r="S748">
        <v>10</v>
      </c>
      <c r="T748" s="14">
        <v>0.2</v>
      </c>
      <c r="U748" s="13">
        <v>-28.356000000000002</v>
      </c>
    </row>
    <row r="749" spans="1:21" ht="15" customHeight="1" x14ac:dyDescent="0.3">
      <c r="A749">
        <v>748</v>
      </c>
      <c r="B749" t="s">
        <v>2564</v>
      </c>
      <c r="C749" s="12">
        <v>41786</v>
      </c>
      <c r="D749" s="12">
        <v>41786</v>
      </c>
      <c r="E749" t="s">
        <v>1476</v>
      </c>
      <c r="F749" t="s">
        <v>1809</v>
      </c>
      <c r="G749" t="s">
        <v>1810</v>
      </c>
      <c r="H749" t="s">
        <v>224</v>
      </c>
      <c r="I749" t="s">
        <v>210</v>
      </c>
      <c r="J749" t="s">
        <v>1133</v>
      </c>
      <c r="K749" t="s">
        <v>226</v>
      </c>
      <c r="L749">
        <v>92105</v>
      </c>
      <c r="M749" t="s">
        <v>227</v>
      </c>
      <c r="N749" t="s">
        <v>1877</v>
      </c>
      <c r="O749" t="s">
        <v>229</v>
      </c>
      <c r="P749" t="s">
        <v>242</v>
      </c>
      <c r="Q749" t="s">
        <v>1878</v>
      </c>
      <c r="R749" s="13">
        <v>359.32</v>
      </c>
      <c r="S749">
        <v>4</v>
      </c>
      <c r="T749" s="14">
        <v>0</v>
      </c>
      <c r="U749" s="13">
        <v>7.1863999999999901</v>
      </c>
    </row>
    <row r="750" spans="1:21" ht="15" customHeight="1" x14ac:dyDescent="0.3">
      <c r="A750">
        <v>749</v>
      </c>
      <c r="B750" t="s">
        <v>2565</v>
      </c>
      <c r="C750" s="12">
        <v>42449</v>
      </c>
      <c r="D750" s="12">
        <v>42451</v>
      </c>
      <c r="E750" t="s">
        <v>206</v>
      </c>
      <c r="F750" t="s">
        <v>2566</v>
      </c>
      <c r="G750" t="s">
        <v>2567</v>
      </c>
      <c r="H750" t="s">
        <v>209</v>
      </c>
      <c r="I750" t="s">
        <v>210</v>
      </c>
      <c r="J750" t="s">
        <v>2568</v>
      </c>
      <c r="K750" t="s">
        <v>394</v>
      </c>
      <c r="L750">
        <v>60201</v>
      </c>
      <c r="M750" t="s">
        <v>288</v>
      </c>
      <c r="N750" t="s">
        <v>2569</v>
      </c>
      <c r="O750" t="s">
        <v>254</v>
      </c>
      <c r="P750" t="s">
        <v>255</v>
      </c>
      <c r="Q750" t="s">
        <v>2570</v>
      </c>
      <c r="R750" s="13">
        <v>11.992000000000001</v>
      </c>
      <c r="S750">
        <v>1</v>
      </c>
      <c r="T750" s="14">
        <v>0.2</v>
      </c>
      <c r="U750" s="13">
        <v>0.89939999999999898</v>
      </c>
    </row>
    <row r="751" spans="1:21" ht="15" customHeight="1" x14ac:dyDescent="0.3">
      <c r="A751">
        <v>750</v>
      </c>
      <c r="B751" t="s">
        <v>2571</v>
      </c>
      <c r="C751" s="12">
        <v>43010</v>
      </c>
      <c r="D751" s="12">
        <v>43014</v>
      </c>
      <c r="E751" t="s">
        <v>233</v>
      </c>
      <c r="F751" t="s">
        <v>2572</v>
      </c>
      <c r="G751" t="s">
        <v>2573</v>
      </c>
      <c r="H751" t="s">
        <v>209</v>
      </c>
      <c r="I751" t="s">
        <v>210</v>
      </c>
      <c r="J751" t="s">
        <v>2574</v>
      </c>
      <c r="K751" t="s">
        <v>421</v>
      </c>
      <c r="L751">
        <v>48183</v>
      </c>
      <c r="M751" t="s">
        <v>288</v>
      </c>
      <c r="N751" t="s">
        <v>2575</v>
      </c>
      <c r="O751" t="s">
        <v>229</v>
      </c>
      <c r="P751" t="s">
        <v>258</v>
      </c>
      <c r="Q751" t="s">
        <v>2576</v>
      </c>
      <c r="R751" s="13">
        <v>58.05</v>
      </c>
      <c r="S751">
        <v>3</v>
      </c>
      <c r="T751" s="14">
        <v>0</v>
      </c>
      <c r="U751" s="13">
        <v>26.702999999999999</v>
      </c>
    </row>
    <row r="752" spans="1:21" ht="15" customHeight="1" x14ac:dyDescent="0.3">
      <c r="A752">
        <v>751</v>
      </c>
      <c r="B752" t="s">
        <v>2571</v>
      </c>
      <c r="C752" s="12">
        <v>43010</v>
      </c>
      <c r="D752" s="12">
        <v>43014</v>
      </c>
      <c r="E752" t="s">
        <v>233</v>
      </c>
      <c r="F752" t="s">
        <v>2572</v>
      </c>
      <c r="G752" t="s">
        <v>2573</v>
      </c>
      <c r="H752" t="s">
        <v>209</v>
      </c>
      <c r="I752" t="s">
        <v>210</v>
      </c>
      <c r="J752" t="s">
        <v>2574</v>
      </c>
      <c r="K752" t="s">
        <v>421</v>
      </c>
      <c r="L752">
        <v>48183</v>
      </c>
      <c r="M752" t="s">
        <v>288</v>
      </c>
      <c r="N752" t="s">
        <v>2577</v>
      </c>
      <c r="O752" t="s">
        <v>215</v>
      </c>
      <c r="P752" t="s">
        <v>248</v>
      </c>
      <c r="Q752" t="s">
        <v>2578</v>
      </c>
      <c r="R752" s="13">
        <v>157.74</v>
      </c>
      <c r="S752">
        <v>11</v>
      </c>
      <c r="T752" s="14">
        <v>0</v>
      </c>
      <c r="U752" s="13">
        <v>56.7864</v>
      </c>
    </row>
    <row r="753" spans="1:21" ht="15" customHeight="1" x14ac:dyDescent="0.3">
      <c r="A753">
        <v>752</v>
      </c>
      <c r="B753" t="s">
        <v>2571</v>
      </c>
      <c r="C753" s="12">
        <v>43010</v>
      </c>
      <c r="D753" s="12">
        <v>43014</v>
      </c>
      <c r="E753" t="s">
        <v>233</v>
      </c>
      <c r="F753" t="s">
        <v>2572</v>
      </c>
      <c r="G753" t="s">
        <v>2573</v>
      </c>
      <c r="H753" t="s">
        <v>209</v>
      </c>
      <c r="I753" t="s">
        <v>210</v>
      </c>
      <c r="J753" t="s">
        <v>2574</v>
      </c>
      <c r="K753" t="s">
        <v>421</v>
      </c>
      <c r="L753">
        <v>48183</v>
      </c>
      <c r="M753" t="s">
        <v>288</v>
      </c>
      <c r="N753" t="s">
        <v>1610</v>
      </c>
      <c r="O753" t="s">
        <v>229</v>
      </c>
      <c r="P753" t="s">
        <v>251</v>
      </c>
      <c r="Q753" t="s">
        <v>1611</v>
      </c>
      <c r="R753" s="13">
        <v>56.98</v>
      </c>
      <c r="S753">
        <v>7</v>
      </c>
      <c r="T753" s="14">
        <v>0</v>
      </c>
      <c r="U753" s="13">
        <v>22.792000000000002</v>
      </c>
    </row>
    <row r="754" spans="1:21" ht="15" customHeight="1" x14ac:dyDescent="0.3">
      <c r="A754">
        <v>753</v>
      </c>
      <c r="B754" t="s">
        <v>2571</v>
      </c>
      <c r="C754" s="12">
        <v>43010</v>
      </c>
      <c r="D754" s="12">
        <v>43014</v>
      </c>
      <c r="E754" t="s">
        <v>233</v>
      </c>
      <c r="F754" t="s">
        <v>2572</v>
      </c>
      <c r="G754" t="s">
        <v>2573</v>
      </c>
      <c r="H754" t="s">
        <v>209</v>
      </c>
      <c r="I754" t="s">
        <v>210</v>
      </c>
      <c r="J754" t="s">
        <v>2574</v>
      </c>
      <c r="K754" t="s">
        <v>421</v>
      </c>
      <c r="L754">
        <v>48183</v>
      </c>
      <c r="M754" t="s">
        <v>288</v>
      </c>
      <c r="N754" t="s">
        <v>2579</v>
      </c>
      <c r="O754" t="s">
        <v>229</v>
      </c>
      <c r="P754" t="s">
        <v>258</v>
      </c>
      <c r="Q754" t="s">
        <v>2580</v>
      </c>
      <c r="R754" s="13">
        <v>2.88</v>
      </c>
      <c r="S754">
        <v>1</v>
      </c>
      <c r="T754" s="14">
        <v>0</v>
      </c>
      <c r="U754" s="13">
        <v>1.4112</v>
      </c>
    </row>
    <row r="755" spans="1:21" ht="15" customHeight="1" x14ac:dyDescent="0.3">
      <c r="A755">
        <v>754</v>
      </c>
      <c r="B755" t="s">
        <v>2581</v>
      </c>
      <c r="C755" s="12">
        <v>42467</v>
      </c>
      <c r="D755" s="12">
        <v>42469</v>
      </c>
      <c r="E755" t="s">
        <v>371</v>
      </c>
      <c r="F755" t="s">
        <v>2582</v>
      </c>
      <c r="G755" t="s">
        <v>2583</v>
      </c>
      <c r="H755" t="s">
        <v>224</v>
      </c>
      <c r="I755" t="s">
        <v>210</v>
      </c>
      <c r="J755" t="s">
        <v>310</v>
      </c>
      <c r="K755" t="s">
        <v>226</v>
      </c>
      <c r="L755">
        <v>94110</v>
      </c>
      <c r="M755" t="s">
        <v>227</v>
      </c>
      <c r="N755" t="s">
        <v>2584</v>
      </c>
      <c r="O755" t="s">
        <v>254</v>
      </c>
      <c r="P755" t="s">
        <v>1402</v>
      </c>
      <c r="Q755" t="s">
        <v>2585</v>
      </c>
      <c r="R755" s="13">
        <v>1199.9760000000001</v>
      </c>
      <c r="S755">
        <v>3</v>
      </c>
      <c r="T755" s="14">
        <v>0.2</v>
      </c>
      <c r="U755" s="13">
        <v>374.99250000000001</v>
      </c>
    </row>
    <row r="756" spans="1:21" ht="15" customHeight="1" x14ac:dyDescent="0.3">
      <c r="A756">
        <v>755</v>
      </c>
      <c r="B756" t="s">
        <v>2586</v>
      </c>
      <c r="C756" s="12">
        <v>42345</v>
      </c>
      <c r="D756" s="12">
        <v>42350</v>
      </c>
      <c r="E756" t="s">
        <v>233</v>
      </c>
      <c r="F756" t="s">
        <v>2172</v>
      </c>
      <c r="G756" t="s">
        <v>2173</v>
      </c>
      <c r="H756" t="s">
        <v>209</v>
      </c>
      <c r="I756" t="s">
        <v>210</v>
      </c>
      <c r="J756" t="s">
        <v>225</v>
      </c>
      <c r="K756" t="s">
        <v>226</v>
      </c>
      <c r="L756">
        <v>90036</v>
      </c>
      <c r="M756" t="s">
        <v>227</v>
      </c>
      <c r="N756" t="s">
        <v>2372</v>
      </c>
      <c r="O756" t="s">
        <v>215</v>
      </c>
      <c r="P756" t="s">
        <v>248</v>
      </c>
      <c r="Q756" t="s">
        <v>2373</v>
      </c>
      <c r="R756" s="13">
        <v>79.92</v>
      </c>
      <c r="S756">
        <v>4</v>
      </c>
      <c r="T756" s="14">
        <v>0</v>
      </c>
      <c r="U756" s="13">
        <v>28.7712</v>
      </c>
    </row>
    <row r="757" spans="1:21" ht="15" customHeight="1" x14ac:dyDescent="0.3">
      <c r="A757">
        <v>756</v>
      </c>
      <c r="B757" t="s">
        <v>2587</v>
      </c>
      <c r="C757" s="12">
        <v>42631</v>
      </c>
      <c r="D757" s="12">
        <v>42635</v>
      </c>
      <c r="E757" t="s">
        <v>233</v>
      </c>
      <c r="F757" t="s">
        <v>2211</v>
      </c>
      <c r="G757" t="s">
        <v>2212</v>
      </c>
      <c r="H757" t="s">
        <v>224</v>
      </c>
      <c r="I757" t="s">
        <v>210</v>
      </c>
      <c r="J757" t="s">
        <v>1709</v>
      </c>
      <c r="K757" t="s">
        <v>237</v>
      </c>
      <c r="L757">
        <v>32216</v>
      </c>
      <c r="M757" t="s">
        <v>213</v>
      </c>
      <c r="N757" t="s">
        <v>2588</v>
      </c>
      <c r="O757" t="s">
        <v>215</v>
      </c>
      <c r="P757" t="s">
        <v>239</v>
      </c>
      <c r="Q757" t="s">
        <v>2589</v>
      </c>
      <c r="R757" s="13">
        <v>383.43799999999999</v>
      </c>
      <c r="S757">
        <v>4</v>
      </c>
      <c r="T757" s="14">
        <v>0.45</v>
      </c>
      <c r="U757" s="13">
        <v>-167.3184</v>
      </c>
    </row>
    <row r="758" spans="1:21" ht="15" customHeight="1" x14ac:dyDescent="0.3">
      <c r="A758">
        <v>757</v>
      </c>
      <c r="B758" t="s">
        <v>2590</v>
      </c>
      <c r="C758" s="12">
        <v>42002</v>
      </c>
      <c r="D758" s="12">
        <v>42006</v>
      </c>
      <c r="E758" t="s">
        <v>233</v>
      </c>
      <c r="F758" t="s">
        <v>2591</v>
      </c>
      <c r="G758" t="s">
        <v>2592</v>
      </c>
      <c r="H758" t="s">
        <v>209</v>
      </c>
      <c r="I758" t="s">
        <v>210</v>
      </c>
      <c r="J758" t="s">
        <v>2593</v>
      </c>
      <c r="K758" t="s">
        <v>412</v>
      </c>
      <c r="L758">
        <v>55016</v>
      </c>
      <c r="M758" t="s">
        <v>288</v>
      </c>
      <c r="N758" t="s">
        <v>2428</v>
      </c>
      <c r="O758" t="s">
        <v>229</v>
      </c>
      <c r="P758" t="s">
        <v>242</v>
      </c>
      <c r="Q758" t="s">
        <v>2429</v>
      </c>
      <c r="R758" s="13">
        <v>24.56</v>
      </c>
      <c r="S758">
        <v>2</v>
      </c>
      <c r="T758" s="14">
        <v>0</v>
      </c>
      <c r="U758" s="13">
        <v>6.8768000000000002</v>
      </c>
    </row>
    <row r="759" spans="1:21" ht="15" customHeight="1" x14ac:dyDescent="0.3">
      <c r="A759">
        <v>758</v>
      </c>
      <c r="B759" t="s">
        <v>2590</v>
      </c>
      <c r="C759" s="12">
        <v>42002</v>
      </c>
      <c r="D759" s="12">
        <v>42006</v>
      </c>
      <c r="E759" t="s">
        <v>233</v>
      </c>
      <c r="F759" t="s">
        <v>2591</v>
      </c>
      <c r="G759" t="s">
        <v>2592</v>
      </c>
      <c r="H759" t="s">
        <v>209</v>
      </c>
      <c r="I759" t="s">
        <v>210</v>
      </c>
      <c r="J759" t="s">
        <v>2593</v>
      </c>
      <c r="K759" t="s">
        <v>412</v>
      </c>
      <c r="L759">
        <v>55016</v>
      </c>
      <c r="M759" t="s">
        <v>288</v>
      </c>
      <c r="N759" t="s">
        <v>2272</v>
      </c>
      <c r="O759" t="s">
        <v>254</v>
      </c>
      <c r="P759" t="s">
        <v>344</v>
      </c>
      <c r="Q759" t="s">
        <v>2273</v>
      </c>
      <c r="R759" s="13">
        <v>119.8</v>
      </c>
      <c r="S759">
        <v>4</v>
      </c>
      <c r="T759" s="14">
        <v>0</v>
      </c>
      <c r="U759" s="13">
        <v>47.92</v>
      </c>
    </row>
    <row r="760" spans="1:21" ht="15" customHeight="1" x14ac:dyDescent="0.3">
      <c r="A760">
        <v>759</v>
      </c>
      <c r="B760" t="s">
        <v>2594</v>
      </c>
      <c r="C760" s="12">
        <v>42939</v>
      </c>
      <c r="D760" s="12">
        <v>42944</v>
      </c>
      <c r="E760" t="s">
        <v>233</v>
      </c>
      <c r="F760" t="s">
        <v>2595</v>
      </c>
      <c r="G760" t="s">
        <v>2596</v>
      </c>
      <c r="H760" t="s">
        <v>224</v>
      </c>
      <c r="I760" t="s">
        <v>210</v>
      </c>
      <c r="J760" t="s">
        <v>449</v>
      </c>
      <c r="K760" t="s">
        <v>450</v>
      </c>
      <c r="L760">
        <v>10009</v>
      </c>
      <c r="M760" t="s">
        <v>331</v>
      </c>
      <c r="N760" t="s">
        <v>2206</v>
      </c>
      <c r="O760" t="s">
        <v>229</v>
      </c>
      <c r="P760" t="s">
        <v>258</v>
      </c>
      <c r="Q760" t="s">
        <v>2207</v>
      </c>
      <c r="R760" s="13">
        <v>13.128</v>
      </c>
      <c r="S760">
        <v>3</v>
      </c>
      <c r="T760" s="14">
        <v>0.2</v>
      </c>
      <c r="U760" s="13">
        <v>4.2666000000000004</v>
      </c>
    </row>
    <row r="761" spans="1:21" ht="15" customHeight="1" x14ac:dyDescent="0.3">
      <c r="A761">
        <v>760</v>
      </c>
      <c r="B761" t="s">
        <v>2597</v>
      </c>
      <c r="C761" s="12">
        <v>42996</v>
      </c>
      <c r="D761" s="12">
        <v>43000</v>
      </c>
      <c r="E761" t="s">
        <v>233</v>
      </c>
      <c r="F761" t="s">
        <v>2598</v>
      </c>
      <c r="G761" t="s">
        <v>2599</v>
      </c>
      <c r="H761" t="s">
        <v>224</v>
      </c>
      <c r="I761" t="s">
        <v>210</v>
      </c>
      <c r="J761" t="s">
        <v>2032</v>
      </c>
      <c r="K761" t="s">
        <v>297</v>
      </c>
      <c r="L761">
        <v>54302</v>
      </c>
      <c r="M761" t="s">
        <v>288</v>
      </c>
      <c r="N761" t="s">
        <v>743</v>
      </c>
      <c r="O761" t="s">
        <v>229</v>
      </c>
      <c r="P761" t="s">
        <v>273</v>
      </c>
      <c r="Q761" t="s">
        <v>2376</v>
      </c>
      <c r="R761" s="13">
        <v>22.72</v>
      </c>
      <c r="S761">
        <v>4</v>
      </c>
      <c r="T761" s="14">
        <v>0</v>
      </c>
      <c r="U761" s="13">
        <v>10.224</v>
      </c>
    </row>
    <row r="762" spans="1:21" ht="15" customHeight="1" x14ac:dyDescent="0.3">
      <c r="A762">
        <v>761</v>
      </c>
      <c r="B762" t="s">
        <v>2600</v>
      </c>
      <c r="C762" s="12">
        <v>42247</v>
      </c>
      <c r="D762" s="12">
        <v>42252</v>
      </c>
      <c r="E762" t="s">
        <v>233</v>
      </c>
      <c r="F762" t="s">
        <v>2204</v>
      </c>
      <c r="G762" t="s">
        <v>2205</v>
      </c>
      <c r="H762" t="s">
        <v>209</v>
      </c>
      <c r="I762" t="s">
        <v>210</v>
      </c>
      <c r="J762" t="s">
        <v>225</v>
      </c>
      <c r="K762" t="s">
        <v>226</v>
      </c>
      <c r="L762">
        <v>90004</v>
      </c>
      <c r="M762" t="s">
        <v>227</v>
      </c>
      <c r="N762" t="s">
        <v>2086</v>
      </c>
      <c r="O762" t="s">
        <v>229</v>
      </c>
      <c r="P762" t="s">
        <v>273</v>
      </c>
      <c r="Q762" t="s">
        <v>2087</v>
      </c>
      <c r="R762" s="13">
        <v>58.32</v>
      </c>
      <c r="S762">
        <v>9</v>
      </c>
      <c r="T762" s="14">
        <v>0</v>
      </c>
      <c r="U762" s="13">
        <v>27.993600000000001</v>
      </c>
    </row>
    <row r="763" spans="1:21" ht="15" customHeight="1" x14ac:dyDescent="0.3">
      <c r="A763">
        <v>762</v>
      </c>
      <c r="B763" t="s">
        <v>2601</v>
      </c>
      <c r="C763" s="12">
        <v>43042</v>
      </c>
      <c r="D763" s="12">
        <v>43046</v>
      </c>
      <c r="E763" t="s">
        <v>233</v>
      </c>
      <c r="F763" t="s">
        <v>554</v>
      </c>
      <c r="G763" t="s">
        <v>555</v>
      </c>
      <c r="H763" t="s">
        <v>224</v>
      </c>
      <c r="I763" t="s">
        <v>210</v>
      </c>
      <c r="J763" t="s">
        <v>1924</v>
      </c>
      <c r="K763" t="s">
        <v>1458</v>
      </c>
      <c r="L763">
        <v>30318</v>
      </c>
      <c r="M763" t="s">
        <v>213</v>
      </c>
      <c r="N763" t="s">
        <v>2602</v>
      </c>
      <c r="O763" t="s">
        <v>229</v>
      </c>
      <c r="P763" t="s">
        <v>230</v>
      </c>
      <c r="Q763" t="s">
        <v>2603</v>
      </c>
      <c r="R763" s="13">
        <v>12.39</v>
      </c>
      <c r="S763">
        <v>3</v>
      </c>
      <c r="T763" s="14">
        <v>0</v>
      </c>
      <c r="U763" s="13">
        <v>5.6993999999999998</v>
      </c>
    </row>
    <row r="764" spans="1:21" ht="15" customHeight="1" x14ac:dyDescent="0.3">
      <c r="A764">
        <v>763</v>
      </c>
      <c r="B764" t="s">
        <v>2604</v>
      </c>
      <c r="C764" s="12">
        <v>42043</v>
      </c>
      <c r="D764" s="12">
        <v>42048</v>
      </c>
      <c r="E764" t="s">
        <v>233</v>
      </c>
      <c r="F764" t="s">
        <v>2605</v>
      </c>
      <c r="G764" t="s">
        <v>2606</v>
      </c>
      <c r="H764" t="s">
        <v>209</v>
      </c>
      <c r="I764" t="s">
        <v>210</v>
      </c>
      <c r="J764" t="s">
        <v>680</v>
      </c>
      <c r="K764" t="s">
        <v>681</v>
      </c>
      <c r="L764">
        <v>43229</v>
      </c>
      <c r="M764" t="s">
        <v>331</v>
      </c>
      <c r="N764" t="s">
        <v>877</v>
      </c>
      <c r="O764" t="s">
        <v>254</v>
      </c>
      <c r="P764" t="s">
        <v>255</v>
      </c>
      <c r="Q764" t="s">
        <v>878</v>
      </c>
      <c r="R764" s="13">
        <v>107.982</v>
      </c>
      <c r="S764">
        <v>3</v>
      </c>
      <c r="T764" s="14">
        <v>0.4</v>
      </c>
      <c r="U764" s="13">
        <v>-26.9955</v>
      </c>
    </row>
    <row r="765" spans="1:21" ht="15" customHeight="1" x14ac:dyDescent="0.3">
      <c r="A765">
        <v>764</v>
      </c>
      <c r="B765" t="s">
        <v>2607</v>
      </c>
      <c r="C765" s="12">
        <v>41652</v>
      </c>
      <c r="D765" s="12">
        <v>41654</v>
      </c>
      <c r="E765" t="s">
        <v>206</v>
      </c>
      <c r="F765" t="s">
        <v>2608</v>
      </c>
      <c r="G765" t="s">
        <v>2609</v>
      </c>
      <c r="H765" t="s">
        <v>224</v>
      </c>
      <c r="I765" t="s">
        <v>210</v>
      </c>
      <c r="J765" t="s">
        <v>2610</v>
      </c>
      <c r="K765" t="s">
        <v>921</v>
      </c>
      <c r="L765">
        <v>71111</v>
      </c>
      <c r="M765" t="s">
        <v>213</v>
      </c>
      <c r="N765" t="s">
        <v>853</v>
      </c>
      <c r="O765" t="s">
        <v>229</v>
      </c>
      <c r="P765" t="s">
        <v>356</v>
      </c>
      <c r="Q765" t="s">
        <v>854</v>
      </c>
      <c r="R765" s="13">
        <v>11.36</v>
      </c>
      <c r="S765">
        <v>2</v>
      </c>
      <c r="T765" s="14">
        <v>0</v>
      </c>
      <c r="U765" s="13">
        <v>5.3391999999999999</v>
      </c>
    </row>
    <row r="766" spans="1:21" ht="15" customHeight="1" x14ac:dyDescent="0.3">
      <c r="A766">
        <v>765</v>
      </c>
      <c r="B766" t="s">
        <v>2607</v>
      </c>
      <c r="C766" s="12">
        <v>41652</v>
      </c>
      <c r="D766" s="12">
        <v>41654</v>
      </c>
      <c r="E766" t="s">
        <v>206</v>
      </c>
      <c r="F766" t="s">
        <v>2608</v>
      </c>
      <c r="G766" t="s">
        <v>2609</v>
      </c>
      <c r="H766" t="s">
        <v>224</v>
      </c>
      <c r="I766" t="s">
        <v>210</v>
      </c>
      <c r="J766" t="s">
        <v>2610</v>
      </c>
      <c r="K766" t="s">
        <v>921</v>
      </c>
      <c r="L766">
        <v>71111</v>
      </c>
      <c r="M766" t="s">
        <v>213</v>
      </c>
      <c r="N766" t="s">
        <v>2611</v>
      </c>
      <c r="O766" t="s">
        <v>229</v>
      </c>
      <c r="P766" t="s">
        <v>356</v>
      </c>
      <c r="Q766" t="s">
        <v>2612</v>
      </c>
      <c r="R766" s="13">
        <v>50.94</v>
      </c>
      <c r="S766">
        <v>3</v>
      </c>
      <c r="T766" s="14">
        <v>0</v>
      </c>
      <c r="U766" s="13">
        <v>25.47</v>
      </c>
    </row>
    <row r="767" spans="1:21" ht="15" customHeight="1" x14ac:dyDescent="0.3">
      <c r="A767">
        <v>766</v>
      </c>
      <c r="B767" t="s">
        <v>2607</v>
      </c>
      <c r="C767" s="12">
        <v>41652</v>
      </c>
      <c r="D767" s="12">
        <v>41654</v>
      </c>
      <c r="E767" t="s">
        <v>206</v>
      </c>
      <c r="F767" t="s">
        <v>2608</v>
      </c>
      <c r="G767" t="s">
        <v>2609</v>
      </c>
      <c r="H767" t="s">
        <v>224</v>
      </c>
      <c r="I767" t="s">
        <v>210</v>
      </c>
      <c r="J767" t="s">
        <v>2610</v>
      </c>
      <c r="K767" t="s">
        <v>921</v>
      </c>
      <c r="L767">
        <v>71111</v>
      </c>
      <c r="M767" t="s">
        <v>213</v>
      </c>
      <c r="N767" t="s">
        <v>2613</v>
      </c>
      <c r="O767" t="s">
        <v>254</v>
      </c>
      <c r="P767" t="s">
        <v>344</v>
      </c>
      <c r="Q767" t="s">
        <v>2614</v>
      </c>
      <c r="R767" s="13">
        <v>646.74</v>
      </c>
      <c r="S767">
        <v>6</v>
      </c>
      <c r="T767" s="14">
        <v>0</v>
      </c>
      <c r="U767" s="13">
        <v>258.69600000000003</v>
      </c>
    </row>
    <row r="768" spans="1:21" ht="15" customHeight="1" x14ac:dyDescent="0.3">
      <c r="A768">
        <v>767</v>
      </c>
      <c r="B768" t="s">
        <v>2607</v>
      </c>
      <c r="C768" s="12">
        <v>41652</v>
      </c>
      <c r="D768" s="12">
        <v>41654</v>
      </c>
      <c r="E768" t="s">
        <v>206</v>
      </c>
      <c r="F768" t="s">
        <v>2608</v>
      </c>
      <c r="G768" t="s">
        <v>2609</v>
      </c>
      <c r="H768" t="s">
        <v>224</v>
      </c>
      <c r="I768" t="s">
        <v>210</v>
      </c>
      <c r="J768" t="s">
        <v>2610</v>
      </c>
      <c r="K768" t="s">
        <v>921</v>
      </c>
      <c r="L768">
        <v>71111</v>
      </c>
      <c r="M768" t="s">
        <v>213</v>
      </c>
      <c r="N768" t="s">
        <v>2615</v>
      </c>
      <c r="O768" t="s">
        <v>229</v>
      </c>
      <c r="P768" t="s">
        <v>258</v>
      </c>
      <c r="Q768" t="s">
        <v>2616</v>
      </c>
      <c r="R768" s="13">
        <v>5.64</v>
      </c>
      <c r="S768">
        <v>3</v>
      </c>
      <c r="T768" s="14">
        <v>0</v>
      </c>
      <c r="U768" s="13">
        <v>2.7071999999999998</v>
      </c>
    </row>
    <row r="769" spans="1:21" ht="15" customHeight="1" x14ac:dyDescent="0.3">
      <c r="A769">
        <v>768</v>
      </c>
      <c r="B769" t="s">
        <v>2607</v>
      </c>
      <c r="C769" s="12">
        <v>41652</v>
      </c>
      <c r="D769" s="12">
        <v>41654</v>
      </c>
      <c r="E769" t="s">
        <v>206</v>
      </c>
      <c r="F769" t="s">
        <v>2608</v>
      </c>
      <c r="G769" t="s">
        <v>2609</v>
      </c>
      <c r="H769" t="s">
        <v>224</v>
      </c>
      <c r="I769" t="s">
        <v>210</v>
      </c>
      <c r="J769" t="s">
        <v>2610</v>
      </c>
      <c r="K769" t="s">
        <v>921</v>
      </c>
      <c r="L769">
        <v>71111</v>
      </c>
      <c r="M769" t="s">
        <v>213</v>
      </c>
      <c r="N769" t="s">
        <v>2617</v>
      </c>
      <c r="O769" t="s">
        <v>229</v>
      </c>
      <c r="P769" t="s">
        <v>242</v>
      </c>
      <c r="Q769" t="s">
        <v>2618</v>
      </c>
      <c r="R769" s="13">
        <v>572.58000000000004</v>
      </c>
      <c r="S769">
        <v>6</v>
      </c>
      <c r="T769" s="14">
        <v>0</v>
      </c>
      <c r="U769" s="13">
        <v>34.354799999999997</v>
      </c>
    </row>
    <row r="770" spans="1:21" ht="15" customHeight="1" x14ac:dyDescent="0.3">
      <c r="A770">
        <v>769</v>
      </c>
      <c r="B770" t="s">
        <v>2619</v>
      </c>
      <c r="C770" s="12">
        <v>41773</v>
      </c>
      <c r="D770" s="12">
        <v>41779</v>
      </c>
      <c r="E770" t="s">
        <v>233</v>
      </c>
      <c r="F770" t="s">
        <v>2620</v>
      </c>
      <c r="G770" t="s">
        <v>2621</v>
      </c>
      <c r="H770" t="s">
        <v>224</v>
      </c>
      <c r="I770" t="s">
        <v>210</v>
      </c>
      <c r="J770" t="s">
        <v>1337</v>
      </c>
      <c r="K770" t="s">
        <v>237</v>
      </c>
      <c r="L770">
        <v>33710</v>
      </c>
      <c r="M770" t="s">
        <v>213</v>
      </c>
      <c r="N770" t="s">
        <v>2622</v>
      </c>
      <c r="O770" t="s">
        <v>215</v>
      </c>
      <c r="P770" t="s">
        <v>248</v>
      </c>
      <c r="Q770" t="s">
        <v>2623</v>
      </c>
      <c r="R770" s="13">
        <v>310.88</v>
      </c>
      <c r="S770">
        <v>2</v>
      </c>
      <c r="T770" s="14">
        <v>0.2</v>
      </c>
      <c r="U770" s="13">
        <v>23.315999999999999</v>
      </c>
    </row>
    <row r="771" spans="1:21" ht="15" customHeight="1" x14ac:dyDescent="0.3">
      <c r="A771">
        <v>770</v>
      </c>
      <c r="B771" t="s">
        <v>2624</v>
      </c>
      <c r="C771" s="12">
        <v>42509</v>
      </c>
      <c r="D771" s="12">
        <v>42514</v>
      </c>
      <c r="E771" t="s">
        <v>233</v>
      </c>
      <c r="F771" t="s">
        <v>1009</v>
      </c>
      <c r="G771" t="s">
        <v>1010</v>
      </c>
      <c r="H771" t="s">
        <v>209</v>
      </c>
      <c r="I771" t="s">
        <v>210</v>
      </c>
      <c r="J771" t="s">
        <v>1313</v>
      </c>
      <c r="K771" t="s">
        <v>502</v>
      </c>
      <c r="L771">
        <v>22204</v>
      </c>
      <c r="M771" t="s">
        <v>213</v>
      </c>
      <c r="N771" t="s">
        <v>2625</v>
      </c>
      <c r="O771" t="s">
        <v>215</v>
      </c>
      <c r="P771" t="s">
        <v>219</v>
      </c>
      <c r="Q771" t="s">
        <v>2626</v>
      </c>
      <c r="R771" s="13">
        <v>641.96</v>
      </c>
      <c r="S771">
        <v>2</v>
      </c>
      <c r="T771" s="14">
        <v>0</v>
      </c>
      <c r="U771" s="13">
        <v>179.74879999999999</v>
      </c>
    </row>
    <row r="772" spans="1:21" ht="15" customHeight="1" x14ac:dyDescent="0.3">
      <c r="A772">
        <v>771</v>
      </c>
      <c r="B772" t="s">
        <v>2627</v>
      </c>
      <c r="C772" s="12">
        <v>42765</v>
      </c>
      <c r="D772" s="12">
        <v>42771</v>
      </c>
      <c r="E772" t="s">
        <v>233</v>
      </c>
      <c r="F772" t="s">
        <v>2628</v>
      </c>
      <c r="G772" t="s">
        <v>2629</v>
      </c>
      <c r="H772" t="s">
        <v>224</v>
      </c>
      <c r="I772" t="s">
        <v>210</v>
      </c>
      <c r="J772" t="s">
        <v>1564</v>
      </c>
      <c r="K772" t="s">
        <v>672</v>
      </c>
      <c r="L772">
        <v>50315</v>
      </c>
      <c r="M772" t="s">
        <v>288</v>
      </c>
      <c r="N772" t="s">
        <v>2630</v>
      </c>
      <c r="O772" t="s">
        <v>229</v>
      </c>
      <c r="P772" t="s">
        <v>258</v>
      </c>
      <c r="Q772" t="s">
        <v>2631</v>
      </c>
      <c r="R772" s="13">
        <v>18.28</v>
      </c>
      <c r="S772">
        <v>2</v>
      </c>
      <c r="T772" s="14">
        <v>0</v>
      </c>
      <c r="U772" s="13">
        <v>9.14</v>
      </c>
    </row>
    <row r="773" spans="1:21" ht="15" customHeight="1" x14ac:dyDescent="0.3">
      <c r="A773">
        <v>772</v>
      </c>
      <c r="B773" t="s">
        <v>2627</v>
      </c>
      <c r="C773" s="12">
        <v>42765</v>
      </c>
      <c r="D773" s="12">
        <v>42771</v>
      </c>
      <c r="E773" t="s">
        <v>233</v>
      </c>
      <c r="F773" t="s">
        <v>2628</v>
      </c>
      <c r="G773" t="s">
        <v>2629</v>
      </c>
      <c r="H773" t="s">
        <v>224</v>
      </c>
      <c r="I773" t="s">
        <v>210</v>
      </c>
      <c r="J773" t="s">
        <v>1564</v>
      </c>
      <c r="K773" t="s">
        <v>672</v>
      </c>
      <c r="L773">
        <v>50315</v>
      </c>
      <c r="M773" t="s">
        <v>288</v>
      </c>
      <c r="N773" t="s">
        <v>1390</v>
      </c>
      <c r="O773" t="s">
        <v>254</v>
      </c>
      <c r="P773" t="s">
        <v>255</v>
      </c>
      <c r="Q773" t="s">
        <v>1391</v>
      </c>
      <c r="R773" s="13">
        <v>207</v>
      </c>
      <c r="S773">
        <v>3</v>
      </c>
      <c r="T773" s="14">
        <v>0</v>
      </c>
      <c r="U773" s="13">
        <v>51.75</v>
      </c>
    </row>
    <row r="774" spans="1:21" ht="15" customHeight="1" x14ac:dyDescent="0.3">
      <c r="A774">
        <v>773</v>
      </c>
      <c r="B774" t="s">
        <v>2627</v>
      </c>
      <c r="C774" s="12">
        <v>42765</v>
      </c>
      <c r="D774" s="12">
        <v>42771</v>
      </c>
      <c r="E774" t="s">
        <v>233</v>
      </c>
      <c r="F774" t="s">
        <v>2628</v>
      </c>
      <c r="G774" t="s">
        <v>2629</v>
      </c>
      <c r="H774" t="s">
        <v>224</v>
      </c>
      <c r="I774" t="s">
        <v>210</v>
      </c>
      <c r="J774" t="s">
        <v>1564</v>
      </c>
      <c r="K774" t="s">
        <v>672</v>
      </c>
      <c r="L774">
        <v>50315</v>
      </c>
      <c r="M774" t="s">
        <v>288</v>
      </c>
      <c r="N774" t="s">
        <v>2632</v>
      </c>
      <c r="O774" t="s">
        <v>229</v>
      </c>
      <c r="P774" t="s">
        <v>258</v>
      </c>
      <c r="Q774" t="s">
        <v>2633</v>
      </c>
      <c r="R774" s="13">
        <v>32.35</v>
      </c>
      <c r="S774">
        <v>5</v>
      </c>
      <c r="T774" s="14">
        <v>0</v>
      </c>
      <c r="U774" s="13">
        <v>16.175000000000001</v>
      </c>
    </row>
    <row r="775" spans="1:21" ht="15" customHeight="1" x14ac:dyDescent="0.3">
      <c r="A775">
        <v>774</v>
      </c>
      <c r="B775" t="s">
        <v>2627</v>
      </c>
      <c r="C775" s="12">
        <v>42765</v>
      </c>
      <c r="D775" s="12">
        <v>42771</v>
      </c>
      <c r="E775" t="s">
        <v>233</v>
      </c>
      <c r="F775" t="s">
        <v>2628</v>
      </c>
      <c r="G775" t="s">
        <v>2629</v>
      </c>
      <c r="H775" t="s">
        <v>224</v>
      </c>
      <c r="I775" t="s">
        <v>210</v>
      </c>
      <c r="J775" t="s">
        <v>1564</v>
      </c>
      <c r="K775" t="s">
        <v>672</v>
      </c>
      <c r="L775">
        <v>50315</v>
      </c>
      <c r="M775" t="s">
        <v>288</v>
      </c>
      <c r="N775" t="s">
        <v>257</v>
      </c>
      <c r="O775" t="s">
        <v>229</v>
      </c>
      <c r="P775" t="s">
        <v>258</v>
      </c>
      <c r="Q775" t="s">
        <v>259</v>
      </c>
      <c r="R775" s="13">
        <v>7.71</v>
      </c>
      <c r="S775">
        <v>1</v>
      </c>
      <c r="T775" s="14">
        <v>0</v>
      </c>
      <c r="U775" s="13">
        <v>3.4695</v>
      </c>
    </row>
    <row r="776" spans="1:21" ht="15" customHeight="1" x14ac:dyDescent="0.3">
      <c r="A776">
        <v>775</v>
      </c>
      <c r="B776" t="s">
        <v>2627</v>
      </c>
      <c r="C776" s="12">
        <v>42765</v>
      </c>
      <c r="D776" s="12">
        <v>42771</v>
      </c>
      <c r="E776" t="s">
        <v>233</v>
      </c>
      <c r="F776" t="s">
        <v>2628</v>
      </c>
      <c r="G776" t="s">
        <v>2629</v>
      </c>
      <c r="H776" t="s">
        <v>224</v>
      </c>
      <c r="I776" t="s">
        <v>210</v>
      </c>
      <c r="J776" t="s">
        <v>1564</v>
      </c>
      <c r="K776" t="s">
        <v>672</v>
      </c>
      <c r="L776">
        <v>50315</v>
      </c>
      <c r="M776" t="s">
        <v>288</v>
      </c>
      <c r="N776" t="s">
        <v>2634</v>
      </c>
      <c r="O776" t="s">
        <v>229</v>
      </c>
      <c r="P776" t="s">
        <v>251</v>
      </c>
      <c r="Q776" t="s">
        <v>2635</v>
      </c>
      <c r="R776" s="13">
        <v>40.299999999999997</v>
      </c>
      <c r="S776">
        <v>2</v>
      </c>
      <c r="T776" s="14">
        <v>0</v>
      </c>
      <c r="U776" s="13">
        <v>10.881</v>
      </c>
    </row>
    <row r="777" spans="1:21" ht="15" customHeight="1" x14ac:dyDescent="0.3">
      <c r="A777">
        <v>776</v>
      </c>
      <c r="B777" t="s">
        <v>2627</v>
      </c>
      <c r="C777" s="12">
        <v>42765</v>
      </c>
      <c r="D777" s="12">
        <v>42771</v>
      </c>
      <c r="E777" t="s">
        <v>233</v>
      </c>
      <c r="F777" t="s">
        <v>2628</v>
      </c>
      <c r="G777" t="s">
        <v>2629</v>
      </c>
      <c r="H777" t="s">
        <v>224</v>
      </c>
      <c r="I777" t="s">
        <v>210</v>
      </c>
      <c r="J777" t="s">
        <v>1564</v>
      </c>
      <c r="K777" t="s">
        <v>672</v>
      </c>
      <c r="L777">
        <v>50315</v>
      </c>
      <c r="M777" t="s">
        <v>288</v>
      </c>
      <c r="N777" t="s">
        <v>2636</v>
      </c>
      <c r="O777" t="s">
        <v>215</v>
      </c>
      <c r="P777" t="s">
        <v>248</v>
      </c>
      <c r="Q777" t="s">
        <v>2637</v>
      </c>
      <c r="R777" s="13">
        <v>34.58</v>
      </c>
      <c r="S777">
        <v>7</v>
      </c>
      <c r="T777" s="14">
        <v>0</v>
      </c>
      <c r="U777" s="13">
        <v>14.5236</v>
      </c>
    </row>
    <row r="778" spans="1:21" ht="15" customHeight="1" x14ac:dyDescent="0.3">
      <c r="A778">
        <v>777</v>
      </c>
      <c r="B778" t="s">
        <v>2638</v>
      </c>
      <c r="C778" s="12">
        <v>41819</v>
      </c>
      <c r="D778" s="12">
        <v>41826</v>
      </c>
      <c r="E778" t="s">
        <v>233</v>
      </c>
      <c r="F778" t="s">
        <v>2639</v>
      </c>
      <c r="G778" t="s">
        <v>2640</v>
      </c>
      <c r="H778" t="s">
        <v>209</v>
      </c>
      <c r="I778" t="s">
        <v>210</v>
      </c>
      <c r="J778" t="s">
        <v>1193</v>
      </c>
      <c r="K778" t="s">
        <v>681</v>
      </c>
      <c r="L778">
        <v>45231</v>
      </c>
      <c r="M778" t="s">
        <v>331</v>
      </c>
      <c r="N778" t="s">
        <v>2641</v>
      </c>
      <c r="O778" t="s">
        <v>229</v>
      </c>
      <c r="P778" t="s">
        <v>251</v>
      </c>
      <c r="Q778" t="s">
        <v>2642</v>
      </c>
      <c r="R778" s="13">
        <v>32.76</v>
      </c>
      <c r="S778">
        <v>7</v>
      </c>
      <c r="T778" s="14">
        <v>0.2</v>
      </c>
      <c r="U778" s="13">
        <v>3.6855000000000002</v>
      </c>
    </row>
    <row r="779" spans="1:21" ht="15" customHeight="1" x14ac:dyDescent="0.3">
      <c r="A779">
        <v>778</v>
      </c>
      <c r="B779" t="s">
        <v>2643</v>
      </c>
      <c r="C779" s="12">
        <v>42237</v>
      </c>
      <c r="D779" s="12">
        <v>42239</v>
      </c>
      <c r="E779" t="s">
        <v>371</v>
      </c>
      <c r="F779" t="s">
        <v>1254</v>
      </c>
      <c r="G779" t="s">
        <v>1255</v>
      </c>
      <c r="H779" t="s">
        <v>285</v>
      </c>
      <c r="I779" t="s">
        <v>210</v>
      </c>
      <c r="J779" t="s">
        <v>310</v>
      </c>
      <c r="K779" t="s">
        <v>226</v>
      </c>
      <c r="L779">
        <v>94110</v>
      </c>
      <c r="M779" t="s">
        <v>227</v>
      </c>
      <c r="N779" t="s">
        <v>2644</v>
      </c>
      <c r="O779" t="s">
        <v>215</v>
      </c>
      <c r="P779" t="s">
        <v>219</v>
      </c>
      <c r="Q779" t="s">
        <v>2645</v>
      </c>
      <c r="R779" s="13">
        <v>544.00800000000004</v>
      </c>
      <c r="S779">
        <v>3</v>
      </c>
      <c r="T779" s="14">
        <v>0.2</v>
      </c>
      <c r="U779" s="13">
        <v>40.800600000000003</v>
      </c>
    </row>
    <row r="780" spans="1:21" ht="15" customHeight="1" x14ac:dyDescent="0.3">
      <c r="A780">
        <v>779</v>
      </c>
      <c r="B780" t="s">
        <v>2643</v>
      </c>
      <c r="C780" s="12">
        <v>42237</v>
      </c>
      <c r="D780" s="12">
        <v>42239</v>
      </c>
      <c r="E780" t="s">
        <v>371</v>
      </c>
      <c r="F780" t="s">
        <v>1254</v>
      </c>
      <c r="G780" t="s">
        <v>1255</v>
      </c>
      <c r="H780" t="s">
        <v>285</v>
      </c>
      <c r="I780" t="s">
        <v>210</v>
      </c>
      <c r="J780" t="s">
        <v>310</v>
      </c>
      <c r="K780" t="s">
        <v>226</v>
      </c>
      <c r="L780">
        <v>94110</v>
      </c>
      <c r="M780" t="s">
        <v>227</v>
      </c>
      <c r="N780" t="s">
        <v>1638</v>
      </c>
      <c r="O780" t="s">
        <v>229</v>
      </c>
      <c r="P780" t="s">
        <v>273</v>
      </c>
      <c r="Q780" t="s">
        <v>1639</v>
      </c>
      <c r="R780" s="13">
        <v>59.94</v>
      </c>
      <c r="S780">
        <v>3</v>
      </c>
      <c r="T780" s="14">
        <v>0</v>
      </c>
      <c r="U780" s="13">
        <v>28.171800000000001</v>
      </c>
    </row>
    <row r="781" spans="1:21" ht="15" customHeight="1" x14ac:dyDescent="0.3">
      <c r="A781">
        <v>780</v>
      </c>
      <c r="B781" t="s">
        <v>2643</v>
      </c>
      <c r="C781" s="12">
        <v>42237</v>
      </c>
      <c r="D781" s="12">
        <v>42239</v>
      </c>
      <c r="E781" t="s">
        <v>371</v>
      </c>
      <c r="F781" t="s">
        <v>1254</v>
      </c>
      <c r="G781" t="s">
        <v>1255</v>
      </c>
      <c r="H781" t="s">
        <v>285</v>
      </c>
      <c r="I781" t="s">
        <v>210</v>
      </c>
      <c r="J781" t="s">
        <v>310</v>
      </c>
      <c r="K781" t="s">
        <v>226</v>
      </c>
      <c r="L781">
        <v>94110</v>
      </c>
      <c r="M781" t="s">
        <v>227</v>
      </c>
      <c r="N781" t="s">
        <v>1607</v>
      </c>
      <c r="O781" t="s">
        <v>229</v>
      </c>
      <c r="P781" t="s">
        <v>273</v>
      </c>
      <c r="Q781" t="s">
        <v>1608</v>
      </c>
      <c r="R781" s="13">
        <v>23.92</v>
      </c>
      <c r="S781">
        <v>4</v>
      </c>
      <c r="T781" s="14">
        <v>0</v>
      </c>
      <c r="U781" s="13">
        <v>11.720800000000001</v>
      </c>
    </row>
    <row r="782" spans="1:21" ht="15" customHeight="1" x14ac:dyDescent="0.3">
      <c r="A782">
        <v>781</v>
      </c>
      <c r="B782" t="s">
        <v>2643</v>
      </c>
      <c r="C782" s="12">
        <v>42237</v>
      </c>
      <c r="D782" s="12">
        <v>42239</v>
      </c>
      <c r="E782" t="s">
        <v>371</v>
      </c>
      <c r="F782" t="s">
        <v>1254</v>
      </c>
      <c r="G782" t="s">
        <v>1255</v>
      </c>
      <c r="H782" t="s">
        <v>285</v>
      </c>
      <c r="I782" t="s">
        <v>210</v>
      </c>
      <c r="J782" t="s">
        <v>310</v>
      </c>
      <c r="K782" t="s">
        <v>226</v>
      </c>
      <c r="L782">
        <v>94110</v>
      </c>
      <c r="M782" t="s">
        <v>227</v>
      </c>
      <c r="N782" t="s">
        <v>2646</v>
      </c>
      <c r="O782" t="s">
        <v>229</v>
      </c>
      <c r="P782" t="s">
        <v>273</v>
      </c>
      <c r="Q782" t="s">
        <v>2647</v>
      </c>
      <c r="R782" s="13">
        <v>4.28</v>
      </c>
      <c r="S782">
        <v>1</v>
      </c>
      <c r="T782" s="14">
        <v>0</v>
      </c>
      <c r="U782" s="13">
        <v>1.9259999999999999</v>
      </c>
    </row>
    <row r="783" spans="1:21" ht="15" customHeight="1" x14ac:dyDescent="0.3">
      <c r="A783">
        <v>782</v>
      </c>
      <c r="B783" t="s">
        <v>2648</v>
      </c>
      <c r="C783" s="12">
        <v>42280</v>
      </c>
      <c r="D783" s="12">
        <v>42283</v>
      </c>
      <c r="E783" t="s">
        <v>206</v>
      </c>
      <c r="F783" t="s">
        <v>2649</v>
      </c>
      <c r="G783" t="s">
        <v>2650</v>
      </c>
      <c r="H783" t="s">
        <v>209</v>
      </c>
      <c r="I783" t="s">
        <v>210</v>
      </c>
      <c r="J783" t="s">
        <v>680</v>
      </c>
      <c r="K783" t="s">
        <v>681</v>
      </c>
      <c r="L783">
        <v>43229</v>
      </c>
      <c r="M783" t="s">
        <v>331</v>
      </c>
      <c r="N783" t="s">
        <v>1784</v>
      </c>
      <c r="O783" t="s">
        <v>229</v>
      </c>
      <c r="P783" t="s">
        <v>258</v>
      </c>
      <c r="Q783" t="s">
        <v>1785</v>
      </c>
      <c r="R783" s="13">
        <v>32.07</v>
      </c>
      <c r="S783">
        <v>5</v>
      </c>
      <c r="T783" s="14">
        <v>0.7</v>
      </c>
      <c r="U783" s="13">
        <v>-22.449000000000002</v>
      </c>
    </row>
    <row r="784" spans="1:21" ht="15" customHeight="1" x14ac:dyDescent="0.3">
      <c r="A784">
        <v>783</v>
      </c>
      <c r="B784" t="s">
        <v>2648</v>
      </c>
      <c r="C784" s="12">
        <v>42280</v>
      </c>
      <c r="D784" s="12">
        <v>42283</v>
      </c>
      <c r="E784" t="s">
        <v>206</v>
      </c>
      <c r="F784" t="s">
        <v>2649</v>
      </c>
      <c r="G784" t="s">
        <v>2650</v>
      </c>
      <c r="H784" t="s">
        <v>209</v>
      </c>
      <c r="I784" t="s">
        <v>210</v>
      </c>
      <c r="J784" t="s">
        <v>680</v>
      </c>
      <c r="K784" t="s">
        <v>681</v>
      </c>
      <c r="L784">
        <v>43229</v>
      </c>
      <c r="M784" t="s">
        <v>331</v>
      </c>
      <c r="N784" t="s">
        <v>429</v>
      </c>
      <c r="O784" t="s">
        <v>254</v>
      </c>
      <c r="P784" t="s">
        <v>344</v>
      </c>
      <c r="Q784" t="s">
        <v>430</v>
      </c>
      <c r="R784" s="13">
        <v>24</v>
      </c>
      <c r="S784">
        <v>2</v>
      </c>
      <c r="T784" s="14">
        <v>0.2</v>
      </c>
      <c r="U784" s="13">
        <v>-2.7</v>
      </c>
    </row>
    <row r="785" spans="1:21" ht="15" customHeight="1" x14ac:dyDescent="0.3">
      <c r="A785">
        <v>784</v>
      </c>
      <c r="B785" t="s">
        <v>2648</v>
      </c>
      <c r="C785" s="12">
        <v>42280</v>
      </c>
      <c r="D785" s="12">
        <v>42283</v>
      </c>
      <c r="E785" t="s">
        <v>206</v>
      </c>
      <c r="F785" t="s">
        <v>2649</v>
      </c>
      <c r="G785" t="s">
        <v>2650</v>
      </c>
      <c r="H785" t="s">
        <v>209</v>
      </c>
      <c r="I785" t="s">
        <v>210</v>
      </c>
      <c r="J785" t="s">
        <v>680</v>
      </c>
      <c r="K785" t="s">
        <v>681</v>
      </c>
      <c r="L785">
        <v>43229</v>
      </c>
      <c r="M785" t="s">
        <v>331</v>
      </c>
      <c r="N785" t="s">
        <v>2651</v>
      </c>
      <c r="O785" t="s">
        <v>215</v>
      </c>
      <c r="P785" t="s">
        <v>216</v>
      </c>
      <c r="Q785" t="s">
        <v>2652</v>
      </c>
      <c r="R785" s="13">
        <v>35.49</v>
      </c>
      <c r="S785">
        <v>1</v>
      </c>
      <c r="T785" s="14">
        <v>0.5</v>
      </c>
      <c r="U785" s="13">
        <v>-15.615600000000001</v>
      </c>
    </row>
    <row r="786" spans="1:21" ht="15" customHeight="1" x14ac:dyDescent="0.3">
      <c r="A786">
        <v>785</v>
      </c>
      <c r="B786" t="s">
        <v>2648</v>
      </c>
      <c r="C786" s="12">
        <v>42280</v>
      </c>
      <c r="D786" s="12">
        <v>42283</v>
      </c>
      <c r="E786" t="s">
        <v>206</v>
      </c>
      <c r="F786" t="s">
        <v>2649</v>
      </c>
      <c r="G786" t="s">
        <v>2650</v>
      </c>
      <c r="H786" t="s">
        <v>209</v>
      </c>
      <c r="I786" t="s">
        <v>210</v>
      </c>
      <c r="J786" t="s">
        <v>680</v>
      </c>
      <c r="K786" t="s">
        <v>681</v>
      </c>
      <c r="L786">
        <v>43229</v>
      </c>
      <c r="M786" t="s">
        <v>331</v>
      </c>
      <c r="N786" t="s">
        <v>2653</v>
      </c>
      <c r="O786" t="s">
        <v>254</v>
      </c>
      <c r="P786" t="s">
        <v>344</v>
      </c>
      <c r="Q786" t="s">
        <v>2654</v>
      </c>
      <c r="R786" s="13">
        <v>47.984000000000002</v>
      </c>
      <c r="S786">
        <v>2</v>
      </c>
      <c r="T786" s="14">
        <v>0.2</v>
      </c>
      <c r="U786" s="13">
        <v>0.599799999999997</v>
      </c>
    </row>
    <row r="787" spans="1:21" ht="15" customHeight="1" x14ac:dyDescent="0.3">
      <c r="A787">
        <v>786</v>
      </c>
      <c r="B787" t="s">
        <v>2655</v>
      </c>
      <c r="C787" s="12">
        <v>42147</v>
      </c>
      <c r="D787" s="12">
        <v>42152</v>
      </c>
      <c r="E787" t="s">
        <v>233</v>
      </c>
      <c r="F787" t="s">
        <v>1080</v>
      </c>
      <c r="G787" t="s">
        <v>1081</v>
      </c>
      <c r="H787" t="s">
        <v>224</v>
      </c>
      <c r="I787" t="s">
        <v>210</v>
      </c>
      <c r="J787" t="s">
        <v>565</v>
      </c>
      <c r="K787" t="s">
        <v>566</v>
      </c>
      <c r="L787">
        <v>29203</v>
      </c>
      <c r="M787" t="s">
        <v>213</v>
      </c>
      <c r="N787" t="s">
        <v>2656</v>
      </c>
      <c r="O787" t="s">
        <v>229</v>
      </c>
      <c r="P787" t="s">
        <v>356</v>
      </c>
      <c r="Q787" t="s">
        <v>2657</v>
      </c>
      <c r="R787" s="13">
        <v>186.69</v>
      </c>
      <c r="S787">
        <v>3</v>
      </c>
      <c r="T787" s="14">
        <v>0</v>
      </c>
      <c r="U787" s="13">
        <v>87.744299999999996</v>
      </c>
    </row>
    <row r="788" spans="1:21" ht="15" customHeight="1" x14ac:dyDescent="0.3">
      <c r="A788">
        <v>787</v>
      </c>
      <c r="B788" t="s">
        <v>2658</v>
      </c>
      <c r="C788" s="12">
        <v>42811</v>
      </c>
      <c r="D788" s="12">
        <v>42815</v>
      </c>
      <c r="E788" t="s">
        <v>206</v>
      </c>
      <c r="F788" t="s">
        <v>669</v>
      </c>
      <c r="G788" t="s">
        <v>670</v>
      </c>
      <c r="H788" t="s">
        <v>209</v>
      </c>
      <c r="I788" t="s">
        <v>210</v>
      </c>
      <c r="J788" t="s">
        <v>2659</v>
      </c>
      <c r="K788" t="s">
        <v>226</v>
      </c>
      <c r="L788">
        <v>93534</v>
      </c>
      <c r="M788" t="s">
        <v>227</v>
      </c>
      <c r="N788" t="s">
        <v>2660</v>
      </c>
      <c r="O788" t="s">
        <v>229</v>
      </c>
      <c r="P788" t="s">
        <v>258</v>
      </c>
      <c r="Q788" t="s">
        <v>2661</v>
      </c>
      <c r="R788" s="13">
        <v>17.456</v>
      </c>
      <c r="S788">
        <v>2</v>
      </c>
      <c r="T788" s="14">
        <v>0.2</v>
      </c>
      <c r="U788" s="13">
        <v>5.8914</v>
      </c>
    </row>
    <row r="789" spans="1:21" ht="15" customHeight="1" x14ac:dyDescent="0.3">
      <c r="A789">
        <v>788</v>
      </c>
      <c r="B789" t="s">
        <v>2662</v>
      </c>
      <c r="C789" s="12">
        <v>42350</v>
      </c>
      <c r="D789" s="12">
        <v>42354</v>
      </c>
      <c r="E789" t="s">
        <v>233</v>
      </c>
      <c r="F789" t="s">
        <v>2663</v>
      </c>
      <c r="G789" t="s">
        <v>2664</v>
      </c>
      <c r="H789" t="s">
        <v>209</v>
      </c>
      <c r="I789" t="s">
        <v>210</v>
      </c>
      <c r="J789" t="s">
        <v>2659</v>
      </c>
      <c r="K789" t="s">
        <v>226</v>
      </c>
      <c r="L789">
        <v>93534</v>
      </c>
      <c r="M789" t="s">
        <v>227</v>
      </c>
      <c r="N789" t="s">
        <v>2665</v>
      </c>
      <c r="O789" t="s">
        <v>215</v>
      </c>
      <c r="P789" t="s">
        <v>219</v>
      </c>
      <c r="Q789" t="s">
        <v>2666</v>
      </c>
      <c r="R789" s="13">
        <v>348.928</v>
      </c>
      <c r="S789">
        <v>2</v>
      </c>
      <c r="T789" s="14">
        <v>0.2</v>
      </c>
      <c r="U789" s="13">
        <v>34.892800000000001</v>
      </c>
    </row>
    <row r="790" spans="1:21" ht="15" customHeight="1" x14ac:dyDescent="0.3">
      <c r="A790">
        <v>789</v>
      </c>
      <c r="B790" t="s">
        <v>2667</v>
      </c>
      <c r="C790" s="12">
        <v>42181</v>
      </c>
      <c r="D790" s="12">
        <v>42185</v>
      </c>
      <c r="E790" t="s">
        <v>233</v>
      </c>
      <c r="F790" t="s">
        <v>1862</v>
      </c>
      <c r="G790" t="s">
        <v>1863</v>
      </c>
      <c r="H790" t="s">
        <v>209</v>
      </c>
      <c r="I790" t="s">
        <v>210</v>
      </c>
      <c r="J790" t="s">
        <v>1652</v>
      </c>
      <c r="K790" t="s">
        <v>502</v>
      </c>
      <c r="L790">
        <v>23223</v>
      </c>
      <c r="M790" t="s">
        <v>213</v>
      </c>
      <c r="N790" t="s">
        <v>1682</v>
      </c>
      <c r="O790" t="s">
        <v>229</v>
      </c>
      <c r="P790" t="s">
        <v>258</v>
      </c>
      <c r="Q790" t="s">
        <v>1683</v>
      </c>
      <c r="R790" s="13">
        <v>143.96</v>
      </c>
      <c r="S790">
        <v>4</v>
      </c>
      <c r="T790" s="14">
        <v>0</v>
      </c>
      <c r="U790" s="13">
        <v>69.100800000000007</v>
      </c>
    </row>
    <row r="791" spans="1:21" ht="15" customHeight="1" x14ac:dyDescent="0.3">
      <c r="A791">
        <v>790</v>
      </c>
      <c r="B791" t="s">
        <v>2667</v>
      </c>
      <c r="C791" s="12">
        <v>42181</v>
      </c>
      <c r="D791" s="12">
        <v>42185</v>
      </c>
      <c r="E791" t="s">
        <v>233</v>
      </c>
      <c r="F791" t="s">
        <v>1862</v>
      </c>
      <c r="G791" t="s">
        <v>1863</v>
      </c>
      <c r="H791" t="s">
        <v>209</v>
      </c>
      <c r="I791" t="s">
        <v>210</v>
      </c>
      <c r="J791" t="s">
        <v>1652</v>
      </c>
      <c r="K791" t="s">
        <v>502</v>
      </c>
      <c r="L791">
        <v>23223</v>
      </c>
      <c r="M791" t="s">
        <v>213</v>
      </c>
      <c r="N791" t="s">
        <v>1823</v>
      </c>
      <c r="O791" t="s">
        <v>229</v>
      </c>
      <c r="P791" t="s">
        <v>242</v>
      </c>
      <c r="Q791" t="s">
        <v>1824</v>
      </c>
      <c r="R791" s="13">
        <v>15.42</v>
      </c>
      <c r="S791">
        <v>1</v>
      </c>
      <c r="T791" s="14">
        <v>0</v>
      </c>
      <c r="U791" s="13">
        <v>4.1634000000000002</v>
      </c>
    </row>
    <row r="792" spans="1:21" ht="15" customHeight="1" x14ac:dyDescent="0.3">
      <c r="A792">
        <v>791</v>
      </c>
      <c r="B792" t="s">
        <v>2667</v>
      </c>
      <c r="C792" s="12">
        <v>42181</v>
      </c>
      <c r="D792" s="12">
        <v>42185</v>
      </c>
      <c r="E792" t="s">
        <v>233</v>
      </c>
      <c r="F792" t="s">
        <v>1862</v>
      </c>
      <c r="G792" t="s">
        <v>1863</v>
      </c>
      <c r="H792" t="s">
        <v>209</v>
      </c>
      <c r="I792" t="s">
        <v>210</v>
      </c>
      <c r="J792" t="s">
        <v>1652</v>
      </c>
      <c r="K792" t="s">
        <v>502</v>
      </c>
      <c r="L792">
        <v>23223</v>
      </c>
      <c r="M792" t="s">
        <v>213</v>
      </c>
      <c r="N792" t="s">
        <v>2668</v>
      </c>
      <c r="O792" t="s">
        <v>229</v>
      </c>
      <c r="P792" t="s">
        <v>258</v>
      </c>
      <c r="Q792" t="s">
        <v>2669</v>
      </c>
      <c r="R792" s="13">
        <v>43.04</v>
      </c>
      <c r="S792">
        <v>8</v>
      </c>
      <c r="T792" s="14">
        <v>0</v>
      </c>
      <c r="U792" s="13">
        <v>21.089600000000001</v>
      </c>
    </row>
    <row r="793" spans="1:21" ht="15" customHeight="1" x14ac:dyDescent="0.3">
      <c r="A793">
        <v>792</v>
      </c>
      <c r="B793" t="s">
        <v>2667</v>
      </c>
      <c r="C793" s="12">
        <v>42181</v>
      </c>
      <c r="D793" s="12">
        <v>42185</v>
      </c>
      <c r="E793" t="s">
        <v>233</v>
      </c>
      <c r="F793" t="s">
        <v>1862</v>
      </c>
      <c r="G793" t="s">
        <v>1863</v>
      </c>
      <c r="H793" t="s">
        <v>209</v>
      </c>
      <c r="I793" t="s">
        <v>210</v>
      </c>
      <c r="J793" t="s">
        <v>1652</v>
      </c>
      <c r="K793" t="s">
        <v>502</v>
      </c>
      <c r="L793">
        <v>23223</v>
      </c>
      <c r="M793" t="s">
        <v>213</v>
      </c>
      <c r="N793" t="s">
        <v>2670</v>
      </c>
      <c r="O793" t="s">
        <v>215</v>
      </c>
      <c r="P793" t="s">
        <v>219</v>
      </c>
      <c r="Q793" t="s">
        <v>2671</v>
      </c>
      <c r="R793" s="13">
        <v>332.94</v>
      </c>
      <c r="S793">
        <v>3</v>
      </c>
      <c r="T793" s="14">
        <v>0</v>
      </c>
      <c r="U793" s="13">
        <v>79.905600000000007</v>
      </c>
    </row>
    <row r="794" spans="1:21" ht="15" customHeight="1" x14ac:dyDescent="0.3">
      <c r="A794">
        <v>793</v>
      </c>
      <c r="B794" t="s">
        <v>2672</v>
      </c>
      <c r="C794" s="12">
        <v>42510</v>
      </c>
      <c r="D794" s="12">
        <v>42510</v>
      </c>
      <c r="E794" t="s">
        <v>1476</v>
      </c>
      <c r="F794" t="s">
        <v>2673</v>
      </c>
      <c r="G794" t="s">
        <v>2674</v>
      </c>
      <c r="H794" t="s">
        <v>209</v>
      </c>
      <c r="I794" t="s">
        <v>210</v>
      </c>
      <c r="J794" t="s">
        <v>2675</v>
      </c>
      <c r="K794" t="s">
        <v>271</v>
      </c>
      <c r="L794">
        <v>28806</v>
      </c>
      <c r="M794" t="s">
        <v>213</v>
      </c>
      <c r="N794" t="s">
        <v>2676</v>
      </c>
      <c r="O794" t="s">
        <v>254</v>
      </c>
      <c r="P794" t="s">
        <v>255</v>
      </c>
      <c r="Q794" t="s">
        <v>2677</v>
      </c>
      <c r="R794" s="13">
        <v>1363.96</v>
      </c>
      <c r="S794">
        <v>5</v>
      </c>
      <c r="T794" s="14">
        <v>0.2</v>
      </c>
      <c r="U794" s="13">
        <v>85.247500000000002</v>
      </c>
    </row>
    <row r="795" spans="1:21" ht="15" customHeight="1" x14ac:dyDescent="0.3">
      <c r="A795">
        <v>794</v>
      </c>
      <c r="B795" t="s">
        <v>2678</v>
      </c>
      <c r="C795" s="12">
        <v>41902</v>
      </c>
      <c r="D795" s="12">
        <v>41908</v>
      </c>
      <c r="E795" t="s">
        <v>233</v>
      </c>
      <c r="F795" t="s">
        <v>2679</v>
      </c>
      <c r="G795" t="s">
        <v>2680</v>
      </c>
      <c r="H795" t="s">
        <v>209</v>
      </c>
      <c r="I795" t="s">
        <v>210</v>
      </c>
      <c r="J795" t="s">
        <v>310</v>
      </c>
      <c r="K795" t="s">
        <v>226</v>
      </c>
      <c r="L795">
        <v>94110</v>
      </c>
      <c r="M795" t="s">
        <v>227</v>
      </c>
      <c r="N795" t="s">
        <v>2681</v>
      </c>
      <c r="O795" t="s">
        <v>229</v>
      </c>
      <c r="P795" t="s">
        <v>230</v>
      </c>
      <c r="Q795" t="s">
        <v>2682</v>
      </c>
      <c r="R795" s="13">
        <v>9.9600000000000009</v>
      </c>
      <c r="S795">
        <v>2</v>
      </c>
      <c r="T795" s="14">
        <v>0</v>
      </c>
      <c r="U795" s="13">
        <v>4.5815999999999999</v>
      </c>
    </row>
    <row r="796" spans="1:21" ht="15" customHeight="1" x14ac:dyDescent="0.3">
      <c r="A796">
        <v>795</v>
      </c>
      <c r="B796" t="s">
        <v>2678</v>
      </c>
      <c r="C796" s="12">
        <v>41902</v>
      </c>
      <c r="D796" s="12">
        <v>41908</v>
      </c>
      <c r="E796" t="s">
        <v>233</v>
      </c>
      <c r="F796" t="s">
        <v>2679</v>
      </c>
      <c r="G796" t="s">
        <v>2680</v>
      </c>
      <c r="H796" t="s">
        <v>209</v>
      </c>
      <c r="I796" t="s">
        <v>210</v>
      </c>
      <c r="J796" t="s">
        <v>310</v>
      </c>
      <c r="K796" t="s">
        <v>226</v>
      </c>
      <c r="L796">
        <v>94110</v>
      </c>
      <c r="M796" t="s">
        <v>227</v>
      </c>
      <c r="N796" t="s">
        <v>1622</v>
      </c>
      <c r="O796" t="s">
        <v>229</v>
      </c>
      <c r="P796" t="s">
        <v>273</v>
      </c>
      <c r="Q796" t="s">
        <v>1623</v>
      </c>
      <c r="R796" s="13">
        <v>21.72</v>
      </c>
      <c r="S796">
        <v>4</v>
      </c>
      <c r="T796" s="14">
        <v>0</v>
      </c>
      <c r="U796" s="13">
        <v>10.642799999999999</v>
      </c>
    </row>
    <row r="797" spans="1:21" ht="15" customHeight="1" x14ac:dyDescent="0.3">
      <c r="A797">
        <v>796</v>
      </c>
      <c r="B797" t="s">
        <v>2683</v>
      </c>
      <c r="C797" s="12">
        <v>42999</v>
      </c>
      <c r="D797" s="12">
        <v>43004</v>
      </c>
      <c r="E797" t="s">
        <v>233</v>
      </c>
      <c r="F797" t="s">
        <v>2684</v>
      </c>
      <c r="G797" t="s">
        <v>2685</v>
      </c>
      <c r="H797" t="s">
        <v>209</v>
      </c>
      <c r="I797" t="s">
        <v>210</v>
      </c>
      <c r="J797" t="s">
        <v>572</v>
      </c>
      <c r="K797" t="s">
        <v>412</v>
      </c>
      <c r="L797">
        <v>55901</v>
      </c>
      <c r="M797" t="s">
        <v>288</v>
      </c>
      <c r="N797" t="s">
        <v>2579</v>
      </c>
      <c r="O797" t="s">
        <v>229</v>
      </c>
      <c r="P797" t="s">
        <v>258</v>
      </c>
      <c r="Q797" t="s">
        <v>2580</v>
      </c>
      <c r="R797" s="13">
        <v>20.16</v>
      </c>
      <c r="S797">
        <v>7</v>
      </c>
      <c r="T797" s="14">
        <v>0</v>
      </c>
      <c r="U797" s="13">
        <v>9.8783999999999992</v>
      </c>
    </row>
    <row r="798" spans="1:21" ht="15" customHeight="1" x14ac:dyDescent="0.3">
      <c r="A798">
        <v>797</v>
      </c>
      <c r="B798" t="s">
        <v>2686</v>
      </c>
      <c r="C798" s="12">
        <v>42362</v>
      </c>
      <c r="D798" s="12">
        <v>42364</v>
      </c>
      <c r="E798" t="s">
        <v>371</v>
      </c>
      <c r="F798" t="s">
        <v>1095</v>
      </c>
      <c r="G798" t="s">
        <v>1096</v>
      </c>
      <c r="H798" t="s">
        <v>224</v>
      </c>
      <c r="I798" t="s">
        <v>210</v>
      </c>
      <c r="J798" t="s">
        <v>572</v>
      </c>
      <c r="K798" t="s">
        <v>450</v>
      </c>
      <c r="L798">
        <v>14609</v>
      </c>
      <c r="M798" t="s">
        <v>331</v>
      </c>
      <c r="N798" t="s">
        <v>2687</v>
      </c>
      <c r="O798" t="s">
        <v>229</v>
      </c>
      <c r="P798" t="s">
        <v>273</v>
      </c>
      <c r="Q798" t="s">
        <v>2688</v>
      </c>
      <c r="R798" s="13">
        <v>132.79</v>
      </c>
      <c r="S798">
        <v>7</v>
      </c>
      <c r="T798" s="14">
        <v>0</v>
      </c>
      <c r="U798" s="13">
        <v>63.739199999999997</v>
      </c>
    </row>
    <row r="799" spans="1:21" ht="15" customHeight="1" x14ac:dyDescent="0.3">
      <c r="A799">
        <v>798</v>
      </c>
      <c r="B799" t="s">
        <v>2686</v>
      </c>
      <c r="C799" s="12">
        <v>42362</v>
      </c>
      <c r="D799" s="12">
        <v>42364</v>
      </c>
      <c r="E799" t="s">
        <v>371</v>
      </c>
      <c r="F799" t="s">
        <v>1095</v>
      </c>
      <c r="G799" t="s">
        <v>1096</v>
      </c>
      <c r="H799" t="s">
        <v>224</v>
      </c>
      <c r="I799" t="s">
        <v>210</v>
      </c>
      <c r="J799" t="s">
        <v>572</v>
      </c>
      <c r="K799" t="s">
        <v>450</v>
      </c>
      <c r="L799">
        <v>14609</v>
      </c>
      <c r="M799" t="s">
        <v>331</v>
      </c>
      <c r="N799" t="s">
        <v>272</v>
      </c>
      <c r="O799" t="s">
        <v>229</v>
      </c>
      <c r="P799" t="s">
        <v>273</v>
      </c>
      <c r="Q799" t="s">
        <v>274</v>
      </c>
      <c r="R799" s="13">
        <v>12.96</v>
      </c>
      <c r="S799">
        <v>2</v>
      </c>
      <c r="T799" s="14">
        <v>0</v>
      </c>
      <c r="U799" s="13">
        <v>6.2207999999999997</v>
      </c>
    </row>
    <row r="800" spans="1:21" ht="15" customHeight="1" x14ac:dyDescent="0.3">
      <c r="A800">
        <v>799</v>
      </c>
      <c r="B800" t="s">
        <v>2686</v>
      </c>
      <c r="C800" s="12">
        <v>42362</v>
      </c>
      <c r="D800" s="12">
        <v>42364</v>
      </c>
      <c r="E800" t="s">
        <v>371</v>
      </c>
      <c r="F800" t="s">
        <v>1095</v>
      </c>
      <c r="G800" t="s">
        <v>1096</v>
      </c>
      <c r="H800" t="s">
        <v>224</v>
      </c>
      <c r="I800" t="s">
        <v>210</v>
      </c>
      <c r="J800" t="s">
        <v>572</v>
      </c>
      <c r="K800" t="s">
        <v>450</v>
      </c>
      <c r="L800">
        <v>14609</v>
      </c>
      <c r="M800" t="s">
        <v>331</v>
      </c>
      <c r="N800" t="s">
        <v>2689</v>
      </c>
      <c r="O800" t="s">
        <v>229</v>
      </c>
      <c r="P800" t="s">
        <v>230</v>
      </c>
      <c r="Q800" t="s">
        <v>2690</v>
      </c>
      <c r="R800" s="13">
        <v>21.56</v>
      </c>
      <c r="S800">
        <v>7</v>
      </c>
      <c r="T800" s="14">
        <v>0</v>
      </c>
      <c r="U800" s="13">
        <v>10.348800000000001</v>
      </c>
    </row>
    <row r="801" spans="1:21" ht="15" customHeight="1" x14ac:dyDescent="0.3">
      <c r="A801">
        <v>800</v>
      </c>
      <c r="B801" t="s">
        <v>2691</v>
      </c>
      <c r="C801" s="12">
        <v>42335</v>
      </c>
      <c r="D801" s="12">
        <v>42341</v>
      </c>
      <c r="E801" t="s">
        <v>233</v>
      </c>
      <c r="F801" t="s">
        <v>2692</v>
      </c>
      <c r="G801" t="s">
        <v>2693</v>
      </c>
      <c r="H801" t="s">
        <v>209</v>
      </c>
      <c r="I801" t="s">
        <v>210</v>
      </c>
      <c r="J801" t="s">
        <v>2694</v>
      </c>
      <c r="K801" t="s">
        <v>226</v>
      </c>
      <c r="L801">
        <v>92530</v>
      </c>
      <c r="M801" t="s">
        <v>227</v>
      </c>
      <c r="N801" t="s">
        <v>2027</v>
      </c>
      <c r="O801" t="s">
        <v>215</v>
      </c>
      <c r="P801" t="s">
        <v>219</v>
      </c>
      <c r="Q801" t="s">
        <v>2028</v>
      </c>
      <c r="R801" s="13">
        <v>283.92</v>
      </c>
      <c r="S801">
        <v>5</v>
      </c>
      <c r="T801" s="14">
        <v>0.2</v>
      </c>
      <c r="U801" s="13">
        <v>17.745000000000001</v>
      </c>
    </row>
    <row r="802" spans="1:21" ht="15" customHeight="1" x14ac:dyDescent="0.3">
      <c r="A802">
        <v>801</v>
      </c>
      <c r="B802" t="s">
        <v>2695</v>
      </c>
      <c r="C802" s="12">
        <v>42786</v>
      </c>
      <c r="D802" s="12">
        <v>42789</v>
      </c>
      <c r="E802" t="s">
        <v>371</v>
      </c>
      <c r="F802" t="s">
        <v>2696</v>
      </c>
      <c r="G802" t="s">
        <v>2697</v>
      </c>
      <c r="H802" t="s">
        <v>224</v>
      </c>
      <c r="I802" t="s">
        <v>210</v>
      </c>
      <c r="J802" t="s">
        <v>1133</v>
      </c>
      <c r="K802" t="s">
        <v>226</v>
      </c>
      <c r="L802">
        <v>92105</v>
      </c>
      <c r="M802" t="s">
        <v>227</v>
      </c>
      <c r="N802" t="s">
        <v>2698</v>
      </c>
      <c r="O802" t="s">
        <v>215</v>
      </c>
      <c r="P802" t="s">
        <v>248</v>
      </c>
      <c r="Q802" t="s">
        <v>2699</v>
      </c>
      <c r="R802" s="13">
        <v>22.23</v>
      </c>
      <c r="S802">
        <v>1</v>
      </c>
      <c r="T802" s="14">
        <v>0</v>
      </c>
      <c r="U802" s="13">
        <v>7.3358999999999996</v>
      </c>
    </row>
    <row r="803" spans="1:21" ht="15" customHeight="1" x14ac:dyDescent="0.3">
      <c r="A803">
        <v>802</v>
      </c>
      <c r="B803" t="s">
        <v>2695</v>
      </c>
      <c r="C803" s="12">
        <v>42786</v>
      </c>
      <c r="D803" s="12">
        <v>42789</v>
      </c>
      <c r="E803" t="s">
        <v>371</v>
      </c>
      <c r="F803" t="s">
        <v>2696</v>
      </c>
      <c r="G803" t="s">
        <v>2697</v>
      </c>
      <c r="H803" t="s">
        <v>224</v>
      </c>
      <c r="I803" t="s">
        <v>210</v>
      </c>
      <c r="J803" t="s">
        <v>1133</v>
      </c>
      <c r="K803" t="s">
        <v>226</v>
      </c>
      <c r="L803">
        <v>92105</v>
      </c>
      <c r="M803" t="s">
        <v>227</v>
      </c>
      <c r="N803" t="s">
        <v>1148</v>
      </c>
      <c r="O803" t="s">
        <v>254</v>
      </c>
      <c r="P803" t="s">
        <v>255</v>
      </c>
      <c r="Q803" t="s">
        <v>1149</v>
      </c>
      <c r="R803" s="13">
        <v>215.96799999999999</v>
      </c>
      <c r="S803">
        <v>2</v>
      </c>
      <c r="T803" s="14">
        <v>0.2</v>
      </c>
      <c r="U803" s="13">
        <v>18.897200000000002</v>
      </c>
    </row>
    <row r="804" spans="1:21" ht="15" customHeight="1" x14ac:dyDescent="0.3">
      <c r="A804">
        <v>803</v>
      </c>
      <c r="B804" t="s">
        <v>2700</v>
      </c>
      <c r="C804" s="12">
        <v>42600</v>
      </c>
      <c r="D804" s="12">
        <v>42605</v>
      </c>
      <c r="E804" t="s">
        <v>206</v>
      </c>
      <c r="F804" t="s">
        <v>2696</v>
      </c>
      <c r="G804" t="s">
        <v>2697</v>
      </c>
      <c r="H804" t="s">
        <v>224</v>
      </c>
      <c r="I804" t="s">
        <v>210</v>
      </c>
      <c r="J804" t="s">
        <v>449</v>
      </c>
      <c r="K804" t="s">
        <v>450</v>
      </c>
      <c r="L804">
        <v>10024</v>
      </c>
      <c r="M804" t="s">
        <v>331</v>
      </c>
      <c r="N804" t="s">
        <v>2701</v>
      </c>
      <c r="O804" t="s">
        <v>229</v>
      </c>
      <c r="P804" t="s">
        <v>261</v>
      </c>
      <c r="Q804" t="s">
        <v>2702</v>
      </c>
      <c r="R804" s="13">
        <v>355.32</v>
      </c>
      <c r="S804">
        <v>9</v>
      </c>
      <c r="T804" s="14">
        <v>0</v>
      </c>
      <c r="U804" s="13">
        <v>99.489599999999996</v>
      </c>
    </row>
    <row r="805" spans="1:21" ht="15" customHeight="1" x14ac:dyDescent="0.3">
      <c r="A805">
        <v>804</v>
      </c>
      <c r="B805" t="s">
        <v>2703</v>
      </c>
      <c r="C805" s="12">
        <v>42441</v>
      </c>
      <c r="D805" s="12">
        <v>42446</v>
      </c>
      <c r="E805" t="s">
        <v>233</v>
      </c>
      <c r="F805" t="s">
        <v>2704</v>
      </c>
      <c r="G805" t="s">
        <v>2705</v>
      </c>
      <c r="H805" t="s">
        <v>224</v>
      </c>
      <c r="I805" t="s">
        <v>210</v>
      </c>
      <c r="J805" t="s">
        <v>920</v>
      </c>
      <c r="K805" t="s">
        <v>921</v>
      </c>
      <c r="L805">
        <v>71203</v>
      </c>
      <c r="M805" t="s">
        <v>213</v>
      </c>
      <c r="N805" t="s">
        <v>2706</v>
      </c>
      <c r="O805" t="s">
        <v>229</v>
      </c>
      <c r="P805" t="s">
        <v>273</v>
      </c>
      <c r="Q805" t="s">
        <v>2707</v>
      </c>
      <c r="R805" s="13">
        <v>12.96</v>
      </c>
      <c r="S805">
        <v>2</v>
      </c>
      <c r="T805" s="14">
        <v>0</v>
      </c>
      <c r="U805" s="13">
        <v>6.2207999999999997</v>
      </c>
    </row>
    <row r="806" spans="1:21" ht="15" customHeight="1" x14ac:dyDescent="0.3">
      <c r="A806">
        <v>805</v>
      </c>
      <c r="B806" t="s">
        <v>2708</v>
      </c>
      <c r="C806" s="12">
        <v>42847</v>
      </c>
      <c r="D806" s="12">
        <v>42849</v>
      </c>
      <c r="E806" t="s">
        <v>371</v>
      </c>
      <c r="F806" t="s">
        <v>2709</v>
      </c>
      <c r="G806" t="s">
        <v>2710</v>
      </c>
      <c r="H806" t="s">
        <v>209</v>
      </c>
      <c r="I806" t="s">
        <v>210</v>
      </c>
      <c r="J806" t="s">
        <v>310</v>
      </c>
      <c r="K806" t="s">
        <v>226</v>
      </c>
      <c r="L806">
        <v>94122</v>
      </c>
      <c r="M806" t="s">
        <v>227</v>
      </c>
      <c r="N806" t="s">
        <v>2711</v>
      </c>
      <c r="O806" t="s">
        <v>215</v>
      </c>
      <c r="P806" t="s">
        <v>248</v>
      </c>
      <c r="Q806" t="s">
        <v>2712</v>
      </c>
      <c r="R806" s="13">
        <v>18.28</v>
      </c>
      <c r="S806">
        <v>2</v>
      </c>
      <c r="T806" s="14">
        <v>0</v>
      </c>
      <c r="U806" s="13">
        <v>6.2152000000000003</v>
      </c>
    </row>
    <row r="807" spans="1:21" ht="15" customHeight="1" x14ac:dyDescent="0.3">
      <c r="A807">
        <v>806</v>
      </c>
      <c r="B807" t="s">
        <v>2713</v>
      </c>
      <c r="C807" s="12">
        <v>41944</v>
      </c>
      <c r="D807" s="12">
        <v>41950</v>
      </c>
      <c r="E807" t="s">
        <v>233</v>
      </c>
      <c r="F807" t="s">
        <v>1516</v>
      </c>
      <c r="G807" t="s">
        <v>1517</v>
      </c>
      <c r="H807" t="s">
        <v>209</v>
      </c>
      <c r="I807" t="s">
        <v>210</v>
      </c>
      <c r="J807" t="s">
        <v>992</v>
      </c>
      <c r="K807" t="s">
        <v>640</v>
      </c>
      <c r="L807">
        <v>80219</v>
      </c>
      <c r="M807" t="s">
        <v>227</v>
      </c>
      <c r="N807" t="s">
        <v>2714</v>
      </c>
      <c r="O807" t="s">
        <v>229</v>
      </c>
      <c r="P807" t="s">
        <v>251</v>
      </c>
      <c r="Q807" t="s">
        <v>2715</v>
      </c>
      <c r="R807" s="13">
        <v>43.176000000000002</v>
      </c>
      <c r="S807">
        <v>3</v>
      </c>
      <c r="T807" s="14">
        <v>0.2</v>
      </c>
      <c r="U807" s="13">
        <v>4.3175999999999997</v>
      </c>
    </row>
    <row r="808" spans="1:21" ht="15" customHeight="1" x14ac:dyDescent="0.3">
      <c r="A808">
        <v>807</v>
      </c>
      <c r="B808" t="s">
        <v>2713</v>
      </c>
      <c r="C808" s="12">
        <v>41944</v>
      </c>
      <c r="D808" s="12">
        <v>41950</v>
      </c>
      <c r="E808" t="s">
        <v>233</v>
      </c>
      <c r="F808" t="s">
        <v>1516</v>
      </c>
      <c r="G808" t="s">
        <v>1517</v>
      </c>
      <c r="H808" t="s">
        <v>209</v>
      </c>
      <c r="I808" t="s">
        <v>210</v>
      </c>
      <c r="J808" t="s">
        <v>992</v>
      </c>
      <c r="K808" t="s">
        <v>640</v>
      </c>
      <c r="L808">
        <v>80219</v>
      </c>
      <c r="M808" t="s">
        <v>227</v>
      </c>
      <c r="N808" t="s">
        <v>2716</v>
      </c>
      <c r="O808" t="s">
        <v>254</v>
      </c>
      <c r="P808" t="s">
        <v>255</v>
      </c>
      <c r="Q808" t="s">
        <v>2717</v>
      </c>
      <c r="R808" s="13">
        <v>1983.9680000000001</v>
      </c>
      <c r="S808">
        <v>4</v>
      </c>
      <c r="T808" s="14">
        <v>0.2</v>
      </c>
      <c r="U808" s="13">
        <v>247.99600000000001</v>
      </c>
    </row>
    <row r="809" spans="1:21" ht="15" customHeight="1" x14ac:dyDescent="0.3">
      <c r="A809">
        <v>808</v>
      </c>
      <c r="B809" t="s">
        <v>2718</v>
      </c>
      <c r="C809" s="12">
        <v>42038</v>
      </c>
      <c r="D809" s="12">
        <v>42040</v>
      </c>
      <c r="E809" t="s">
        <v>371</v>
      </c>
      <c r="F809" t="s">
        <v>2009</v>
      </c>
      <c r="G809" t="s">
        <v>2010</v>
      </c>
      <c r="H809" t="s">
        <v>209</v>
      </c>
      <c r="I809" t="s">
        <v>210</v>
      </c>
      <c r="J809" t="s">
        <v>2719</v>
      </c>
      <c r="K809" t="s">
        <v>321</v>
      </c>
      <c r="L809">
        <v>68104</v>
      </c>
      <c r="M809" t="s">
        <v>288</v>
      </c>
      <c r="N809" t="s">
        <v>1680</v>
      </c>
      <c r="O809" t="s">
        <v>215</v>
      </c>
      <c r="P809" t="s">
        <v>248</v>
      </c>
      <c r="Q809" t="s">
        <v>1681</v>
      </c>
      <c r="R809" s="13">
        <v>28.4</v>
      </c>
      <c r="S809">
        <v>2</v>
      </c>
      <c r="T809" s="14">
        <v>0</v>
      </c>
      <c r="U809" s="13">
        <v>11.076000000000001</v>
      </c>
    </row>
    <row r="810" spans="1:21" ht="15" customHeight="1" x14ac:dyDescent="0.3">
      <c r="A810">
        <v>809</v>
      </c>
      <c r="B810" t="s">
        <v>2718</v>
      </c>
      <c r="C810" s="12">
        <v>42038</v>
      </c>
      <c r="D810" s="12">
        <v>42040</v>
      </c>
      <c r="E810" t="s">
        <v>371</v>
      </c>
      <c r="F810" t="s">
        <v>2009</v>
      </c>
      <c r="G810" t="s">
        <v>2010</v>
      </c>
      <c r="H810" t="s">
        <v>209</v>
      </c>
      <c r="I810" t="s">
        <v>210</v>
      </c>
      <c r="J810" t="s">
        <v>2719</v>
      </c>
      <c r="K810" t="s">
        <v>321</v>
      </c>
      <c r="L810">
        <v>68104</v>
      </c>
      <c r="M810" t="s">
        <v>288</v>
      </c>
      <c r="N810" t="s">
        <v>2720</v>
      </c>
      <c r="O810" t="s">
        <v>254</v>
      </c>
      <c r="P810" t="s">
        <v>344</v>
      </c>
      <c r="Q810" t="s">
        <v>2721</v>
      </c>
      <c r="R810" s="13">
        <v>149.97</v>
      </c>
      <c r="S810">
        <v>3</v>
      </c>
      <c r="T810" s="14">
        <v>0</v>
      </c>
      <c r="U810" s="13">
        <v>50.989800000000002</v>
      </c>
    </row>
    <row r="811" spans="1:21" ht="15" customHeight="1" x14ac:dyDescent="0.3">
      <c r="A811">
        <v>810</v>
      </c>
      <c r="B811" t="s">
        <v>2722</v>
      </c>
      <c r="C811" s="12">
        <v>41925</v>
      </c>
      <c r="D811" s="12">
        <v>41927</v>
      </c>
      <c r="E811" t="s">
        <v>371</v>
      </c>
      <c r="F811" t="s">
        <v>2162</v>
      </c>
      <c r="G811" t="s">
        <v>2163</v>
      </c>
      <c r="H811" t="s">
        <v>209</v>
      </c>
      <c r="I811" t="s">
        <v>210</v>
      </c>
      <c r="J811" t="s">
        <v>2723</v>
      </c>
      <c r="K811" t="s">
        <v>279</v>
      </c>
      <c r="L811">
        <v>98026</v>
      </c>
      <c r="M811" t="s">
        <v>227</v>
      </c>
      <c r="N811" t="s">
        <v>2724</v>
      </c>
      <c r="O811" t="s">
        <v>229</v>
      </c>
      <c r="P811" t="s">
        <v>251</v>
      </c>
      <c r="Q811" t="s">
        <v>2725</v>
      </c>
      <c r="R811" s="13">
        <v>11.52</v>
      </c>
      <c r="S811">
        <v>4</v>
      </c>
      <c r="T811" s="14">
        <v>0</v>
      </c>
      <c r="U811" s="13">
        <v>3.2256</v>
      </c>
    </row>
    <row r="812" spans="1:21" ht="15" customHeight="1" x14ac:dyDescent="0.3">
      <c r="A812">
        <v>811</v>
      </c>
      <c r="B812" t="s">
        <v>2722</v>
      </c>
      <c r="C812" s="12">
        <v>41925</v>
      </c>
      <c r="D812" s="12">
        <v>41927</v>
      </c>
      <c r="E812" t="s">
        <v>371</v>
      </c>
      <c r="F812" t="s">
        <v>2162</v>
      </c>
      <c r="G812" t="s">
        <v>2163</v>
      </c>
      <c r="H812" t="s">
        <v>209</v>
      </c>
      <c r="I812" t="s">
        <v>210</v>
      </c>
      <c r="J812" t="s">
        <v>2723</v>
      </c>
      <c r="K812" t="s">
        <v>279</v>
      </c>
      <c r="L812">
        <v>98026</v>
      </c>
      <c r="M812" t="s">
        <v>227</v>
      </c>
      <c r="N812" t="s">
        <v>1237</v>
      </c>
      <c r="O812" t="s">
        <v>215</v>
      </c>
      <c r="P812" t="s">
        <v>239</v>
      </c>
      <c r="Q812" t="s">
        <v>1238</v>
      </c>
      <c r="R812" s="13">
        <v>1298.55</v>
      </c>
      <c r="S812">
        <v>5</v>
      </c>
      <c r="T812" s="14">
        <v>0</v>
      </c>
      <c r="U812" s="13">
        <v>311.65199999999999</v>
      </c>
    </row>
    <row r="813" spans="1:21" ht="15" customHeight="1" x14ac:dyDescent="0.3">
      <c r="A813">
        <v>812</v>
      </c>
      <c r="B813" t="s">
        <v>2722</v>
      </c>
      <c r="C813" s="12">
        <v>41925</v>
      </c>
      <c r="D813" s="12">
        <v>41927</v>
      </c>
      <c r="E813" t="s">
        <v>371</v>
      </c>
      <c r="F813" t="s">
        <v>2162</v>
      </c>
      <c r="G813" t="s">
        <v>2163</v>
      </c>
      <c r="H813" t="s">
        <v>209</v>
      </c>
      <c r="I813" t="s">
        <v>210</v>
      </c>
      <c r="J813" t="s">
        <v>2723</v>
      </c>
      <c r="K813" t="s">
        <v>279</v>
      </c>
      <c r="L813">
        <v>98026</v>
      </c>
      <c r="M813" t="s">
        <v>227</v>
      </c>
      <c r="N813" t="s">
        <v>2726</v>
      </c>
      <c r="O813" t="s">
        <v>229</v>
      </c>
      <c r="P813" t="s">
        <v>261</v>
      </c>
      <c r="Q813" t="s">
        <v>2727</v>
      </c>
      <c r="R813" s="13">
        <v>213.92</v>
      </c>
      <c r="S813">
        <v>4</v>
      </c>
      <c r="T813" s="14">
        <v>0</v>
      </c>
      <c r="U813" s="13">
        <v>62.036799999999999</v>
      </c>
    </row>
    <row r="814" spans="1:21" ht="15" customHeight="1" x14ac:dyDescent="0.3">
      <c r="A814">
        <v>813</v>
      </c>
      <c r="B814" t="s">
        <v>2722</v>
      </c>
      <c r="C814" s="12">
        <v>41925</v>
      </c>
      <c r="D814" s="12">
        <v>41927</v>
      </c>
      <c r="E814" t="s">
        <v>371</v>
      </c>
      <c r="F814" t="s">
        <v>2162</v>
      </c>
      <c r="G814" t="s">
        <v>2163</v>
      </c>
      <c r="H814" t="s">
        <v>209</v>
      </c>
      <c r="I814" t="s">
        <v>210</v>
      </c>
      <c r="J814" t="s">
        <v>2723</v>
      </c>
      <c r="K814" t="s">
        <v>279</v>
      </c>
      <c r="L814">
        <v>98026</v>
      </c>
      <c r="M814" t="s">
        <v>227</v>
      </c>
      <c r="N814" t="s">
        <v>2337</v>
      </c>
      <c r="O814" t="s">
        <v>254</v>
      </c>
      <c r="P814" t="s">
        <v>344</v>
      </c>
      <c r="Q814" t="s">
        <v>2338</v>
      </c>
      <c r="R814" s="13">
        <v>25.78</v>
      </c>
      <c r="S814">
        <v>2</v>
      </c>
      <c r="T814" s="14">
        <v>0</v>
      </c>
      <c r="U814" s="13">
        <v>2.5779999999999998</v>
      </c>
    </row>
    <row r="815" spans="1:21" ht="15" customHeight="1" x14ac:dyDescent="0.3">
      <c r="A815">
        <v>814</v>
      </c>
      <c r="B815" t="s">
        <v>2728</v>
      </c>
      <c r="C815" s="12">
        <v>42869</v>
      </c>
      <c r="D815" s="12">
        <v>42869</v>
      </c>
      <c r="E815" t="s">
        <v>1476</v>
      </c>
      <c r="F815" t="s">
        <v>2729</v>
      </c>
      <c r="G815" t="s">
        <v>2730</v>
      </c>
      <c r="H815" t="s">
        <v>209</v>
      </c>
      <c r="I815" t="s">
        <v>210</v>
      </c>
      <c r="J815" t="s">
        <v>2731</v>
      </c>
      <c r="K815" t="s">
        <v>226</v>
      </c>
      <c r="L815">
        <v>92704</v>
      </c>
      <c r="M815" t="s">
        <v>227</v>
      </c>
      <c r="N815" t="s">
        <v>2711</v>
      </c>
      <c r="O815" t="s">
        <v>215</v>
      </c>
      <c r="P815" t="s">
        <v>248</v>
      </c>
      <c r="Q815" t="s">
        <v>2712</v>
      </c>
      <c r="R815" s="13">
        <v>18.28</v>
      </c>
      <c r="S815">
        <v>2</v>
      </c>
      <c r="T815" s="14">
        <v>0</v>
      </c>
      <c r="U815" s="13">
        <v>6.2152000000000003</v>
      </c>
    </row>
    <row r="816" spans="1:21" ht="15" customHeight="1" x14ac:dyDescent="0.3">
      <c r="A816">
        <v>815</v>
      </c>
      <c r="B816" t="s">
        <v>2728</v>
      </c>
      <c r="C816" s="12">
        <v>42869</v>
      </c>
      <c r="D816" s="12">
        <v>42869</v>
      </c>
      <c r="E816" t="s">
        <v>1476</v>
      </c>
      <c r="F816" t="s">
        <v>2729</v>
      </c>
      <c r="G816" t="s">
        <v>2730</v>
      </c>
      <c r="H816" t="s">
        <v>209</v>
      </c>
      <c r="I816" t="s">
        <v>210</v>
      </c>
      <c r="J816" t="s">
        <v>2731</v>
      </c>
      <c r="K816" t="s">
        <v>226</v>
      </c>
      <c r="L816">
        <v>92704</v>
      </c>
      <c r="M816" t="s">
        <v>227</v>
      </c>
      <c r="N816" t="s">
        <v>2732</v>
      </c>
      <c r="O816" t="s">
        <v>254</v>
      </c>
      <c r="P816" t="s">
        <v>344</v>
      </c>
      <c r="Q816" t="s">
        <v>2733</v>
      </c>
      <c r="R816" s="13">
        <v>1399.93</v>
      </c>
      <c r="S816">
        <v>7</v>
      </c>
      <c r="T816" s="14">
        <v>0</v>
      </c>
      <c r="U816" s="13">
        <v>601.96990000000005</v>
      </c>
    </row>
    <row r="817" spans="1:21" ht="15" customHeight="1" x14ac:dyDescent="0.3">
      <c r="A817">
        <v>816</v>
      </c>
      <c r="B817" t="s">
        <v>2734</v>
      </c>
      <c r="C817" s="12">
        <v>42083</v>
      </c>
      <c r="D817" s="12">
        <v>42086</v>
      </c>
      <c r="E817" t="s">
        <v>371</v>
      </c>
      <c r="F817" t="s">
        <v>2735</v>
      </c>
      <c r="G817" t="s">
        <v>2736</v>
      </c>
      <c r="H817" t="s">
        <v>224</v>
      </c>
      <c r="I817" t="s">
        <v>210</v>
      </c>
      <c r="J817" t="s">
        <v>2737</v>
      </c>
      <c r="K817" t="s">
        <v>297</v>
      </c>
      <c r="L817">
        <v>53209</v>
      </c>
      <c r="M817" t="s">
        <v>288</v>
      </c>
      <c r="N817" t="s">
        <v>953</v>
      </c>
      <c r="O817" t="s">
        <v>229</v>
      </c>
      <c r="P817" t="s">
        <v>273</v>
      </c>
      <c r="Q817" t="s">
        <v>954</v>
      </c>
      <c r="R817" s="13">
        <v>51.84</v>
      </c>
      <c r="S817">
        <v>8</v>
      </c>
      <c r="T817" s="14">
        <v>0</v>
      </c>
      <c r="U817" s="13">
        <v>24.883199999999999</v>
      </c>
    </row>
    <row r="818" spans="1:21" ht="15" customHeight="1" x14ac:dyDescent="0.3">
      <c r="A818">
        <v>817</v>
      </c>
      <c r="B818" t="s">
        <v>2738</v>
      </c>
      <c r="C818" s="12">
        <v>42628</v>
      </c>
      <c r="D818" s="12">
        <v>42632</v>
      </c>
      <c r="E818" t="s">
        <v>233</v>
      </c>
      <c r="F818" t="s">
        <v>1960</v>
      </c>
      <c r="G818" t="s">
        <v>1961</v>
      </c>
      <c r="H818" t="s">
        <v>209</v>
      </c>
      <c r="I818" t="s">
        <v>210</v>
      </c>
      <c r="J818" t="s">
        <v>329</v>
      </c>
      <c r="K818" t="s">
        <v>330</v>
      </c>
      <c r="L818">
        <v>19140</v>
      </c>
      <c r="M818" t="s">
        <v>331</v>
      </c>
      <c r="N818" t="s">
        <v>2739</v>
      </c>
      <c r="O818" t="s">
        <v>229</v>
      </c>
      <c r="P818" t="s">
        <v>273</v>
      </c>
      <c r="Q818" t="s">
        <v>2740</v>
      </c>
      <c r="R818" s="13">
        <v>5.3440000000000003</v>
      </c>
      <c r="S818">
        <v>1</v>
      </c>
      <c r="T818" s="14">
        <v>0.2</v>
      </c>
      <c r="U818" s="13">
        <v>1.8704000000000001</v>
      </c>
    </row>
    <row r="819" spans="1:21" ht="15" customHeight="1" x14ac:dyDescent="0.3">
      <c r="A819">
        <v>818</v>
      </c>
      <c r="B819" t="s">
        <v>2741</v>
      </c>
      <c r="C819" s="12">
        <v>41818</v>
      </c>
      <c r="D819" s="12">
        <v>41822</v>
      </c>
      <c r="E819" t="s">
        <v>233</v>
      </c>
      <c r="F819" t="s">
        <v>2094</v>
      </c>
      <c r="G819" t="s">
        <v>2095</v>
      </c>
      <c r="H819" t="s">
        <v>209</v>
      </c>
      <c r="I819" t="s">
        <v>210</v>
      </c>
      <c r="J819" t="s">
        <v>329</v>
      </c>
      <c r="K819" t="s">
        <v>330</v>
      </c>
      <c r="L819">
        <v>19140</v>
      </c>
      <c r="M819" t="s">
        <v>331</v>
      </c>
      <c r="N819" t="s">
        <v>587</v>
      </c>
      <c r="O819" t="s">
        <v>229</v>
      </c>
      <c r="P819" t="s">
        <v>273</v>
      </c>
      <c r="Q819" t="s">
        <v>588</v>
      </c>
      <c r="R819" s="13">
        <v>41.472000000000001</v>
      </c>
      <c r="S819">
        <v>8</v>
      </c>
      <c r="T819" s="14">
        <v>0.2</v>
      </c>
      <c r="U819" s="13">
        <v>14.5152</v>
      </c>
    </row>
    <row r="820" spans="1:21" ht="15" customHeight="1" x14ac:dyDescent="0.3">
      <c r="A820">
        <v>819</v>
      </c>
      <c r="B820" t="s">
        <v>2741</v>
      </c>
      <c r="C820" s="12">
        <v>41818</v>
      </c>
      <c r="D820" s="12">
        <v>41822</v>
      </c>
      <c r="E820" t="s">
        <v>233</v>
      </c>
      <c r="F820" t="s">
        <v>2094</v>
      </c>
      <c r="G820" t="s">
        <v>2095</v>
      </c>
      <c r="H820" t="s">
        <v>209</v>
      </c>
      <c r="I820" t="s">
        <v>210</v>
      </c>
      <c r="J820" t="s">
        <v>329</v>
      </c>
      <c r="K820" t="s">
        <v>330</v>
      </c>
      <c r="L820">
        <v>19140</v>
      </c>
      <c r="M820" t="s">
        <v>331</v>
      </c>
      <c r="N820" t="s">
        <v>2742</v>
      </c>
      <c r="O820" t="s">
        <v>229</v>
      </c>
      <c r="P820" t="s">
        <v>258</v>
      </c>
      <c r="Q820" t="s">
        <v>2743</v>
      </c>
      <c r="R820" s="13">
        <v>3.1680000000000001</v>
      </c>
      <c r="S820">
        <v>3</v>
      </c>
      <c r="T820" s="14">
        <v>0.7</v>
      </c>
      <c r="U820" s="13">
        <v>-2.4287999999999998</v>
      </c>
    </row>
    <row r="821" spans="1:21" ht="15" customHeight="1" x14ac:dyDescent="0.3">
      <c r="A821">
        <v>820</v>
      </c>
      <c r="B821" t="s">
        <v>2741</v>
      </c>
      <c r="C821" s="12">
        <v>41818</v>
      </c>
      <c r="D821" s="12">
        <v>41822</v>
      </c>
      <c r="E821" t="s">
        <v>233</v>
      </c>
      <c r="F821" t="s">
        <v>2094</v>
      </c>
      <c r="G821" t="s">
        <v>2095</v>
      </c>
      <c r="H821" t="s">
        <v>209</v>
      </c>
      <c r="I821" t="s">
        <v>210</v>
      </c>
      <c r="J821" t="s">
        <v>329</v>
      </c>
      <c r="K821" t="s">
        <v>330</v>
      </c>
      <c r="L821">
        <v>19140</v>
      </c>
      <c r="M821" t="s">
        <v>331</v>
      </c>
      <c r="N821" t="s">
        <v>2744</v>
      </c>
      <c r="O821" t="s">
        <v>215</v>
      </c>
      <c r="P821" t="s">
        <v>219</v>
      </c>
      <c r="Q821" t="s">
        <v>2745</v>
      </c>
      <c r="R821" s="13">
        <v>1228.4649999999999</v>
      </c>
      <c r="S821">
        <v>5</v>
      </c>
      <c r="T821" s="14">
        <v>0.3</v>
      </c>
      <c r="U821" s="13">
        <v>0</v>
      </c>
    </row>
    <row r="822" spans="1:21" ht="15" customHeight="1" x14ac:dyDescent="0.3">
      <c r="A822">
        <v>821</v>
      </c>
      <c r="B822" t="s">
        <v>2741</v>
      </c>
      <c r="C822" s="12">
        <v>41818</v>
      </c>
      <c r="D822" s="12">
        <v>41822</v>
      </c>
      <c r="E822" t="s">
        <v>233</v>
      </c>
      <c r="F822" t="s">
        <v>2094</v>
      </c>
      <c r="G822" t="s">
        <v>2095</v>
      </c>
      <c r="H822" t="s">
        <v>209</v>
      </c>
      <c r="I822" t="s">
        <v>210</v>
      </c>
      <c r="J822" t="s">
        <v>329</v>
      </c>
      <c r="K822" t="s">
        <v>330</v>
      </c>
      <c r="L822">
        <v>19140</v>
      </c>
      <c r="M822" t="s">
        <v>331</v>
      </c>
      <c r="N822" t="s">
        <v>2746</v>
      </c>
      <c r="O822" t="s">
        <v>229</v>
      </c>
      <c r="P822" t="s">
        <v>258</v>
      </c>
      <c r="Q822" t="s">
        <v>2747</v>
      </c>
      <c r="R822" s="13">
        <v>31.085999999999999</v>
      </c>
      <c r="S822">
        <v>3</v>
      </c>
      <c r="T822" s="14">
        <v>0.7</v>
      </c>
      <c r="U822" s="13">
        <v>-22.796399999999998</v>
      </c>
    </row>
    <row r="823" spans="1:21" ht="15" customHeight="1" x14ac:dyDescent="0.3">
      <c r="A823">
        <v>822</v>
      </c>
      <c r="B823" t="s">
        <v>2741</v>
      </c>
      <c r="C823" s="12">
        <v>41818</v>
      </c>
      <c r="D823" s="12">
        <v>41822</v>
      </c>
      <c r="E823" t="s">
        <v>233</v>
      </c>
      <c r="F823" t="s">
        <v>2094</v>
      </c>
      <c r="G823" t="s">
        <v>2095</v>
      </c>
      <c r="H823" t="s">
        <v>209</v>
      </c>
      <c r="I823" t="s">
        <v>210</v>
      </c>
      <c r="J823" t="s">
        <v>329</v>
      </c>
      <c r="K823" t="s">
        <v>330</v>
      </c>
      <c r="L823">
        <v>19140</v>
      </c>
      <c r="M823" t="s">
        <v>331</v>
      </c>
      <c r="N823" t="s">
        <v>2748</v>
      </c>
      <c r="O823" t="s">
        <v>229</v>
      </c>
      <c r="P823" t="s">
        <v>273</v>
      </c>
      <c r="Q823" t="s">
        <v>2749</v>
      </c>
      <c r="R823" s="13">
        <v>335.52</v>
      </c>
      <c r="S823">
        <v>4</v>
      </c>
      <c r="T823" s="14">
        <v>0.2</v>
      </c>
      <c r="U823" s="13">
        <v>117.432</v>
      </c>
    </row>
    <row r="824" spans="1:21" ht="15" customHeight="1" x14ac:dyDescent="0.3">
      <c r="A824">
        <v>823</v>
      </c>
      <c r="B824" t="s">
        <v>2750</v>
      </c>
      <c r="C824" s="12">
        <v>42906</v>
      </c>
      <c r="D824" s="12">
        <v>42913</v>
      </c>
      <c r="E824" t="s">
        <v>233</v>
      </c>
      <c r="F824" t="s">
        <v>2751</v>
      </c>
      <c r="G824" t="s">
        <v>2752</v>
      </c>
      <c r="H824" t="s">
        <v>209</v>
      </c>
      <c r="I824" t="s">
        <v>210</v>
      </c>
      <c r="J824" t="s">
        <v>1279</v>
      </c>
      <c r="K824" t="s">
        <v>973</v>
      </c>
      <c r="L824">
        <v>7109</v>
      </c>
      <c r="M824" t="s">
        <v>331</v>
      </c>
      <c r="N824" t="s">
        <v>2753</v>
      </c>
      <c r="O824" t="s">
        <v>254</v>
      </c>
      <c r="P824" t="s">
        <v>344</v>
      </c>
      <c r="Q824" t="s">
        <v>2754</v>
      </c>
      <c r="R824" s="13">
        <v>239.97</v>
      </c>
      <c r="S824">
        <v>3</v>
      </c>
      <c r="T824" s="14">
        <v>0</v>
      </c>
      <c r="U824" s="13">
        <v>71.991</v>
      </c>
    </row>
    <row r="825" spans="1:21" ht="15" customHeight="1" x14ac:dyDescent="0.3">
      <c r="A825">
        <v>824</v>
      </c>
      <c r="B825" t="s">
        <v>2750</v>
      </c>
      <c r="C825" s="12">
        <v>42906</v>
      </c>
      <c r="D825" s="12">
        <v>42913</v>
      </c>
      <c r="E825" t="s">
        <v>233</v>
      </c>
      <c r="F825" t="s">
        <v>2751</v>
      </c>
      <c r="G825" t="s">
        <v>2752</v>
      </c>
      <c r="H825" t="s">
        <v>209</v>
      </c>
      <c r="I825" t="s">
        <v>210</v>
      </c>
      <c r="J825" t="s">
        <v>1279</v>
      </c>
      <c r="K825" t="s">
        <v>973</v>
      </c>
      <c r="L825">
        <v>7109</v>
      </c>
      <c r="M825" t="s">
        <v>331</v>
      </c>
      <c r="N825" t="s">
        <v>2553</v>
      </c>
      <c r="O825" t="s">
        <v>229</v>
      </c>
      <c r="P825" t="s">
        <v>230</v>
      </c>
      <c r="Q825" t="s">
        <v>2554</v>
      </c>
      <c r="R825" s="13">
        <v>9.82</v>
      </c>
      <c r="S825">
        <v>2</v>
      </c>
      <c r="T825" s="14">
        <v>0</v>
      </c>
      <c r="U825" s="13">
        <v>4.8117999999999999</v>
      </c>
    </row>
    <row r="826" spans="1:21" ht="15" customHeight="1" x14ac:dyDescent="0.3">
      <c r="A826">
        <v>825</v>
      </c>
      <c r="B826" t="s">
        <v>2755</v>
      </c>
      <c r="C826" s="12">
        <v>41768</v>
      </c>
      <c r="D826" s="12">
        <v>41774</v>
      </c>
      <c r="E826" t="s">
        <v>233</v>
      </c>
      <c r="F826" t="s">
        <v>2756</v>
      </c>
      <c r="G826" t="s">
        <v>2757</v>
      </c>
      <c r="H826" t="s">
        <v>209</v>
      </c>
      <c r="I826" t="s">
        <v>210</v>
      </c>
      <c r="J826" t="s">
        <v>310</v>
      </c>
      <c r="K826" t="s">
        <v>226</v>
      </c>
      <c r="L826">
        <v>94110</v>
      </c>
      <c r="M826" t="s">
        <v>227</v>
      </c>
      <c r="N826" t="s">
        <v>2758</v>
      </c>
      <c r="O826" t="s">
        <v>254</v>
      </c>
      <c r="P826" t="s">
        <v>344</v>
      </c>
      <c r="Q826" t="s">
        <v>2759</v>
      </c>
      <c r="R826" s="13">
        <v>67.8</v>
      </c>
      <c r="S826">
        <v>4</v>
      </c>
      <c r="T826" s="14">
        <v>0</v>
      </c>
      <c r="U826" s="13">
        <v>4.0679999999999996</v>
      </c>
    </row>
    <row r="827" spans="1:21" ht="15" customHeight="1" x14ac:dyDescent="0.3">
      <c r="A827">
        <v>826</v>
      </c>
      <c r="B827" t="s">
        <v>2755</v>
      </c>
      <c r="C827" s="12">
        <v>41768</v>
      </c>
      <c r="D827" s="12">
        <v>41774</v>
      </c>
      <c r="E827" t="s">
        <v>233</v>
      </c>
      <c r="F827" t="s">
        <v>2756</v>
      </c>
      <c r="G827" t="s">
        <v>2757</v>
      </c>
      <c r="H827" t="s">
        <v>209</v>
      </c>
      <c r="I827" t="s">
        <v>210</v>
      </c>
      <c r="J827" t="s">
        <v>310</v>
      </c>
      <c r="K827" t="s">
        <v>226</v>
      </c>
      <c r="L827">
        <v>94110</v>
      </c>
      <c r="M827" t="s">
        <v>227</v>
      </c>
      <c r="N827" t="s">
        <v>1041</v>
      </c>
      <c r="O827" t="s">
        <v>254</v>
      </c>
      <c r="P827" t="s">
        <v>344</v>
      </c>
      <c r="Q827" t="s">
        <v>1042</v>
      </c>
      <c r="R827" s="13">
        <v>167.97</v>
      </c>
      <c r="S827">
        <v>3</v>
      </c>
      <c r="T827" s="14">
        <v>0</v>
      </c>
      <c r="U827" s="13">
        <v>40.312800000000003</v>
      </c>
    </row>
    <row r="828" spans="1:21" ht="15" customHeight="1" x14ac:dyDescent="0.3">
      <c r="A828">
        <v>827</v>
      </c>
      <c r="B828" t="s">
        <v>2760</v>
      </c>
      <c r="C828" s="12">
        <v>42968</v>
      </c>
      <c r="D828" s="12">
        <v>42975</v>
      </c>
      <c r="E828" t="s">
        <v>233</v>
      </c>
      <c r="F828" t="s">
        <v>2066</v>
      </c>
      <c r="G828" t="s">
        <v>2067</v>
      </c>
      <c r="H828" t="s">
        <v>209</v>
      </c>
      <c r="I828" t="s">
        <v>210</v>
      </c>
      <c r="J828" t="s">
        <v>1118</v>
      </c>
      <c r="K828" t="s">
        <v>412</v>
      </c>
      <c r="L828">
        <v>55044</v>
      </c>
      <c r="M828" t="s">
        <v>288</v>
      </c>
      <c r="N828" t="s">
        <v>2761</v>
      </c>
      <c r="O828" t="s">
        <v>229</v>
      </c>
      <c r="P828" t="s">
        <v>452</v>
      </c>
      <c r="Q828" t="s">
        <v>2762</v>
      </c>
      <c r="R828" s="13">
        <v>35</v>
      </c>
      <c r="S828">
        <v>7</v>
      </c>
      <c r="T828" s="14">
        <v>0</v>
      </c>
      <c r="U828" s="13">
        <v>16.8</v>
      </c>
    </row>
    <row r="829" spans="1:21" ht="15" customHeight="1" x14ac:dyDescent="0.3">
      <c r="A829">
        <v>828</v>
      </c>
      <c r="B829" t="s">
        <v>2760</v>
      </c>
      <c r="C829" s="12">
        <v>42968</v>
      </c>
      <c r="D829" s="12">
        <v>42975</v>
      </c>
      <c r="E829" t="s">
        <v>233</v>
      </c>
      <c r="F829" t="s">
        <v>2066</v>
      </c>
      <c r="G829" t="s">
        <v>2067</v>
      </c>
      <c r="H829" t="s">
        <v>209</v>
      </c>
      <c r="I829" t="s">
        <v>210</v>
      </c>
      <c r="J829" t="s">
        <v>1118</v>
      </c>
      <c r="K829" t="s">
        <v>412</v>
      </c>
      <c r="L829">
        <v>55044</v>
      </c>
      <c r="M829" t="s">
        <v>288</v>
      </c>
      <c r="N829" t="s">
        <v>2763</v>
      </c>
      <c r="O829" t="s">
        <v>229</v>
      </c>
      <c r="P829" t="s">
        <v>762</v>
      </c>
      <c r="Q829" t="s">
        <v>2764</v>
      </c>
      <c r="R829" s="13">
        <v>37.24</v>
      </c>
      <c r="S829">
        <v>4</v>
      </c>
      <c r="T829" s="14">
        <v>0</v>
      </c>
      <c r="U829" s="13">
        <v>10.7996</v>
      </c>
    </row>
    <row r="830" spans="1:21" ht="15" customHeight="1" x14ac:dyDescent="0.3">
      <c r="A830">
        <v>829</v>
      </c>
      <c r="B830" t="s">
        <v>2760</v>
      </c>
      <c r="C830" s="12">
        <v>42968</v>
      </c>
      <c r="D830" s="12">
        <v>42975</v>
      </c>
      <c r="E830" t="s">
        <v>233</v>
      </c>
      <c r="F830" t="s">
        <v>2066</v>
      </c>
      <c r="G830" t="s">
        <v>2067</v>
      </c>
      <c r="H830" t="s">
        <v>209</v>
      </c>
      <c r="I830" t="s">
        <v>210</v>
      </c>
      <c r="J830" t="s">
        <v>1118</v>
      </c>
      <c r="K830" t="s">
        <v>412</v>
      </c>
      <c r="L830">
        <v>55044</v>
      </c>
      <c r="M830" t="s">
        <v>288</v>
      </c>
      <c r="N830" t="s">
        <v>2765</v>
      </c>
      <c r="O830" t="s">
        <v>229</v>
      </c>
      <c r="P830" t="s">
        <v>356</v>
      </c>
      <c r="Q830" t="s">
        <v>2766</v>
      </c>
      <c r="R830" s="13">
        <v>15.28</v>
      </c>
      <c r="S830">
        <v>2</v>
      </c>
      <c r="T830" s="14">
        <v>0</v>
      </c>
      <c r="U830" s="13">
        <v>7.4871999999999996</v>
      </c>
    </row>
    <row r="831" spans="1:21" ht="15" customHeight="1" x14ac:dyDescent="0.3">
      <c r="A831">
        <v>830</v>
      </c>
      <c r="B831" t="s">
        <v>2767</v>
      </c>
      <c r="C831" s="12">
        <v>42902</v>
      </c>
      <c r="D831" s="12">
        <v>42907</v>
      </c>
      <c r="E831" t="s">
        <v>206</v>
      </c>
      <c r="F831" t="s">
        <v>515</v>
      </c>
      <c r="G831" t="s">
        <v>516</v>
      </c>
      <c r="H831" t="s">
        <v>209</v>
      </c>
      <c r="I831" t="s">
        <v>210</v>
      </c>
      <c r="J831" t="s">
        <v>2768</v>
      </c>
      <c r="K831" t="s">
        <v>212</v>
      </c>
      <c r="L831">
        <v>41042</v>
      </c>
      <c r="M831" t="s">
        <v>213</v>
      </c>
      <c r="N831" t="s">
        <v>2769</v>
      </c>
      <c r="O831" t="s">
        <v>215</v>
      </c>
      <c r="P831" t="s">
        <v>219</v>
      </c>
      <c r="Q831" t="s">
        <v>2770</v>
      </c>
      <c r="R831" s="13">
        <v>301.95999999999998</v>
      </c>
      <c r="S831">
        <v>2</v>
      </c>
      <c r="T831" s="14">
        <v>0</v>
      </c>
      <c r="U831" s="13">
        <v>90.587999999999994</v>
      </c>
    </row>
    <row r="832" spans="1:21" ht="15" customHeight="1" x14ac:dyDescent="0.3">
      <c r="A832">
        <v>831</v>
      </c>
      <c r="B832" t="s">
        <v>2767</v>
      </c>
      <c r="C832" s="12">
        <v>42902</v>
      </c>
      <c r="D832" s="12">
        <v>42907</v>
      </c>
      <c r="E832" t="s">
        <v>206</v>
      </c>
      <c r="F832" t="s">
        <v>515</v>
      </c>
      <c r="G832" t="s">
        <v>516</v>
      </c>
      <c r="H832" t="s">
        <v>209</v>
      </c>
      <c r="I832" t="s">
        <v>210</v>
      </c>
      <c r="J832" t="s">
        <v>2768</v>
      </c>
      <c r="K832" t="s">
        <v>212</v>
      </c>
      <c r="L832">
        <v>41042</v>
      </c>
      <c r="M832" t="s">
        <v>213</v>
      </c>
      <c r="N832" t="s">
        <v>2771</v>
      </c>
      <c r="O832" t="s">
        <v>229</v>
      </c>
      <c r="P832" t="s">
        <v>261</v>
      </c>
      <c r="Q832" t="s">
        <v>2772</v>
      </c>
      <c r="R832" s="13">
        <v>180.66</v>
      </c>
      <c r="S832">
        <v>3</v>
      </c>
      <c r="T832" s="14">
        <v>0</v>
      </c>
      <c r="U832" s="13">
        <v>50.584800000000001</v>
      </c>
    </row>
    <row r="833" spans="1:21" ht="15" customHeight="1" x14ac:dyDescent="0.3">
      <c r="A833">
        <v>832</v>
      </c>
      <c r="B833" t="s">
        <v>2767</v>
      </c>
      <c r="C833" s="12">
        <v>42902</v>
      </c>
      <c r="D833" s="12">
        <v>42907</v>
      </c>
      <c r="E833" t="s">
        <v>206</v>
      </c>
      <c r="F833" t="s">
        <v>515</v>
      </c>
      <c r="G833" t="s">
        <v>516</v>
      </c>
      <c r="H833" t="s">
        <v>209</v>
      </c>
      <c r="I833" t="s">
        <v>210</v>
      </c>
      <c r="J833" t="s">
        <v>2768</v>
      </c>
      <c r="K833" t="s">
        <v>212</v>
      </c>
      <c r="L833">
        <v>41042</v>
      </c>
      <c r="M833" t="s">
        <v>213</v>
      </c>
      <c r="N833" t="s">
        <v>2773</v>
      </c>
      <c r="O833" t="s">
        <v>254</v>
      </c>
      <c r="P833" t="s">
        <v>255</v>
      </c>
      <c r="Q833" t="s">
        <v>2774</v>
      </c>
      <c r="R833" s="13">
        <v>191.98</v>
      </c>
      <c r="S833">
        <v>2</v>
      </c>
      <c r="T833" s="14">
        <v>0</v>
      </c>
      <c r="U833" s="13">
        <v>51.834600000000002</v>
      </c>
    </row>
    <row r="834" spans="1:21" ht="15" customHeight="1" x14ac:dyDescent="0.3">
      <c r="A834">
        <v>833</v>
      </c>
      <c r="B834" t="s">
        <v>2767</v>
      </c>
      <c r="C834" s="12">
        <v>42902</v>
      </c>
      <c r="D834" s="12">
        <v>42907</v>
      </c>
      <c r="E834" t="s">
        <v>206</v>
      </c>
      <c r="F834" t="s">
        <v>515</v>
      </c>
      <c r="G834" t="s">
        <v>516</v>
      </c>
      <c r="H834" t="s">
        <v>209</v>
      </c>
      <c r="I834" t="s">
        <v>210</v>
      </c>
      <c r="J834" t="s">
        <v>2768</v>
      </c>
      <c r="K834" t="s">
        <v>212</v>
      </c>
      <c r="L834">
        <v>41042</v>
      </c>
      <c r="M834" t="s">
        <v>213</v>
      </c>
      <c r="N834" t="s">
        <v>2775</v>
      </c>
      <c r="O834" t="s">
        <v>254</v>
      </c>
      <c r="P834" t="s">
        <v>255</v>
      </c>
      <c r="Q834" t="s">
        <v>2776</v>
      </c>
      <c r="R834" s="13">
        <v>65.989999999999995</v>
      </c>
      <c r="S834">
        <v>1</v>
      </c>
      <c r="T834" s="14">
        <v>0</v>
      </c>
      <c r="U834" s="13">
        <v>17.157399999999999</v>
      </c>
    </row>
    <row r="835" spans="1:21" ht="15" customHeight="1" x14ac:dyDescent="0.3">
      <c r="A835">
        <v>834</v>
      </c>
      <c r="B835" t="s">
        <v>2777</v>
      </c>
      <c r="C835" s="12">
        <v>42574</v>
      </c>
      <c r="D835" s="12">
        <v>42578</v>
      </c>
      <c r="E835" t="s">
        <v>233</v>
      </c>
      <c r="F835" t="s">
        <v>889</v>
      </c>
      <c r="G835" t="s">
        <v>890</v>
      </c>
      <c r="H835" t="s">
        <v>224</v>
      </c>
      <c r="I835" t="s">
        <v>210</v>
      </c>
      <c r="J835" t="s">
        <v>1085</v>
      </c>
      <c r="K835" t="s">
        <v>237</v>
      </c>
      <c r="L835">
        <v>33614</v>
      </c>
      <c r="M835" t="s">
        <v>213</v>
      </c>
      <c r="N835" t="s">
        <v>2778</v>
      </c>
      <c r="O835" t="s">
        <v>229</v>
      </c>
      <c r="P835" t="s">
        <v>251</v>
      </c>
      <c r="Q835" t="s">
        <v>2779</v>
      </c>
      <c r="R835" s="13">
        <v>35.216000000000001</v>
      </c>
      <c r="S835">
        <v>2</v>
      </c>
      <c r="T835" s="14">
        <v>0.2</v>
      </c>
      <c r="U835" s="13">
        <v>2.6412</v>
      </c>
    </row>
    <row r="836" spans="1:21" ht="15" customHeight="1" x14ac:dyDescent="0.3">
      <c r="A836">
        <v>835</v>
      </c>
      <c r="B836" t="s">
        <v>2777</v>
      </c>
      <c r="C836" s="12">
        <v>42574</v>
      </c>
      <c r="D836" s="12">
        <v>42578</v>
      </c>
      <c r="E836" t="s">
        <v>233</v>
      </c>
      <c r="F836" t="s">
        <v>889</v>
      </c>
      <c r="G836" t="s">
        <v>890</v>
      </c>
      <c r="H836" t="s">
        <v>224</v>
      </c>
      <c r="I836" t="s">
        <v>210</v>
      </c>
      <c r="J836" t="s">
        <v>1085</v>
      </c>
      <c r="K836" t="s">
        <v>237</v>
      </c>
      <c r="L836">
        <v>33614</v>
      </c>
      <c r="M836" t="s">
        <v>213</v>
      </c>
      <c r="N836" t="s">
        <v>2780</v>
      </c>
      <c r="O836" t="s">
        <v>229</v>
      </c>
      <c r="P836" t="s">
        <v>261</v>
      </c>
      <c r="Q836" t="s">
        <v>2781</v>
      </c>
      <c r="R836" s="13">
        <v>23.696000000000002</v>
      </c>
      <c r="S836">
        <v>2</v>
      </c>
      <c r="T836" s="14">
        <v>0.2</v>
      </c>
      <c r="U836" s="13">
        <v>6.5164</v>
      </c>
    </row>
    <row r="837" spans="1:21" ht="15" customHeight="1" x14ac:dyDescent="0.3">
      <c r="A837">
        <v>836</v>
      </c>
      <c r="B837" t="s">
        <v>2777</v>
      </c>
      <c r="C837" s="12">
        <v>42574</v>
      </c>
      <c r="D837" s="12">
        <v>42578</v>
      </c>
      <c r="E837" t="s">
        <v>233</v>
      </c>
      <c r="F837" t="s">
        <v>889</v>
      </c>
      <c r="G837" t="s">
        <v>890</v>
      </c>
      <c r="H837" t="s">
        <v>224</v>
      </c>
      <c r="I837" t="s">
        <v>210</v>
      </c>
      <c r="J837" t="s">
        <v>1085</v>
      </c>
      <c r="K837" t="s">
        <v>237</v>
      </c>
      <c r="L837">
        <v>33614</v>
      </c>
      <c r="M837" t="s">
        <v>213</v>
      </c>
      <c r="N837" t="s">
        <v>2782</v>
      </c>
      <c r="O837" t="s">
        <v>254</v>
      </c>
      <c r="P837" t="s">
        <v>867</v>
      </c>
      <c r="Q837" t="s">
        <v>2783</v>
      </c>
      <c r="R837" s="13">
        <v>265.47500000000002</v>
      </c>
      <c r="S837">
        <v>1</v>
      </c>
      <c r="T837" s="14">
        <v>0.5</v>
      </c>
      <c r="U837" s="13">
        <v>-111.4995</v>
      </c>
    </row>
    <row r="838" spans="1:21" ht="15" customHeight="1" x14ac:dyDescent="0.3">
      <c r="A838">
        <v>837</v>
      </c>
      <c r="B838" t="s">
        <v>2784</v>
      </c>
      <c r="C838" s="12">
        <v>41890</v>
      </c>
      <c r="D838" s="12">
        <v>41895</v>
      </c>
      <c r="E838" t="s">
        <v>206</v>
      </c>
      <c r="F838" t="s">
        <v>2605</v>
      </c>
      <c r="G838" t="s">
        <v>2606</v>
      </c>
      <c r="H838" t="s">
        <v>209</v>
      </c>
      <c r="I838" t="s">
        <v>210</v>
      </c>
      <c r="J838" t="s">
        <v>2390</v>
      </c>
      <c r="K838" t="s">
        <v>287</v>
      </c>
      <c r="L838">
        <v>75701</v>
      </c>
      <c r="M838" t="s">
        <v>288</v>
      </c>
      <c r="N838" t="s">
        <v>2785</v>
      </c>
      <c r="O838" t="s">
        <v>229</v>
      </c>
      <c r="P838" t="s">
        <v>258</v>
      </c>
      <c r="Q838" t="s">
        <v>2786</v>
      </c>
      <c r="R838" s="13">
        <v>51.183999999999997</v>
      </c>
      <c r="S838">
        <v>4</v>
      </c>
      <c r="T838" s="14">
        <v>0.8</v>
      </c>
      <c r="U838" s="13">
        <v>-79.3352</v>
      </c>
    </row>
    <row r="839" spans="1:21" ht="15" customHeight="1" x14ac:dyDescent="0.3">
      <c r="A839">
        <v>838</v>
      </c>
      <c r="B839" t="s">
        <v>2787</v>
      </c>
      <c r="C839" s="12">
        <v>43043</v>
      </c>
      <c r="D839" s="12">
        <v>43050</v>
      </c>
      <c r="E839" t="s">
        <v>233</v>
      </c>
      <c r="F839" t="s">
        <v>2788</v>
      </c>
      <c r="G839" t="s">
        <v>2789</v>
      </c>
      <c r="H839" t="s">
        <v>285</v>
      </c>
      <c r="I839" t="s">
        <v>210</v>
      </c>
      <c r="J839" t="s">
        <v>565</v>
      </c>
      <c r="K839" t="s">
        <v>518</v>
      </c>
      <c r="L839">
        <v>38401</v>
      </c>
      <c r="M839" t="s">
        <v>213</v>
      </c>
      <c r="N839" t="s">
        <v>2790</v>
      </c>
      <c r="O839" t="s">
        <v>229</v>
      </c>
      <c r="P839" t="s">
        <v>273</v>
      </c>
      <c r="Q839" t="s">
        <v>2791</v>
      </c>
      <c r="R839" s="13">
        <v>9.6639999999999997</v>
      </c>
      <c r="S839">
        <v>2</v>
      </c>
      <c r="T839" s="14">
        <v>0.2</v>
      </c>
      <c r="U839" s="13">
        <v>3.2616000000000001</v>
      </c>
    </row>
    <row r="840" spans="1:21" ht="15" customHeight="1" x14ac:dyDescent="0.3">
      <c r="A840">
        <v>839</v>
      </c>
      <c r="B840" t="s">
        <v>2792</v>
      </c>
      <c r="C840" s="12">
        <v>42436</v>
      </c>
      <c r="D840" s="12">
        <v>42441</v>
      </c>
      <c r="E840" t="s">
        <v>233</v>
      </c>
      <c r="F840" t="s">
        <v>1762</v>
      </c>
      <c r="G840" t="s">
        <v>1763</v>
      </c>
      <c r="H840" t="s">
        <v>224</v>
      </c>
      <c r="I840" t="s">
        <v>210</v>
      </c>
      <c r="J840" t="s">
        <v>286</v>
      </c>
      <c r="K840" t="s">
        <v>287</v>
      </c>
      <c r="L840">
        <v>76106</v>
      </c>
      <c r="M840" t="s">
        <v>288</v>
      </c>
      <c r="N840" t="s">
        <v>1759</v>
      </c>
      <c r="O840" t="s">
        <v>254</v>
      </c>
      <c r="P840" t="s">
        <v>255</v>
      </c>
      <c r="Q840" t="s">
        <v>1760</v>
      </c>
      <c r="R840" s="13">
        <v>21.071999999999999</v>
      </c>
      <c r="S840">
        <v>3</v>
      </c>
      <c r="T840" s="14">
        <v>0.2</v>
      </c>
      <c r="U840" s="13">
        <v>1.5804</v>
      </c>
    </row>
    <row r="841" spans="1:21" ht="15" customHeight="1" x14ac:dyDescent="0.3">
      <c r="A841">
        <v>840</v>
      </c>
      <c r="B841" t="s">
        <v>2793</v>
      </c>
      <c r="C841" s="12">
        <v>42328</v>
      </c>
      <c r="D841" s="12">
        <v>42333</v>
      </c>
      <c r="E841" t="s">
        <v>233</v>
      </c>
      <c r="F841" t="s">
        <v>2794</v>
      </c>
      <c r="G841" t="s">
        <v>2795</v>
      </c>
      <c r="H841" t="s">
        <v>224</v>
      </c>
      <c r="I841" t="s">
        <v>210</v>
      </c>
      <c r="J841" t="s">
        <v>449</v>
      </c>
      <c r="K841" t="s">
        <v>450</v>
      </c>
      <c r="L841">
        <v>10035</v>
      </c>
      <c r="M841" t="s">
        <v>331</v>
      </c>
      <c r="N841" t="s">
        <v>2634</v>
      </c>
      <c r="O841" t="s">
        <v>229</v>
      </c>
      <c r="P841" t="s">
        <v>251</v>
      </c>
      <c r="Q841" t="s">
        <v>2635</v>
      </c>
      <c r="R841" s="13">
        <v>60.45</v>
      </c>
      <c r="S841">
        <v>3</v>
      </c>
      <c r="T841" s="14">
        <v>0</v>
      </c>
      <c r="U841" s="13">
        <v>16.3215</v>
      </c>
    </row>
    <row r="842" spans="1:21" ht="15" customHeight="1" x14ac:dyDescent="0.3">
      <c r="A842">
        <v>841</v>
      </c>
      <c r="B842" t="s">
        <v>2793</v>
      </c>
      <c r="C842" s="12">
        <v>42328</v>
      </c>
      <c r="D842" s="12">
        <v>42333</v>
      </c>
      <c r="E842" t="s">
        <v>233</v>
      </c>
      <c r="F842" t="s">
        <v>2794</v>
      </c>
      <c r="G842" t="s">
        <v>2795</v>
      </c>
      <c r="H842" t="s">
        <v>224</v>
      </c>
      <c r="I842" t="s">
        <v>210</v>
      </c>
      <c r="J842" t="s">
        <v>449</v>
      </c>
      <c r="K842" t="s">
        <v>450</v>
      </c>
      <c r="L842">
        <v>10035</v>
      </c>
      <c r="M842" t="s">
        <v>331</v>
      </c>
      <c r="N842" t="s">
        <v>2796</v>
      </c>
      <c r="O842" t="s">
        <v>229</v>
      </c>
      <c r="P842" t="s">
        <v>251</v>
      </c>
      <c r="Q842" t="s">
        <v>2797</v>
      </c>
      <c r="R842" s="13">
        <v>11.52</v>
      </c>
      <c r="S842">
        <v>4</v>
      </c>
      <c r="T842" s="14">
        <v>0</v>
      </c>
      <c r="U842" s="13">
        <v>3.3408000000000002</v>
      </c>
    </row>
    <row r="843" spans="1:21" ht="15" customHeight="1" x14ac:dyDescent="0.3">
      <c r="A843">
        <v>842</v>
      </c>
      <c r="B843" t="s">
        <v>2793</v>
      </c>
      <c r="C843" s="12">
        <v>42328</v>
      </c>
      <c r="D843" s="12">
        <v>42333</v>
      </c>
      <c r="E843" t="s">
        <v>233</v>
      </c>
      <c r="F843" t="s">
        <v>2794</v>
      </c>
      <c r="G843" t="s">
        <v>2795</v>
      </c>
      <c r="H843" t="s">
        <v>224</v>
      </c>
      <c r="I843" t="s">
        <v>210</v>
      </c>
      <c r="J843" t="s">
        <v>449</v>
      </c>
      <c r="K843" t="s">
        <v>450</v>
      </c>
      <c r="L843">
        <v>10035</v>
      </c>
      <c r="M843" t="s">
        <v>331</v>
      </c>
      <c r="N843" t="s">
        <v>2798</v>
      </c>
      <c r="O843" t="s">
        <v>215</v>
      </c>
      <c r="P843" t="s">
        <v>216</v>
      </c>
      <c r="Q843" t="s">
        <v>2799</v>
      </c>
      <c r="R843" s="13">
        <v>186.048</v>
      </c>
      <c r="S843">
        <v>4</v>
      </c>
      <c r="T843" s="14">
        <v>0.2</v>
      </c>
      <c r="U843" s="13">
        <v>9.3024000000000093</v>
      </c>
    </row>
    <row r="844" spans="1:21" ht="15" customHeight="1" x14ac:dyDescent="0.3">
      <c r="A844">
        <v>843</v>
      </c>
      <c r="B844" t="s">
        <v>2800</v>
      </c>
      <c r="C844" s="12">
        <v>42681</v>
      </c>
      <c r="D844" s="12">
        <v>42683</v>
      </c>
      <c r="E844" t="s">
        <v>371</v>
      </c>
      <c r="F844" t="s">
        <v>2801</v>
      </c>
      <c r="G844" t="s">
        <v>2802</v>
      </c>
      <c r="H844" t="s">
        <v>224</v>
      </c>
      <c r="I844" t="s">
        <v>210</v>
      </c>
      <c r="J844" t="s">
        <v>225</v>
      </c>
      <c r="K844" t="s">
        <v>226</v>
      </c>
      <c r="L844">
        <v>90036</v>
      </c>
      <c r="M844" t="s">
        <v>227</v>
      </c>
      <c r="N844" t="s">
        <v>2803</v>
      </c>
      <c r="O844" t="s">
        <v>229</v>
      </c>
      <c r="P844" t="s">
        <v>258</v>
      </c>
      <c r="Q844" t="s">
        <v>2804</v>
      </c>
      <c r="R844" s="13">
        <v>37.44</v>
      </c>
      <c r="S844">
        <v>4</v>
      </c>
      <c r="T844" s="14">
        <v>0.2</v>
      </c>
      <c r="U844" s="13">
        <v>11.7</v>
      </c>
    </row>
    <row r="845" spans="1:21" ht="15" customHeight="1" x14ac:dyDescent="0.3">
      <c r="A845">
        <v>844</v>
      </c>
      <c r="B845" t="s">
        <v>2800</v>
      </c>
      <c r="C845" s="12">
        <v>42681</v>
      </c>
      <c r="D845" s="12">
        <v>42683</v>
      </c>
      <c r="E845" t="s">
        <v>371</v>
      </c>
      <c r="F845" t="s">
        <v>2801</v>
      </c>
      <c r="G845" t="s">
        <v>2802</v>
      </c>
      <c r="H845" t="s">
        <v>224</v>
      </c>
      <c r="I845" t="s">
        <v>210</v>
      </c>
      <c r="J845" t="s">
        <v>225</v>
      </c>
      <c r="K845" t="s">
        <v>226</v>
      </c>
      <c r="L845">
        <v>90036</v>
      </c>
      <c r="M845" t="s">
        <v>227</v>
      </c>
      <c r="N845" t="s">
        <v>2805</v>
      </c>
      <c r="O845" t="s">
        <v>229</v>
      </c>
      <c r="P845" t="s">
        <v>258</v>
      </c>
      <c r="Q845" t="s">
        <v>2806</v>
      </c>
      <c r="R845" s="13">
        <v>26.975999999999999</v>
      </c>
      <c r="S845">
        <v>4</v>
      </c>
      <c r="T845" s="14">
        <v>0.2</v>
      </c>
      <c r="U845" s="13">
        <v>8.7672000000000008</v>
      </c>
    </row>
    <row r="846" spans="1:21" ht="15" customHeight="1" x14ac:dyDescent="0.3">
      <c r="A846">
        <v>845</v>
      </c>
      <c r="B846" t="s">
        <v>2800</v>
      </c>
      <c r="C846" s="12">
        <v>42681</v>
      </c>
      <c r="D846" s="12">
        <v>42683</v>
      </c>
      <c r="E846" t="s">
        <v>371</v>
      </c>
      <c r="F846" t="s">
        <v>2801</v>
      </c>
      <c r="G846" t="s">
        <v>2802</v>
      </c>
      <c r="H846" t="s">
        <v>224</v>
      </c>
      <c r="I846" t="s">
        <v>210</v>
      </c>
      <c r="J846" t="s">
        <v>225</v>
      </c>
      <c r="K846" t="s">
        <v>226</v>
      </c>
      <c r="L846">
        <v>90036</v>
      </c>
      <c r="M846" t="s">
        <v>227</v>
      </c>
      <c r="N846" t="s">
        <v>2807</v>
      </c>
      <c r="O846" t="s">
        <v>229</v>
      </c>
      <c r="P846" t="s">
        <v>762</v>
      </c>
      <c r="Q846" t="s">
        <v>2808</v>
      </c>
      <c r="R846" s="13">
        <v>11.36</v>
      </c>
      <c r="S846">
        <v>2</v>
      </c>
      <c r="T846" s="14">
        <v>0</v>
      </c>
      <c r="U846" s="13">
        <v>3.2944</v>
      </c>
    </row>
    <row r="847" spans="1:21" ht="15" customHeight="1" x14ac:dyDescent="0.3">
      <c r="A847">
        <v>846</v>
      </c>
      <c r="B847" t="s">
        <v>2800</v>
      </c>
      <c r="C847" s="12">
        <v>42681</v>
      </c>
      <c r="D847" s="12">
        <v>42683</v>
      </c>
      <c r="E847" t="s">
        <v>371</v>
      </c>
      <c r="F847" t="s">
        <v>2801</v>
      </c>
      <c r="G847" t="s">
        <v>2802</v>
      </c>
      <c r="H847" t="s">
        <v>224</v>
      </c>
      <c r="I847" t="s">
        <v>210</v>
      </c>
      <c r="J847" t="s">
        <v>225</v>
      </c>
      <c r="K847" t="s">
        <v>226</v>
      </c>
      <c r="L847">
        <v>90036</v>
      </c>
      <c r="M847" t="s">
        <v>227</v>
      </c>
      <c r="N847" t="s">
        <v>2809</v>
      </c>
      <c r="O847" t="s">
        <v>229</v>
      </c>
      <c r="P847" t="s">
        <v>230</v>
      </c>
      <c r="Q847" t="s">
        <v>2810</v>
      </c>
      <c r="R847" s="13">
        <v>14.62</v>
      </c>
      <c r="S847">
        <v>2</v>
      </c>
      <c r="T847" s="14">
        <v>0</v>
      </c>
      <c r="U847" s="13">
        <v>6.8714000000000004</v>
      </c>
    </row>
    <row r="848" spans="1:21" ht="15" customHeight="1" x14ac:dyDescent="0.3">
      <c r="A848">
        <v>847</v>
      </c>
      <c r="B848" t="s">
        <v>2811</v>
      </c>
      <c r="C848" s="12">
        <v>42290</v>
      </c>
      <c r="D848" s="12">
        <v>42294</v>
      </c>
      <c r="E848" t="s">
        <v>233</v>
      </c>
      <c r="F848" t="s">
        <v>2812</v>
      </c>
      <c r="G848" t="s">
        <v>2813</v>
      </c>
      <c r="H848" t="s">
        <v>209</v>
      </c>
      <c r="I848" t="s">
        <v>210</v>
      </c>
      <c r="J848" t="s">
        <v>1661</v>
      </c>
      <c r="K848" t="s">
        <v>212</v>
      </c>
      <c r="L848">
        <v>40214</v>
      </c>
      <c r="M848" t="s">
        <v>213</v>
      </c>
      <c r="N848" t="s">
        <v>951</v>
      </c>
      <c r="O848" t="s">
        <v>254</v>
      </c>
      <c r="P848" t="s">
        <v>255</v>
      </c>
      <c r="Q848" t="s">
        <v>952</v>
      </c>
      <c r="R848" s="13">
        <v>83.72</v>
      </c>
      <c r="S848">
        <v>7</v>
      </c>
      <c r="T848" s="14">
        <v>0</v>
      </c>
      <c r="U848" s="13">
        <v>23.441600000000001</v>
      </c>
    </row>
    <row r="849" spans="1:21" ht="15" customHeight="1" x14ac:dyDescent="0.3">
      <c r="A849">
        <v>848</v>
      </c>
      <c r="B849" t="s">
        <v>2811</v>
      </c>
      <c r="C849" s="12">
        <v>42290</v>
      </c>
      <c r="D849" s="12">
        <v>42294</v>
      </c>
      <c r="E849" t="s">
        <v>233</v>
      </c>
      <c r="F849" t="s">
        <v>2812</v>
      </c>
      <c r="G849" t="s">
        <v>2813</v>
      </c>
      <c r="H849" t="s">
        <v>209</v>
      </c>
      <c r="I849" t="s">
        <v>210</v>
      </c>
      <c r="J849" t="s">
        <v>1661</v>
      </c>
      <c r="K849" t="s">
        <v>212</v>
      </c>
      <c r="L849">
        <v>40214</v>
      </c>
      <c r="M849" t="s">
        <v>213</v>
      </c>
      <c r="N849" t="s">
        <v>1270</v>
      </c>
      <c r="O849" t="s">
        <v>215</v>
      </c>
      <c r="P849" t="s">
        <v>219</v>
      </c>
      <c r="Q849" t="s">
        <v>1271</v>
      </c>
      <c r="R849" s="13">
        <v>287.94</v>
      </c>
      <c r="S849">
        <v>3</v>
      </c>
      <c r="T849" s="14">
        <v>0</v>
      </c>
      <c r="U849" s="13">
        <v>77.743799999999993</v>
      </c>
    </row>
    <row r="850" spans="1:21" ht="15" customHeight="1" x14ac:dyDescent="0.3">
      <c r="A850">
        <v>849</v>
      </c>
      <c r="B850" t="s">
        <v>2814</v>
      </c>
      <c r="C850" s="12">
        <v>42736</v>
      </c>
      <c r="D850" s="12">
        <v>42741</v>
      </c>
      <c r="E850" t="s">
        <v>233</v>
      </c>
      <c r="F850" t="s">
        <v>2815</v>
      </c>
      <c r="G850" t="s">
        <v>2816</v>
      </c>
      <c r="H850" t="s">
        <v>209</v>
      </c>
      <c r="I850" t="s">
        <v>210</v>
      </c>
      <c r="J850" t="s">
        <v>2817</v>
      </c>
      <c r="K850" t="s">
        <v>681</v>
      </c>
      <c r="L850">
        <v>44052</v>
      </c>
      <c r="M850" t="s">
        <v>331</v>
      </c>
      <c r="N850" t="s">
        <v>2818</v>
      </c>
      <c r="O850" t="s">
        <v>215</v>
      </c>
      <c r="P850" t="s">
        <v>248</v>
      </c>
      <c r="Q850" t="s">
        <v>2819</v>
      </c>
      <c r="R850" s="13">
        <v>48.896000000000001</v>
      </c>
      <c r="S850">
        <v>4</v>
      </c>
      <c r="T850" s="14">
        <v>0.2</v>
      </c>
      <c r="U850" s="13">
        <v>8.5568000000000008</v>
      </c>
    </row>
    <row r="851" spans="1:21" ht="15" customHeight="1" x14ac:dyDescent="0.3">
      <c r="A851">
        <v>850</v>
      </c>
      <c r="B851" t="s">
        <v>2820</v>
      </c>
      <c r="C851" s="12">
        <v>41677</v>
      </c>
      <c r="D851" s="12">
        <v>41682</v>
      </c>
      <c r="E851" t="s">
        <v>233</v>
      </c>
      <c r="F851" t="s">
        <v>2821</v>
      </c>
      <c r="G851" t="s">
        <v>2822</v>
      </c>
      <c r="H851" t="s">
        <v>224</v>
      </c>
      <c r="I851" t="s">
        <v>210</v>
      </c>
      <c r="J851" t="s">
        <v>2823</v>
      </c>
      <c r="K851" t="s">
        <v>973</v>
      </c>
      <c r="L851">
        <v>7036</v>
      </c>
      <c r="M851" t="s">
        <v>331</v>
      </c>
      <c r="N851" t="s">
        <v>2824</v>
      </c>
      <c r="O851" t="s">
        <v>254</v>
      </c>
      <c r="P851" t="s">
        <v>344</v>
      </c>
      <c r="Q851" t="s">
        <v>2825</v>
      </c>
      <c r="R851" s="13">
        <v>115.36</v>
      </c>
      <c r="S851">
        <v>7</v>
      </c>
      <c r="T851" s="14">
        <v>0</v>
      </c>
      <c r="U851" s="13">
        <v>49.604799999999997</v>
      </c>
    </row>
    <row r="852" spans="1:21" ht="15" customHeight="1" x14ac:dyDescent="0.3">
      <c r="A852">
        <v>851</v>
      </c>
      <c r="B852" t="s">
        <v>2826</v>
      </c>
      <c r="C852" s="12">
        <v>42541</v>
      </c>
      <c r="D852" s="12">
        <v>42546</v>
      </c>
      <c r="E852" t="s">
        <v>206</v>
      </c>
      <c r="F852" t="s">
        <v>2827</v>
      </c>
      <c r="G852" t="s">
        <v>2828</v>
      </c>
      <c r="H852" t="s">
        <v>224</v>
      </c>
      <c r="I852" t="s">
        <v>210</v>
      </c>
      <c r="J852" t="s">
        <v>2829</v>
      </c>
      <c r="K852" t="s">
        <v>226</v>
      </c>
      <c r="L852">
        <v>93905</v>
      </c>
      <c r="M852" t="s">
        <v>227</v>
      </c>
      <c r="N852" t="s">
        <v>2830</v>
      </c>
      <c r="O852" t="s">
        <v>229</v>
      </c>
      <c r="P852" t="s">
        <v>251</v>
      </c>
      <c r="Q852" t="s">
        <v>2831</v>
      </c>
      <c r="R852" s="13">
        <v>5.16</v>
      </c>
      <c r="S852">
        <v>2</v>
      </c>
      <c r="T852" s="14">
        <v>0</v>
      </c>
      <c r="U852" s="13">
        <v>1.3415999999999999</v>
      </c>
    </row>
    <row r="853" spans="1:21" ht="15" customHeight="1" x14ac:dyDescent="0.3">
      <c r="A853">
        <v>852</v>
      </c>
      <c r="B853" t="s">
        <v>2826</v>
      </c>
      <c r="C853" s="12">
        <v>42541</v>
      </c>
      <c r="D853" s="12">
        <v>42546</v>
      </c>
      <c r="E853" t="s">
        <v>206</v>
      </c>
      <c r="F853" t="s">
        <v>2827</v>
      </c>
      <c r="G853" t="s">
        <v>2828</v>
      </c>
      <c r="H853" t="s">
        <v>224</v>
      </c>
      <c r="I853" t="s">
        <v>210</v>
      </c>
      <c r="J853" t="s">
        <v>2829</v>
      </c>
      <c r="K853" t="s">
        <v>226</v>
      </c>
      <c r="L853">
        <v>93905</v>
      </c>
      <c r="M853" t="s">
        <v>227</v>
      </c>
      <c r="N853" t="s">
        <v>2832</v>
      </c>
      <c r="O853" t="s">
        <v>229</v>
      </c>
      <c r="P853" t="s">
        <v>273</v>
      </c>
      <c r="Q853" t="s">
        <v>2833</v>
      </c>
      <c r="R853" s="13">
        <v>38.880000000000003</v>
      </c>
      <c r="S853">
        <v>6</v>
      </c>
      <c r="T853" s="14">
        <v>0</v>
      </c>
      <c r="U853" s="13">
        <v>18.662400000000002</v>
      </c>
    </row>
    <row r="854" spans="1:21" ht="15" customHeight="1" x14ac:dyDescent="0.3">
      <c r="A854">
        <v>853</v>
      </c>
      <c r="B854" t="s">
        <v>2834</v>
      </c>
      <c r="C854" s="12">
        <v>42518</v>
      </c>
      <c r="D854" s="12">
        <v>42525</v>
      </c>
      <c r="E854" t="s">
        <v>233</v>
      </c>
      <c r="F854" t="s">
        <v>1073</v>
      </c>
      <c r="G854" t="s">
        <v>1074</v>
      </c>
      <c r="H854" t="s">
        <v>209</v>
      </c>
      <c r="I854" t="s">
        <v>210</v>
      </c>
      <c r="J854" t="s">
        <v>511</v>
      </c>
      <c r="K854" t="s">
        <v>1675</v>
      </c>
      <c r="L854">
        <v>39212</v>
      </c>
      <c r="M854" t="s">
        <v>213</v>
      </c>
      <c r="N854" t="s">
        <v>1345</v>
      </c>
      <c r="O854" t="s">
        <v>229</v>
      </c>
      <c r="P854" t="s">
        <v>251</v>
      </c>
      <c r="Q854" t="s">
        <v>1346</v>
      </c>
      <c r="R854" s="13">
        <v>185.88</v>
      </c>
      <c r="S854">
        <v>6</v>
      </c>
      <c r="T854" s="14">
        <v>0</v>
      </c>
      <c r="U854" s="13">
        <v>50.187600000000003</v>
      </c>
    </row>
    <row r="855" spans="1:21" ht="15" customHeight="1" x14ac:dyDescent="0.3">
      <c r="A855">
        <v>854</v>
      </c>
      <c r="B855" t="s">
        <v>2835</v>
      </c>
      <c r="C855" s="12">
        <v>42419</v>
      </c>
      <c r="D855" s="12">
        <v>42424</v>
      </c>
      <c r="E855" t="s">
        <v>233</v>
      </c>
      <c r="F855" t="s">
        <v>2066</v>
      </c>
      <c r="G855" t="s">
        <v>2067</v>
      </c>
      <c r="H855" t="s">
        <v>209</v>
      </c>
      <c r="I855" t="s">
        <v>210</v>
      </c>
      <c r="J855" t="s">
        <v>449</v>
      </c>
      <c r="K855" t="s">
        <v>450</v>
      </c>
      <c r="L855">
        <v>10035</v>
      </c>
      <c r="M855" t="s">
        <v>331</v>
      </c>
      <c r="N855" t="s">
        <v>2698</v>
      </c>
      <c r="O855" t="s">
        <v>215</v>
      </c>
      <c r="P855" t="s">
        <v>248</v>
      </c>
      <c r="Q855" t="s">
        <v>2699</v>
      </c>
      <c r="R855" s="13">
        <v>44.46</v>
      </c>
      <c r="S855">
        <v>2</v>
      </c>
      <c r="T855" s="14">
        <v>0</v>
      </c>
      <c r="U855" s="13">
        <v>14.671799999999999</v>
      </c>
    </row>
    <row r="856" spans="1:21" ht="15" customHeight="1" x14ac:dyDescent="0.3">
      <c r="A856">
        <v>855</v>
      </c>
      <c r="B856" t="s">
        <v>2835</v>
      </c>
      <c r="C856" s="12">
        <v>42419</v>
      </c>
      <c r="D856" s="12">
        <v>42424</v>
      </c>
      <c r="E856" t="s">
        <v>233</v>
      </c>
      <c r="F856" t="s">
        <v>2066</v>
      </c>
      <c r="G856" t="s">
        <v>2067</v>
      </c>
      <c r="H856" t="s">
        <v>209</v>
      </c>
      <c r="I856" t="s">
        <v>210</v>
      </c>
      <c r="J856" t="s">
        <v>449</v>
      </c>
      <c r="K856" t="s">
        <v>450</v>
      </c>
      <c r="L856">
        <v>10035</v>
      </c>
      <c r="M856" t="s">
        <v>331</v>
      </c>
      <c r="N856" t="s">
        <v>1962</v>
      </c>
      <c r="O856" t="s">
        <v>229</v>
      </c>
      <c r="P856" t="s">
        <v>242</v>
      </c>
      <c r="Q856" t="s">
        <v>1963</v>
      </c>
      <c r="R856" s="13">
        <v>242.94</v>
      </c>
      <c r="S856">
        <v>3</v>
      </c>
      <c r="T856" s="14">
        <v>0</v>
      </c>
      <c r="U856" s="13">
        <v>9.7175999999999902</v>
      </c>
    </row>
    <row r="857" spans="1:21" ht="15" customHeight="1" x14ac:dyDescent="0.3">
      <c r="A857">
        <v>856</v>
      </c>
      <c r="B857" t="s">
        <v>2836</v>
      </c>
      <c r="C857" s="12">
        <v>41854</v>
      </c>
      <c r="D857" s="12">
        <v>41859</v>
      </c>
      <c r="E857" t="s">
        <v>233</v>
      </c>
      <c r="F857" t="s">
        <v>2837</v>
      </c>
      <c r="G857" t="s">
        <v>2838</v>
      </c>
      <c r="H857" t="s">
        <v>209</v>
      </c>
      <c r="I857" t="s">
        <v>210</v>
      </c>
      <c r="J857" t="s">
        <v>449</v>
      </c>
      <c r="K857" t="s">
        <v>450</v>
      </c>
      <c r="L857">
        <v>10035</v>
      </c>
      <c r="M857" t="s">
        <v>331</v>
      </c>
      <c r="N857" t="s">
        <v>2839</v>
      </c>
      <c r="O857" t="s">
        <v>229</v>
      </c>
      <c r="P857" t="s">
        <v>273</v>
      </c>
      <c r="Q857" t="s">
        <v>2840</v>
      </c>
      <c r="R857" s="13">
        <v>39.96</v>
      </c>
      <c r="S857">
        <v>2</v>
      </c>
      <c r="T857" s="14">
        <v>0</v>
      </c>
      <c r="U857" s="13">
        <v>18.781199999999998</v>
      </c>
    </row>
    <row r="858" spans="1:21" ht="15" customHeight="1" x14ac:dyDescent="0.3">
      <c r="A858">
        <v>857</v>
      </c>
      <c r="B858" t="s">
        <v>2836</v>
      </c>
      <c r="C858" s="12">
        <v>41854</v>
      </c>
      <c r="D858" s="12">
        <v>41859</v>
      </c>
      <c r="E858" t="s">
        <v>233</v>
      </c>
      <c r="F858" t="s">
        <v>2837</v>
      </c>
      <c r="G858" t="s">
        <v>2838</v>
      </c>
      <c r="H858" t="s">
        <v>209</v>
      </c>
      <c r="I858" t="s">
        <v>210</v>
      </c>
      <c r="J858" t="s">
        <v>449</v>
      </c>
      <c r="K858" t="s">
        <v>450</v>
      </c>
      <c r="L858">
        <v>10035</v>
      </c>
      <c r="M858" t="s">
        <v>331</v>
      </c>
      <c r="N858" t="s">
        <v>2841</v>
      </c>
      <c r="O858" t="s">
        <v>229</v>
      </c>
      <c r="P858" t="s">
        <v>762</v>
      </c>
      <c r="Q858" t="s">
        <v>2842</v>
      </c>
      <c r="R858" s="13">
        <v>102.3</v>
      </c>
      <c r="S858">
        <v>10</v>
      </c>
      <c r="T858" s="14">
        <v>0</v>
      </c>
      <c r="U858" s="13">
        <v>26.597999999999999</v>
      </c>
    </row>
    <row r="859" spans="1:21" ht="15" customHeight="1" x14ac:dyDescent="0.3">
      <c r="A859">
        <v>858</v>
      </c>
      <c r="B859" t="s">
        <v>2836</v>
      </c>
      <c r="C859" s="12">
        <v>41854</v>
      </c>
      <c r="D859" s="12">
        <v>41859</v>
      </c>
      <c r="E859" t="s">
        <v>233</v>
      </c>
      <c r="F859" t="s">
        <v>2837</v>
      </c>
      <c r="G859" t="s">
        <v>2838</v>
      </c>
      <c r="H859" t="s">
        <v>209</v>
      </c>
      <c r="I859" t="s">
        <v>210</v>
      </c>
      <c r="J859" t="s">
        <v>449</v>
      </c>
      <c r="K859" t="s">
        <v>450</v>
      </c>
      <c r="L859">
        <v>10035</v>
      </c>
      <c r="M859" t="s">
        <v>331</v>
      </c>
      <c r="N859" t="s">
        <v>2843</v>
      </c>
      <c r="O859" t="s">
        <v>229</v>
      </c>
      <c r="P859" t="s">
        <v>242</v>
      </c>
      <c r="Q859" t="s">
        <v>2844</v>
      </c>
      <c r="R859" s="13">
        <v>21.36</v>
      </c>
      <c r="S859">
        <v>2</v>
      </c>
      <c r="T859" s="14">
        <v>0</v>
      </c>
      <c r="U859" s="13">
        <v>5.7671999999999999</v>
      </c>
    </row>
    <row r="860" spans="1:21" ht="15" customHeight="1" x14ac:dyDescent="0.3">
      <c r="A860">
        <v>859</v>
      </c>
      <c r="B860" t="s">
        <v>2845</v>
      </c>
      <c r="C860" s="12">
        <v>42835</v>
      </c>
      <c r="D860" s="12">
        <v>42840</v>
      </c>
      <c r="E860" t="s">
        <v>233</v>
      </c>
      <c r="F860" t="s">
        <v>2846</v>
      </c>
      <c r="G860" t="s">
        <v>2847</v>
      </c>
      <c r="H860" t="s">
        <v>285</v>
      </c>
      <c r="I860" t="s">
        <v>210</v>
      </c>
      <c r="J860" t="s">
        <v>2848</v>
      </c>
      <c r="K860" t="s">
        <v>973</v>
      </c>
      <c r="L860">
        <v>8901</v>
      </c>
      <c r="M860" t="s">
        <v>331</v>
      </c>
      <c r="N860" t="s">
        <v>1134</v>
      </c>
      <c r="O860" t="s">
        <v>229</v>
      </c>
      <c r="P860" t="s">
        <v>273</v>
      </c>
      <c r="Q860" t="s">
        <v>1135</v>
      </c>
      <c r="R860" s="13">
        <v>7.61</v>
      </c>
      <c r="S860">
        <v>1</v>
      </c>
      <c r="T860" s="14">
        <v>0</v>
      </c>
      <c r="U860" s="13">
        <v>3.5767000000000002</v>
      </c>
    </row>
    <row r="861" spans="1:21" ht="15" customHeight="1" x14ac:dyDescent="0.3">
      <c r="A861">
        <v>860</v>
      </c>
      <c r="B861" t="s">
        <v>2845</v>
      </c>
      <c r="C861" s="12">
        <v>42835</v>
      </c>
      <c r="D861" s="12">
        <v>42840</v>
      </c>
      <c r="E861" t="s">
        <v>233</v>
      </c>
      <c r="F861" t="s">
        <v>2846</v>
      </c>
      <c r="G861" t="s">
        <v>2847</v>
      </c>
      <c r="H861" t="s">
        <v>285</v>
      </c>
      <c r="I861" t="s">
        <v>210</v>
      </c>
      <c r="J861" t="s">
        <v>2848</v>
      </c>
      <c r="K861" t="s">
        <v>973</v>
      </c>
      <c r="L861">
        <v>8901</v>
      </c>
      <c r="M861" t="s">
        <v>331</v>
      </c>
      <c r="N861" t="s">
        <v>1360</v>
      </c>
      <c r="O861" t="s">
        <v>229</v>
      </c>
      <c r="P861" t="s">
        <v>452</v>
      </c>
      <c r="Q861" t="s">
        <v>1361</v>
      </c>
      <c r="R861" s="13">
        <v>7.16</v>
      </c>
      <c r="S861">
        <v>2</v>
      </c>
      <c r="T861" s="14">
        <v>0</v>
      </c>
      <c r="U861" s="13">
        <v>3.58</v>
      </c>
    </row>
    <row r="862" spans="1:21" ht="15" customHeight="1" x14ac:dyDescent="0.3">
      <c r="A862">
        <v>861</v>
      </c>
      <c r="B862" t="s">
        <v>2849</v>
      </c>
      <c r="C862" s="12">
        <v>41799</v>
      </c>
      <c r="D862" s="12">
        <v>41806</v>
      </c>
      <c r="E862" t="s">
        <v>233</v>
      </c>
      <c r="F862" t="s">
        <v>2850</v>
      </c>
      <c r="G862" t="s">
        <v>2851</v>
      </c>
      <c r="H862" t="s">
        <v>209</v>
      </c>
      <c r="I862" t="s">
        <v>210</v>
      </c>
      <c r="J862" t="s">
        <v>310</v>
      </c>
      <c r="K862" t="s">
        <v>226</v>
      </c>
      <c r="L862">
        <v>94122</v>
      </c>
      <c r="M862" t="s">
        <v>227</v>
      </c>
      <c r="N862" t="s">
        <v>1482</v>
      </c>
      <c r="O862" t="s">
        <v>229</v>
      </c>
      <c r="P862" t="s">
        <v>762</v>
      </c>
      <c r="Q862" t="s">
        <v>1483</v>
      </c>
      <c r="R862" s="13">
        <v>7.36</v>
      </c>
      <c r="S862">
        <v>2</v>
      </c>
      <c r="T862" s="14">
        <v>0</v>
      </c>
      <c r="U862" s="13">
        <v>0.1472</v>
      </c>
    </row>
    <row r="863" spans="1:21" ht="15" customHeight="1" x14ac:dyDescent="0.3">
      <c r="A863">
        <v>862</v>
      </c>
      <c r="B863" t="s">
        <v>2849</v>
      </c>
      <c r="C863" s="12">
        <v>41799</v>
      </c>
      <c r="D863" s="12">
        <v>41806</v>
      </c>
      <c r="E863" t="s">
        <v>233</v>
      </c>
      <c r="F863" t="s">
        <v>2850</v>
      </c>
      <c r="G863" t="s">
        <v>2851</v>
      </c>
      <c r="H863" t="s">
        <v>209</v>
      </c>
      <c r="I863" t="s">
        <v>210</v>
      </c>
      <c r="J863" t="s">
        <v>310</v>
      </c>
      <c r="K863" t="s">
        <v>226</v>
      </c>
      <c r="L863">
        <v>94122</v>
      </c>
      <c r="M863" t="s">
        <v>227</v>
      </c>
      <c r="N863" t="s">
        <v>2852</v>
      </c>
      <c r="O863" t="s">
        <v>229</v>
      </c>
      <c r="P863" t="s">
        <v>251</v>
      </c>
      <c r="Q863" t="s">
        <v>2853</v>
      </c>
      <c r="R863" s="13">
        <v>23.1</v>
      </c>
      <c r="S863">
        <v>2</v>
      </c>
      <c r="T863" s="14">
        <v>0</v>
      </c>
      <c r="U863" s="13">
        <v>10.625999999999999</v>
      </c>
    </row>
    <row r="864" spans="1:21" ht="15" customHeight="1" x14ac:dyDescent="0.3">
      <c r="A864">
        <v>863</v>
      </c>
      <c r="B864" t="s">
        <v>2854</v>
      </c>
      <c r="C864" s="12">
        <v>42374</v>
      </c>
      <c r="D864" s="12">
        <v>42376</v>
      </c>
      <c r="E864" t="s">
        <v>206</v>
      </c>
      <c r="F864" t="s">
        <v>2620</v>
      </c>
      <c r="G864" t="s">
        <v>2621</v>
      </c>
      <c r="H864" t="s">
        <v>224</v>
      </c>
      <c r="I864" t="s">
        <v>210</v>
      </c>
      <c r="J864" t="s">
        <v>1709</v>
      </c>
      <c r="K864" t="s">
        <v>237</v>
      </c>
      <c r="L864">
        <v>32216</v>
      </c>
      <c r="M864" t="s">
        <v>213</v>
      </c>
      <c r="N864" t="s">
        <v>2855</v>
      </c>
      <c r="O864" t="s">
        <v>254</v>
      </c>
      <c r="P864" t="s">
        <v>344</v>
      </c>
      <c r="Q864" t="s">
        <v>2856</v>
      </c>
      <c r="R864" s="13">
        <v>191.47200000000001</v>
      </c>
      <c r="S864">
        <v>6</v>
      </c>
      <c r="T864" s="14">
        <v>0.2</v>
      </c>
      <c r="U864" s="13">
        <v>40.687800000000003</v>
      </c>
    </row>
    <row r="865" spans="1:21" ht="15" customHeight="1" x14ac:dyDescent="0.3">
      <c r="A865">
        <v>864</v>
      </c>
      <c r="B865" t="s">
        <v>2854</v>
      </c>
      <c r="C865" s="12">
        <v>42374</v>
      </c>
      <c r="D865" s="12">
        <v>42376</v>
      </c>
      <c r="E865" t="s">
        <v>206</v>
      </c>
      <c r="F865" t="s">
        <v>2620</v>
      </c>
      <c r="G865" t="s">
        <v>2621</v>
      </c>
      <c r="H865" t="s">
        <v>224</v>
      </c>
      <c r="I865" t="s">
        <v>210</v>
      </c>
      <c r="J865" t="s">
        <v>1709</v>
      </c>
      <c r="K865" t="s">
        <v>237</v>
      </c>
      <c r="L865">
        <v>32216</v>
      </c>
      <c r="M865" t="s">
        <v>213</v>
      </c>
      <c r="N865" t="s">
        <v>2857</v>
      </c>
      <c r="O865" t="s">
        <v>229</v>
      </c>
      <c r="P865" t="s">
        <v>251</v>
      </c>
      <c r="Q865" t="s">
        <v>2858</v>
      </c>
      <c r="R865" s="13">
        <v>5.2480000000000002</v>
      </c>
      <c r="S865">
        <v>2</v>
      </c>
      <c r="T865" s="14">
        <v>0.2</v>
      </c>
      <c r="U865" s="13">
        <v>0.59039999999999904</v>
      </c>
    </row>
    <row r="866" spans="1:21" ht="15" customHeight="1" x14ac:dyDescent="0.3">
      <c r="A866">
        <v>865</v>
      </c>
      <c r="B866" t="s">
        <v>2854</v>
      </c>
      <c r="C866" s="12">
        <v>42374</v>
      </c>
      <c r="D866" s="12">
        <v>42376</v>
      </c>
      <c r="E866" t="s">
        <v>206</v>
      </c>
      <c r="F866" t="s">
        <v>2620</v>
      </c>
      <c r="G866" t="s">
        <v>2621</v>
      </c>
      <c r="H866" t="s">
        <v>224</v>
      </c>
      <c r="I866" t="s">
        <v>210</v>
      </c>
      <c r="J866" t="s">
        <v>1709</v>
      </c>
      <c r="K866" t="s">
        <v>237</v>
      </c>
      <c r="L866">
        <v>32216</v>
      </c>
      <c r="M866" t="s">
        <v>213</v>
      </c>
      <c r="N866" t="s">
        <v>2859</v>
      </c>
      <c r="O866" t="s">
        <v>254</v>
      </c>
      <c r="P866" t="s">
        <v>255</v>
      </c>
      <c r="Q866" t="s">
        <v>2860</v>
      </c>
      <c r="R866" s="13">
        <v>59.183999999999997</v>
      </c>
      <c r="S866">
        <v>2</v>
      </c>
      <c r="T866" s="14">
        <v>0.2</v>
      </c>
      <c r="U866" s="13">
        <v>5.1786000000000003</v>
      </c>
    </row>
    <row r="867" spans="1:21" ht="15" customHeight="1" x14ac:dyDescent="0.3">
      <c r="A867">
        <v>866</v>
      </c>
      <c r="B867" t="s">
        <v>2861</v>
      </c>
      <c r="C867" s="12">
        <v>41649</v>
      </c>
      <c r="D867" s="12">
        <v>41654</v>
      </c>
      <c r="E867" t="s">
        <v>233</v>
      </c>
      <c r="F867" t="s">
        <v>2862</v>
      </c>
      <c r="G867" t="s">
        <v>2863</v>
      </c>
      <c r="H867" t="s">
        <v>224</v>
      </c>
      <c r="I867" t="s">
        <v>210</v>
      </c>
      <c r="J867" t="s">
        <v>501</v>
      </c>
      <c r="K867" t="s">
        <v>502</v>
      </c>
      <c r="L867">
        <v>22153</v>
      </c>
      <c r="M867" t="s">
        <v>213</v>
      </c>
      <c r="N867" t="s">
        <v>2864</v>
      </c>
      <c r="O867" t="s">
        <v>229</v>
      </c>
      <c r="P867" t="s">
        <v>230</v>
      </c>
      <c r="Q867" t="s">
        <v>2865</v>
      </c>
      <c r="R867" s="13">
        <v>2.89</v>
      </c>
      <c r="S867">
        <v>1</v>
      </c>
      <c r="T867" s="14">
        <v>0</v>
      </c>
      <c r="U867" s="13">
        <v>1.3583000000000001</v>
      </c>
    </row>
    <row r="868" spans="1:21" ht="15" customHeight="1" x14ac:dyDescent="0.3">
      <c r="A868">
        <v>867</v>
      </c>
      <c r="B868" t="s">
        <v>2861</v>
      </c>
      <c r="C868" s="12">
        <v>41649</v>
      </c>
      <c r="D868" s="12">
        <v>41654</v>
      </c>
      <c r="E868" t="s">
        <v>233</v>
      </c>
      <c r="F868" t="s">
        <v>2862</v>
      </c>
      <c r="G868" t="s">
        <v>2863</v>
      </c>
      <c r="H868" t="s">
        <v>224</v>
      </c>
      <c r="I868" t="s">
        <v>210</v>
      </c>
      <c r="J868" t="s">
        <v>501</v>
      </c>
      <c r="K868" t="s">
        <v>502</v>
      </c>
      <c r="L868">
        <v>22153</v>
      </c>
      <c r="M868" t="s">
        <v>213</v>
      </c>
      <c r="N868" t="s">
        <v>2866</v>
      </c>
      <c r="O868" t="s">
        <v>215</v>
      </c>
      <c r="P868" t="s">
        <v>248</v>
      </c>
      <c r="Q868" t="s">
        <v>2867</v>
      </c>
      <c r="R868" s="13">
        <v>51.94</v>
      </c>
      <c r="S868">
        <v>1</v>
      </c>
      <c r="T868" s="14">
        <v>0</v>
      </c>
      <c r="U868" s="13">
        <v>21.295400000000001</v>
      </c>
    </row>
    <row r="869" spans="1:21" ht="15" customHeight="1" x14ac:dyDescent="0.3">
      <c r="A869">
        <v>868</v>
      </c>
      <c r="B869" t="s">
        <v>2868</v>
      </c>
      <c r="C869" s="12">
        <v>42642</v>
      </c>
      <c r="D869" s="12">
        <v>42645</v>
      </c>
      <c r="E869" t="s">
        <v>371</v>
      </c>
      <c r="F869" t="s">
        <v>2869</v>
      </c>
      <c r="G869" t="s">
        <v>2870</v>
      </c>
      <c r="H869" t="s">
        <v>224</v>
      </c>
      <c r="I869" t="s">
        <v>210</v>
      </c>
      <c r="J869" t="s">
        <v>329</v>
      </c>
      <c r="K869" t="s">
        <v>330</v>
      </c>
      <c r="L869">
        <v>19140</v>
      </c>
      <c r="M869" t="s">
        <v>331</v>
      </c>
      <c r="N869" t="s">
        <v>2871</v>
      </c>
      <c r="O869" t="s">
        <v>229</v>
      </c>
      <c r="P869" t="s">
        <v>230</v>
      </c>
      <c r="Q869" t="s">
        <v>2872</v>
      </c>
      <c r="R869" s="13">
        <v>15.936</v>
      </c>
      <c r="S869">
        <v>4</v>
      </c>
      <c r="T869" s="14">
        <v>0.2</v>
      </c>
      <c r="U869" s="13">
        <v>5.1791999999999998</v>
      </c>
    </row>
    <row r="870" spans="1:21" ht="15" customHeight="1" x14ac:dyDescent="0.3">
      <c r="A870">
        <v>869</v>
      </c>
      <c r="B870" t="s">
        <v>2873</v>
      </c>
      <c r="C870" s="12">
        <v>41735</v>
      </c>
      <c r="D870" s="12">
        <v>41739</v>
      </c>
      <c r="E870" t="s">
        <v>233</v>
      </c>
      <c r="F870" t="s">
        <v>2874</v>
      </c>
      <c r="G870" t="s">
        <v>2875</v>
      </c>
      <c r="H870" t="s">
        <v>224</v>
      </c>
      <c r="I870" t="s">
        <v>210</v>
      </c>
      <c r="J870" t="s">
        <v>2659</v>
      </c>
      <c r="K870" t="s">
        <v>330</v>
      </c>
      <c r="L870">
        <v>17602</v>
      </c>
      <c r="M870" t="s">
        <v>331</v>
      </c>
      <c r="N870" t="s">
        <v>2876</v>
      </c>
      <c r="O870" t="s">
        <v>229</v>
      </c>
      <c r="P870" t="s">
        <v>258</v>
      </c>
      <c r="Q870" t="s">
        <v>2877</v>
      </c>
      <c r="R870" s="13">
        <v>44.91</v>
      </c>
      <c r="S870">
        <v>6</v>
      </c>
      <c r="T870" s="14">
        <v>0.7</v>
      </c>
      <c r="U870" s="13">
        <v>-35.927999999999997</v>
      </c>
    </row>
    <row r="871" spans="1:21" ht="15" customHeight="1" x14ac:dyDescent="0.3">
      <c r="A871">
        <v>870</v>
      </c>
      <c r="B871" t="s">
        <v>2878</v>
      </c>
      <c r="C871" s="12">
        <v>42616</v>
      </c>
      <c r="D871" s="12">
        <v>42618</v>
      </c>
      <c r="E871" t="s">
        <v>371</v>
      </c>
      <c r="F871" t="s">
        <v>2879</v>
      </c>
      <c r="G871" t="s">
        <v>2880</v>
      </c>
      <c r="H871" t="s">
        <v>285</v>
      </c>
      <c r="I871" t="s">
        <v>210</v>
      </c>
      <c r="J871" t="s">
        <v>329</v>
      </c>
      <c r="K871" t="s">
        <v>330</v>
      </c>
      <c r="L871">
        <v>19143</v>
      </c>
      <c r="M871" t="s">
        <v>331</v>
      </c>
      <c r="N871" t="s">
        <v>2881</v>
      </c>
      <c r="O871" t="s">
        <v>229</v>
      </c>
      <c r="P871" t="s">
        <v>258</v>
      </c>
      <c r="Q871" t="s">
        <v>2882</v>
      </c>
      <c r="R871" s="13">
        <v>1141.47</v>
      </c>
      <c r="S871">
        <v>5</v>
      </c>
      <c r="T871" s="14">
        <v>0.7</v>
      </c>
      <c r="U871" s="13">
        <v>-760.98</v>
      </c>
    </row>
    <row r="872" spans="1:21" ht="15" customHeight="1" x14ac:dyDescent="0.3">
      <c r="A872">
        <v>871</v>
      </c>
      <c r="B872" t="s">
        <v>2878</v>
      </c>
      <c r="C872" s="12">
        <v>42616</v>
      </c>
      <c r="D872" s="12">
        <v>42618</v>
      </c>
      <c r="E872" t="s">
        <v>371</v>
      </c>
      <c r="F872" t="s">
        <v>2879</v>
      </c>
      <c r="G872" t="s">
        <v>2880</v>
      </c>
      <c r="H872" t="s">
        <v>285</v>
      </c>
      <c r="I872" t="s">
        <v>210</v>
      </c>
      <c r="J872" t="s">
        <v>329</v>
      </c>
      <c r="K872" t="s">
        <v>330</v>
      </c>
      <c r="L872">
        <v>19143</v>
      </c>
      <c r="M872" t="s">
        <v>331</v>
      </c>
      <c r="N872" t="s">
        <v>2108</v>
      </c>
      <c r="O872" t="s">
        <v>254</v>
      </c>
      <c r="P872" t="s">
        <v>255</v>
      </c>
      <c r="Q872" t="s">
        <v>2109</v>
      </c>
      <c r="R872" s="13">
        <v>280.78199999999998</v>
      </c>
      <c r="S872">
        <v>3</v>
      </c>
      <c r="T872" s="14">
        <v>0.4</v>
      </c>
      <c r="U872" s="13">
        <v>-46.796999999999997</v>
      </c>
    </row>
    <row r="873" spans="1:21" ht="15" customHeight="1" x14ac:dyDescent="0.3">
      <c r="A873">
        <v>872</v>
      </c>
      <c r="B873" t="s">
        <v>2883</v>
      </c>
      <c r="C873" s="12">
        <v>42296</v>
      </c>
      <c r="D873" s="12">
        <v>42297</v>
      </c>
      <c r="E873" t="s">
        <v>371</v>
      </c>
      <c r="F873" t="s">
        <v>347</v>
      </c>
      <c r="G873" t="s">
        <v>348</v>
      </c>
      <c r="H873" t="s">
        <v>209</v>
      </c>
      <c r="I873" t="s">
        <v>210</v>
      </c>
      <c r="J873" t="s">
        <v>270</v>
      </c>
      <c r="K873" t="s">
        <v>2884</v>
      </c>
      <c r="L873">
        <v>3301</v>
      </c>
      <c r="M873" t="s">
        <v>331</v>
      </c>
      <c r="N873" t="s">
        <v>2885</v>
      </c>
      <c r="O873" t="s">
        <v>229</v>
      </c>
      <c r="P873" t="s">
        <v>273</v>
      </c>
      <c r="Q873" t="s">
        <v>2886</v>
      </c>
      <c r="R873" s="13">
        <v>34.44</v>
      </c>
      <c r="S873">
        <v>3</v>
      </c>
      <c r="T873" s="14">
        <v>0</v>
      </c>
      <c r="U873" s="13">
        <v>17.22</v>
      </c>
    </row>
    <row r="874" spans="1:21" ht="15" customHeight="1" x14ac:dyDescent="0.3">
      <c r="A874">
        <v>873</v>
      </c>
      <c r="B874" t="s">
        <v>2887</v>
      </c>
      <c r="C874" s="12">
        <v>41983</v>
      </c>
      <c r="D874" s="12">
        <v>41988</v>
      </c>
      <c r="E874" t="s">
        <v>233</v>
      </c>
      <c r="F874" t="s">
        <v>2888</v>
      </c>
      <c r="G874" t="s">
        <v>2889</v>
      </c>
      <c r="H874" t="s">
        <v>209</v>
      </c>
      <c r="I874" t="s">
        <v>210</v>
      </c>
      <c r="J874" t="s">
        <v>449</v>
      </c>
      <c r="K874" t="s">
        <v>450</v>
      </c>
      <c r="L874">
        <v>10009</v>
      </c>
      <c r="M874" t="s">
        <v>331</v>
      </c>
      <c r="N874" t="s">
        <v>1223</v>
      </c>
      <c r="O874" t="s">
        <v>229</v>
      </c>
      <c r="P874" t="s">
        <v>273</v>
      </c>
      <c r="Q874" t="s">
        <v>1224</v>
      </c>
      <c r="R874" s="13">
        <v>11.36</v>
      </c>
      <c r="S874">
        <v>2</v>
      </c>
      <c r="T874" s="14">
        <v>0</v>
      </c>
      <c r="U874" s="13">
        <v>5.2256</v>
      </c>
    </row>
    <row r="875" spans="1:21" ht="15" customHeight="1" x14ac:dyDescent="0.3">
      <c r="A875">
        <v>874</v>
      </c>
      <c r="B875" t="s">
        <v>2887</v>
      </c>
      <c r="C875" s="12">
        <v>41983</v>
      </c>
      <c r="D875" s="12">
        <v>41988</v>
      </c>
      <c r="E875" t="s">
        <v>233</v>
      </c>
      <c r="F875" t="s">
        <v>2888</v>
      </c>
      <c r="G875" t="s">
        <v>2889</v>
      </c>
      <c r="H875" t="s">
        <v>209</v>
      </c>
      <c r="I875" t="s">
        <v>210</v>
      </c>
      <c r="J875" t="s">
        <v>449</v>
      </c>
      <c r="K875" t="s">
        <v>450</v>
      </c>
      <c r="L875">
        <v>10009</v>
      </c>
      <c r="M875" t="s">
        <v>331</v>
      </c>
      <c r="N875" t="s">
        <v>1791</v>
      </c>
      <c r="O875" t="s">
        <v>229</v>
      </c>
      <c r="P875" t="s">
        <v>258</v>
      </c>
      <c r="Q875" t="s">
        <v>1792</v>
      </c>
      <c r="R875" s="13">
        <v>106.34399999999999</v>
      </c>
      <c r="S875">
        <v>7</v>
      </c>
      <c r="T875" s="14">
        <v>0.2</v>
      </c>
      <c r="U875" s="13">
        <v>37.220399999999998</v>
      </c>
    </row>
    <row r="876" spans="1:21" ht="15" customHeight="1" x14ac:dyDescent="0.3">
      <c r="A876">
        <v>875</v>
      </c>
      <c r="B876" t="s">
        <v>2890</v>
      </c>
      <c r="C876" s="12">
        <v>42972</v>
      </c>
      <c r="D876" s="12">
        <v>42976</v>
      </c>
      <c r="E876" t="s">
        <v>233</v>
      </c>
      <c r="F876" t="s">
        <v>2815</v>
      </c>
      <c r="G876" t="s">
        <v>2816</v>
      </c>
      <c r="H876" t="s">
        <v>209</v>
      </c>
      <c r="I876" t="s">
        <v>210</v>
      </c>
      <c r="J876" t="s">
        <v>650</v>
      </c>
      <c r="K876" t="s">
        <v>271</v>
      </c>
      <c r="L876">
        <v>28205</v>
      </c>
      <c r="M876" t="s">
        <v>213</v>
      </c>
      <c r="N876" t="s">
        <v>2891</v>
      </c>
      <c r="O876" t="s">
        <v>229</v>
      </c>
      <c r="P876" t="s">
        <v>273</v>
      </c>
      <c r="Q876" t="s">
        <v>2892</v>
      </c>
      <c r="R876" s="13">
        <v>192.16</v>
      </c>
      <c r="S876">
        <v>5</v>
      </c>
      <c r="T876" s="14">
        <v>0.2</v>
      </c>
      <c r="U876" s="13">
        <v>67.256</v>
      </c>
    </row>
    <row r="877" spans="1:21" ht="15" customHeight="1" x14ac:dyDescent="0.3">
      <c r="A877">
        <v>876</v>
      </c>
      <c r="B877" t="s">
        <v>2893</v>
      </c>
      <c r="C877" s="12">
        <v>42386</v>
      </c>
      <c r="D877" s="12">
        <v>42390</v>
      </c>
      <c r="E877" t="s">
        <v>233</v>
      </c>
      <c r="F877" t="s">
        <v>2318</v>
      </c>
      <c r="G877" t="s">
        <v>2319</v>
      </c>
      <c r="H877" t="s">
        <v>285</v>
      </c>
      <c r="I877" t="s">
        <v>210</v>
      </c>
      <c r="J877" t="s">
        <v>270</v>
      </c>
      <c r="K877" t="s">
        <v>2884</v>
      </c>
      <c r="L877">
        <v>3301</v>
      </c>
      <c r="M877" t="s">
        <v>331</v>
      </c>
      <c r="N877" t="s">
        <v>1090</v>
      </c>
      <c r="O877" t="s">
        <v>215</v>
      </c>
      <c r="P877" t="s">
        <v>248</v>
      </c>
      <c r="Q877" t="s">
        <v>1091</v>
      </c>
      <c r="R877" s="13">
        <v>322.58999999999997</v>
      </c>
      <c r="S877">
        <v>3</v>
      </c>
      <c r="T877" s="14">
        <v>0</v>
      </c>
      <c r="U877" s="13">
        <v>64.518000000000001</v>
      </c>
    </row>
    <row r="878" spans="1:21" ht="15" customHeight="1" x14ac:dyDescent="0.3">
      <c r="A878">
        <v>877</v>
      </c>
      <c r="B878" t="s">
        <v>2893</v>
      </c>
      <c r="C878" s="12">
        <v>42386</v>
      </c>
      <c r="D878" s="12">
        <v>42390</v>
      </c>
      <c r="E878" t="s">
        <v>233</v>
      </c>
      <c r="F878" t="s">
        <v>2318</v>
      </c>
      <c r="G878" t="s">
        <v>2319</v>
      </c>
      <c r="H878" t="s">
        <v>285</v>
      </c>
      <c r="I878" t="s">
        <v>210</v>
      </c>
      <c r="J878" t="s">
        <v>270</v>
      </c>
      <c r="K878" t="s">
        <v>2884</v>
      </c>
      <c r="L878">
        <v>3301</v>
      </c>
      <c r="M878" t="s">
        <v>331</v>
      </c>
      <c r="N878" t="s">
        <v>1204</v>
      </c>
      <c r="O878" t="s">
        <v>254</v>
      </c>
      <c r="P878" t="s">
        <v>344</v>
      </c>
      <c r="Q878" t="s">
        <v>1205</v>
      </c>
      <c r="R878" s="13">
        <v>29.99</v>
      </c>
      <c r="S878">
        <v>1</v>
      </c>
      <c r="T878" s="14">
        <v>0</v>
      </c>
      <c r="U878" s="13">
        <v>13.195600000000001</v>
      </c>
    </row>
    <row r="879" spans="1:21" ht="15" customHeight="1" x14ac:dyDescent="0.3">
      <c r="A879">
        <v>878</v>
      </c>
      <c r="B879" t="s">
        <v>2893</v>
      </c>
      <c r="C879" s="12">
        <v>42386</v>
      </c>
      <c r="D879" s="12">
        <v>42390</v>
      </c>
      <c r="E879" t="s">
        <v>233</v>
      </c>
      <c r="F879" t="s">
        <v>2318</v>
      </c>
      <c r="G879" t="s">
        <v>2319</v>
      </c>
      <c r="H879" t="s">
        <v>285</v>
      </c>
      <c r="I879" t="s">
        <v>210</v>
      </c>
      <c r="J879" t="s">
        <v>270</v>
      </c>
      <c r="K879" t="s">
        <v>2884</v>
      </c>
      <c r="L879">
        <v>3301</v>
      </c>
      <c r="M879" t="s">
        <v>331</v>
      </c>
      <c r="N879" t="s">
        <v>2894</v>
      </c>
      <c r="O879" t="s">
        <v>254</v>
      </c>
      <c r="P879" t="s">
        <v>344</v>
      </c>
      <c r="Q879" t="s">
        <v>2895</v>
      </c>
      <c r="R879" s="13">
        <v>371.97</v>
      </c>
      <c r="S879">
        <v>3</v>
      </c>
      <c r="T879" s="14">
        <v>0</v>
      </c>
      <c r="U879" s="13">
        <v>66.954599999999999</v>
      </c>
    </row>
    <row r="880" spans="1:21" ht="15" customHeight="1" x14ac:dyDescent="0.3">
      <c r="A880">
        <v>879</v>
      </c>
      <c r="B880" t="s">
        <v>2896</v>
      </c>
      <c r="C880" s="12">
        <v>41899</v>
      </c>
      <c r="D880" s="12">
        <v>41903</v>
      </c>
      <c r="E880" t="s">
        <v>233</v>
      </c>
      <c r="F880" t="s">
        <v>2897</v>
      </c>
      <c r="G880" t="s">
        <v>2898</v>
      </c>
      <c r="H880" t="s">
        <v>285</v>
      </c>
      <c r="I880" t="s">
        <v>210</v>
      </c>
      <c r="J880" t="s">
        <v>329</v>
      </c>
      <c r="K880" t="s">
        <v>330</v>
      </c>
      <c r="L880">
        <v>19120</v>
      </c>
      <c r="M880" t="s">
        <v>331</v>
      </c>
      <c r="N880" t="s">
        <v>2899</v>
      </c>
      <c r="O880" t="s">
        <v>229</v>
      </c>
      <c r="P880" t="s">
        <v>258</v>
      </c>
      <c r="Q880" t="s">
        <v>2900</v>
      </c>
      <c r="R880" s="13">
        <v>5.8920000000000003</v>
      </c>
      <c r="S880">
        <v>4</v>
      </c>
      <c r="T880" s="14">
        <v>0.7</v>
      </c>
      <c r="U880" s="13">
        <v>-4.1243999999999996</v>
      </c>
    </row>
    <row r="881" spans="1:21" ht="15" customHeight="1" x14ac:dyDescent="0.3">
      <c r="A881">
        <v>880</v>
      </c>
      <c r="B881" t="s">
        <v>2901</v>
      </c>
      <c r="C881" s="12">
        <v>43069</v>
      </c>
      <c r="D881" s="12">
        <v>43071</v>
      </c>
      <c r="E881" t="s">
        <v>206</v>
      </c>
      <c r="F881" t="s">
        <v>283</v>
      </c>
      <c r="G881" t="s">
        <v>284</v>
      </c>
      <c r="H881" t="s">
        <v>285</v>
      </c>
      <c r="I881" t="s">
        <v>210</v>
      </c>
      <c r="J881" t="s">
        <v>449</v>
      </c>
      <c r="K881" t="s">
        <v>450</v>
      </c>
      <c r="L881">
        <v>10024</v>
      </c>
      <c r="M881" t="s">
        <v>331</v>
      </c>
      <c r="N881" t="s">
        <v>2902</v>
      </c>
      <c r="O881" t="s">
        <v>229</v>
      </c>
      <c r="P881" t="s">
        <v>258</v>
      </c>
      <c r="Q881" t="s">
        <v>2903</v>
      </c>
      <c r="R881" s="13">
        <v>68.471999999999994</v>
      </c>
      <c r="S881">
        <v>3</v>
      </c>
      <c r="T881" s="14">
        <v>0.2</v>
      </c>
      <c r="U881" s="13">
        <v>23.109300000000001</v>
      </c>
    </row>
    <row r="882" spans="1:21" ht="15" customHeight="1" x14ac:dyDescent="0.3">
      <c r="A882">
        <v>881</v>
      </c>
      <c r="B882" t="s">
        <v>2901</v>
      </c>
      <c r="C882" s="12">
        <v>43069</v>
      </c>
      <c r="D882" s="12">
        <v>43071</v>
      </c>
      <c r="E882" t="s">
        <v>206</v>
      </c>
      <c r="F882" t="s">
        <v>283</v>
      </c>
      <c r="G882" t="s">
        <v>284</v>
      </c>
      <c r="H882" t="s">
        <v>285</v>
      </c>
      <c r="I882" t="s">
        <v>210</v>
      </c>
      <c r="J882" t="s">
        <v>449</v>
      </c>
      <c r="K882" t="s">
        <v>450</v>
      </c>
      <c r="L882">
        <v>10024</v>
      </c>
      <c r="M882" t="s">
        <v>331</v>
      </c>
      <c r="N882" t="s">
        <v>871</v>
      </c>
      <c r="O882" t="s">
        <v>215</v>
      </c>
      <c r="P882" t="s">
        <v>219</v>
      </c>
      <c r="Q882" t="s">
        <v>872</v>
      </c>
      <c r="R882" s="13">
        <v>1242.9000000000001</v>
      </c>
      <c r="S882">
        <v>5</v>
      </c>
      <c r="T882" s="14">
        <v>0.1</v>
      </c>
      <c r="U882" s="13">
        <v>262.39</v>
      </c>
    </row>
    <row r="883" spans="1:21" ht="15" customHeight="1" x14ac:dyDescent="0.3">
      <c r="A883">
        <v>882</v>
      </c>
      <c r="B883" t="s">
        <v>2904</v>
      </c>
      <c r="C883" s="12">
        <v>42286</v>
      </c>
      <c r="D883" s="12">
        <v>42290</v>
      </c>
      <c r="E883" t="s">
        <v>233</v>
      </c>
      <c r="F883" t="s">
        <v>691</v>
      </c>
      <c r="G883" t="s">
        <v>692</v>
      </c>
      <c r="H883" t="s">
        <v>209</v>
      </c>
      <c r="I883" t="s">
        <v>210</v>
      </c>
      <c r="J883" t="s">
        <v>501</v>
      </c>
      <c r="K883" t="s">
        <v>502</v>
      </c>
      <c r="L883">
        <v>22153</v>
      </c>
      <c r="M883" t="s">
        <v>213</v>
      </c>
      <c r="N883" t="s">
        <v>1823</v>
      </c>
      <c r="O883" t="s">
        <v>229</v>
      </c>
      <c r="P883" t="s">
        <v>242</v>
      </c>
      <c r="Q883" t="s">
        <v>1824</v>
      </c>
      <c r="R883" s="13">
        <v>30.84</v>
      </c>
      <c r="S883">
        <v>2</v>
      </c>
      <c r="T883" s="14">
        <v>0</v>
      </c>
      <c r="U883" s="13">
        <v>8.3268000000000004</v>
      </c>
    </row>
    <row r="884" spans="1:21" ht="15" customHeight="1" x14ac:dyDescent="0.3">
      <c r="A884">
        <v>883</v>
      </c>
      <c r="B884" t="s">
        <v>2905</v>
      </c>
      <c r="C884" s="12">
        <v>43092</v>
      </c>
      <c r="D884" s="12">
        <v>43092</v>
      </c>
      <c r="E884" t="s">
        <v>1476</v>
      </c>
      <c r="F884" t="s">
        <v>632</v>
      </c>
      <c r="G884" t="s">
        <v>633</v>
      </c>
      <c r="H884" t="s">
        <v>209</v>
      </c>
      <c r="I884" t="s">
        <v>210</v>
      </c>
      <c r="J884" t="s">
        <v>310</v>
      </c>
      <c r="K884" t="s">
        <v>226</v>
      </c>
      <c r="L884">
        <v>94109</v>
      </c>
      <c r="M884" t="s">
        <v>227</v>
      </c>
      <c r="N884" t="s">
        <v>2445</v>
      </c>
      <c r="O884" t="s">
        <v>229</v>
      </c>
      <c r="P884" t="s">
        <v>251</v>
      </c>
      <c r="Q884" t="s">
        <v>2446</v>
      </c>
      <c r="R884" s="13">
        <v>13.48</v>
      </c>
      <c r="S884">
        <v>4</v>
      </c>
      <c r="T884" s="14">
        <v>0</v>
      </c>
      <c r="U884" s="13">
        <v>5.9311999999999996</v>
      </c>
    </row>
    <row r="885" spans="1:21" ht="15" customHeight="1" x14ac:dyDescent="0.3">
      <c r="A885">
        <v>884</v>
      </c>
      <c r="B885" t="s">
        <v>2906</v>
      </c>
      <c r="C885" s="12">
        <v>42665</v>
      </c>
      <c r="D885" s="12">
        <v>42667</v>
      </c>
      <c r="E885" t="s">
        <v>371</v>
      </c>
      <c r="F885" t="s">
        <v>2907</v>
      </c>
      <c r="G885" t="s">
        <v>2908</v>
      </c>
      <c r="H885" t="s">
        <v>285</v>
      </c>
      <c r="I885" t="s">
        <v>210</v>
      </c>
      <c r="J885" t="s">
        <v>1065</v>
      </c>
      <c r="K885" t="s">
        <v>421</v>
      </c>
      <c r="L885">
        <v>48227</v>
      </c>
      <c r="M885" t="s">
        <v>288</v>
      </c>
      <c r="N885" t="s">
        <v>2299</v>
      </c>
      <c r="O885" t="s">
        <v>215</v>
      </c>
      <c r="P885" t="s">
        <v>248</v>
      </c>
      <c r="Q885" t="s">
        <v>2300</v>
      </c>
      <c r="R885" s="13">
        <v>31.4</v>
      </c>
      <c r="S885">
        <v>5</v>
      </c>
      <c r="T885" s="14">
        <v>0</v>
      </c>
      <c r="U885" s="13">
        <v>10.048</v>
      </c>
    </row>
    <row r="886" spans="1:21" ht="15" customHeight="1" x14ac:dyDescent="0.3">
      <c r="A886">
        <v>885</v>
      </c>
      <c r="B886" t="s">
        <v>2909</v>
      </c>
      <c r="C886" s="12">
        <v>41758</v>
      </c>
      <c r="D886" s="12">
        <v>41763</v>
      </c>
      <c r="E886" t="s">
        <v>233</v>
      </c>
      <c r="F886" t="s">
        <v>2910</v>
      </c>
      <c r="G886" t="s">
        <v>2911</v>
      </c>
      <c r="H886" t="s">
        <v>209</v>
      </c>
      <c r="I886" t="s">
        <v>210</v>
      </c>
      <c r="J886" t="s">
        <v>572</v>
      </c>
      <c r="K886" t="s">
        <v>450</v>
      </c>
      <c r="L886">
        <v>14609</v>
      </c>
      <c r="M886" t="s">
        <v>331</v>
      </c>
      <c r="N886" t="s">
        <v>2912</v>
      </c>
      <c r="O886" t="s">
        <v>215</v>
      </c>
      <c r="P886" t="s">
        <v>248</v>
      </c>
      <c r="Q886" t="s">
        <v>2913</v>
      </c>
      <c r="R886" s="13">
        <v>17.46</v>
      </c>
      <c r="S886">
        <v>2</v>
      </c>
      <c r="T886" s="14">
        <v>0</v>
      </c>
      <c r="U886" s="13">
        <v>5.9363999999999999</v>
      </c>
    </row>
    <row r="887" spans="1:21" ht="15" customHeight="1" x14ac:dyDescent="0.3">
      <c r="A887">
        <v>886</v>
      </c>
      <c r="B887" t="s">
        <v>2914</v>
      </c>
      <c r="C887" s="12">
        <v>42119</v>
      </c>
      <c r="D887" s="12">
        <v>42122</v>
      </c>
      <c r="E887" t="s">
        <v>206</v>
      </c>
      <c r="F887" t="s">
        <v>2915</v>
      </c>
      <c r="G887" t="s">
        <v>2916</v>
      </c>
      <c r="H887" t="s">
        <v>224</v>
      </c>
      <c r="I887" t="s">
        <v>210</v>
      </c>
      <c r="J887" t="s">
        <v>225</v>
      </c>
      <c r="K887" t="s">
        <v>226</v>
      </c>
      <c r="L887">
        <v>90045</v>
      </c>
      <c r="M887" t="s">
        <v>227</v>
      </c>
      <c r="N887" t="s">
        <v>2917</v>
      </c>
      <c r="O887" t="s">
        <v>229</v>
      </c>
      <c r="P887" t="s">
        <v>258</v>
      </c>
      <c r="Q887" t="s">
        <v>2918</v>
      </c>
      <c r="R887" s="13">
        <v>13.944000000000001</v>
      </c>
      <c r="S887">
        <v>3</v>
      </c>
      <c r="T887" s="14">
        <v>0.2</v>
      </c>
      <c r="U887" s="13">
        <v>4.5317999999999996</v>
      </c>
    </row>
    <row r="888" spans="1:21" ht="15" customHeight="1" x14ac:dyDescent="0.3">
      <c r="A888">
        <v>887</v>
      </c>
      <c r="B888" t="s">
        <v>2919</v>
      </c>
      <c r="C888" s="12">
        <v>42912</v>
      </c>
      <c r="D888" s="12">
        <v>42918</v>
      </c>
      <c r="E888" t="s">
        <v>233</v>
      </c>
      <c r="F888" t="s">
        <v>2080</v>
      </c>
      <c r="G888" t="s">
        <v>2081</v>
      </c>
      <c r="H888" t="s">
        <v>209</v>
      </c>
      <c r="I888" t="s">
        <v>210</v>
      </c>
      <c r="J888" t="s">
        <v>1133</v>
      </c>
      <c r="K888" t="s">
        <v>226</v>
      </c>
      <c r="L888">
        <v>92105</v>
      </c>
      <c r="M888" t="s">
        <v>227</v>
      </c>
      <c r="N888" t="s">
        <v>2920</v>
      </c>
      <c r="O888" t="s">
        <v>229</v>
      </c>
      <c r="P888" t="s">
        <v>242</v>
      </c>
      <c r="Q888" t="s">
        <v>2921</v>
      </c>
      <c r="R888" s="13">
        <v>83.76</v>
      </c>
      <c r="S888">
        <v>12</v>
      </c>
      <c r="T888" s="14">
        <v>0</v>
      </c>
      <c r="U888" s="13">
        <v>1.6752</v>
      </c>
    </row>
    <row r="889" spans="1:21" ht="15" customHeight="1" x14ac:dyDescent="0.3">
      <c r="A889">
        <v>888</v>
      </c>
      <c r="B889" t="s">
        <v>2922</v>
      </c>
      <c r="C889" s="12">
        <v>43022</v>
      </c>
      <c r="D889" s="12">
        <v>43027</v>
      </c>
      <c r="E889" t="s">
        <v>233</v>
      </c>
      <c r="F889" t="s">
        <v>2923</v>
      </c>
      <c r="G889" t="s">
        <v>2924</v>
      </c>
      <c r="H889" t="s">
        <v>285</v>
      </c>
      <c r="I889" t="s">
        <v>210</v>
      </c>
      <c r="J889" t="s">
        <v>565</v>
      </c>
      <c r="K889" t="s">
        <v>2925</v>
      </c>
      <c r="L889">
        <v>21044</v>
      </c>
      <c r="M889" t="s">
        <v>331</v>
      </c>
      <c r="N889" t="s">
        <v>477</v>
      </c>
      <c r="O889" t="s">
        <v>229</v>
      </c>
      <c r="P889" t="s">
        <v>258</v>
      </c>
      <c r="Q889" t="s">
        <v>478</v>
      </c>
      <c r="R889" s="13">
        <v>37.659999999999997</v>
      </c>
      <c r="S889">
        <v>7</v>
      </c>
      <c r="T889" s="14">
        <v>0</v>
      </c>
      <c r="U889" s="13">
        <v>18.453399999999998</v>
      </c>
    </row>
    <row r="890" spans="1:21" ht="15" customHeight="1" x14ac:dyDescent="0.3">
      <c r="A890">
        <v>889</v>
      </c>
      <c r="B890" t="s">
        <v>2926</v>
      </c>
      <c r="C890" s="12">
        <v>41982</v>
      </c>
      <c r="D890" s="12">
        <v>41989</v>
      </c>
      <c r="E890" t="s">
        <v>233</v>
      </c>
      <c r="F890" t="s">
        <v>2821</v>
      </c>
      <c r="G890" t="s">
        <v>2822</v>
      </c>
      <c r="H890" t="s">
        <v>224</v>
      </c>
      <c r="I890" t="s">
        <v>210</v>
      </c>
      <c r="J890" t="s">
        <v>310</v>
      </c>
      <c r="K890" t="s">
        <v>226</v>
      </c>
      <c r="L890">
        <v>94122</v>
      </c>
      <c r="M890" t="s">
        <v>227</v>
      </c>
      <c r="N890" t="s">
        <v>1653</v>
      </c>
      <c r="O890" t="s">
        <v>229</v>
      </c>
      <c r="P890" t="s">
        <v>273</v>
      </c>
      <c r="Q890" t="s">
        <v>1654</v>
      </c>
      <c r="R890" s="13">
        <v>34.68</v>
      </c>
      <c r="S890">
        <v>6</v>
      </c>
      <c r="T890" s="14">
        <v>0</v>
      </c>
      <c r="U890" s="13">
        <v>16.993200000000002</v>
      </c>
    </row>
    <row r="891" spans="1:21" ht="15" customHeight="1" x14ac:dyDescent="0.3">
      <c r="A891">
        <v>890</v>
      </c>
      <c r="B891" t="s">
        <v>2927</v>
      </c>
      <c r="C891" s="12">
        <v>42906</v>
      </c>
      <c r="D891" s="12">
        <v>42912</v>
      </c>
      <c r="E891" t="s">
        <v>233</v>
      </c>
      <c r="F891" t="s">
        <v>1833</v>
      </c>
      <c r="G891" t="s">
        <v>1834</v>
      </c>
      <c r="H891" t="s">
        <v>209</v>
      </c>
      <c r="I891" t="s">
        <v>210</v>
      </c>
      <c r="J891" t="s">
        <v>1687</v>
      </c>
      <c r="K891" t="s">
        <v>450</v>
      </c>
      <c r="L891">
        <v>10801</v>
      </c>
      <c r="M891" t="s">
        <v>331</v>
      </c>
      <c r="N891" t="s">
        <v>2928</v>
      </c>
      <c r="O891" t="s">
        <v>254</v>
      </c>
      <c r="P891" t="s">
        <v>344</v>
      </c>
      <c r="Q891" t="s">
        <v>2929</v>
      </c>
      <c r="R891" s="13">
        <v>149.94999999999999</v>
      </c>
      <c r="S891">
        <v>5</v>
      </c>
      <c r="T891" s="14">
        <v>0</v>
      </c>
      <c r="U891" s="13">
        <v>14.994999999999999</v>
      </c>
    </row>
    <row r="892" spans="1:21" ht="15" customHeight="1" x14ac:dyDescent="0.3">
      <c r="A892">
        <v>891</v>
      </c>
      <c r="B892" t="s">
        <v>2927</v>
      </c>
      <c r="C892" s="12">
        <v>42906</v>
      </c>
      <c r="D892" s="12">
        <v>42912</v>
      </c>
      <c r="E892" t="s">
        <v>233</v>
      </c>
      <c r="F892" t="s">
        <v>1833</v>
      </c>
      <c r="G892" t="s">
        <v>1834</v>
      </c>
      <c r="H892" t="s">
        <v>209</v>
      </c>
      <c r="I892" t="s">
        <v>210</v>
      </c>
      <c r="J892" t="s">
        <v>1687</v>
      </c>
      <c r="K892" t="s">
        <v>450</v>
      </c>
      <c r="L892">
        <v>10801</v>
      </c>
      <c r="M892" t="s">
        <v>331</v>
      </c>
      <c r="N892" t="s">
        <v>1784</v>
      </c>
      <c r="O892" t="s">
        <v>229</v>
      </c>
      <c r="P892" t="s">
        <v>258</v>
      </c>
      <c r="Q892" t="s">
        <v>1785</v>
      </c>
      <c r="R892" s="13">
        <v>51.311999999999998</v>
      </c>
      <c r="S892">
        <v>3</v>
      </c>
      <c r="T892" s="14">
        <v>0.2</v>
      </c>
      <c r="U892" s="13">
        <v>18.6006</v>
      </c>
    </row>
    <row r="893" spans="1:21" ht="15" customHeight="1" x14ac:dyDescent="0.3">
      <c r="A893">
        <v>892</v>
      </c>
      <c r="B893" t="s">
        <v>2930</v>
      </c>
      <c r="C893" s="12">
        <v>42912</v>
      </c>
      <c r="D893" s="12">
        <v>42913</v>
      </c>
      <c r="E893" t="s">
        <v>371</v>
      </c>
      <c r="F893" t="s">
        <v>2472</v>
      </c>
      <c r="G893" t="s">
        <v>2473</v>
      </c>
      <c r="H893" t="s">
        <v>285</v>
      </c>
      <c r="I893" t="s">
        <v>210</v>
      </c>
      <c r="J893" t="s">
        <v>1065</v>
      </c>
      <c r="K893" t="s">
        <v>421</v>
      </c>
      <c r="L893">
        <v>48227</v>
      </c>
      <c r="M893" t="s">
        <v>288</v>
      </c>
      <c r="N893" t="s">
        <v>2931</v>
      </c>
      <c r="O893" t="s">
        <v>229</v>
      </c>
      <c r="P893" t="s">
        <v>273</v>
      </c>
      <c r="Q893" t="s">
        <v>2932</v>
      </c>
      <c r="R893" s="13">
        <v>4.54</v>
      </c>
      <c r="S893">
        <v>1</v>
      </c>
      <c r="T893" s="14">
        <v>0</v>
      </c>
      <c r="U893" s="13">
        <v>2.0430000000000001</v>
      </c>
    </row>
    <row r="894" spans="1:21" ht="15" customHeight="1" x14ac:dyDescent="0.3">
      <c r="A894">
        <v>893</v>
      </c>
      <c r="B894" t="s">
        <v>2930</v>
      </c>
      <c r="C894" s="12">
        <v>42912</v>
      </c>
      <c r="D894" s="12">
        <v>42913</v>
      </c>
      <c r="E894" t="s">
        <v>371</v>
      </c>
      <c r="F894" t="s">
        <v>2472</v>
      </c>
      <c r="G894" t="s">
        <v>2473</v>
      </c>
      <c r="H894" t="s">
        <v>285</v>
      </c>
      <c r="I894" t="s">
        <v>210</v>
      </c>
      <c r="J894" t="s">
        <v>1065</v>
      </c>
      <c r="K894" t="s">
        <v>421</v>
      </c>
      <c r="L894">
        <v>48227</v>
      </c>
      <c r="M894" t="s">
        <v>288</v>
      </c>
      <c r="N894" t="s">
        <v>2933</v>
      </c>
      <c r="O894" t="s">
        <v>229</v>
      </c>
      <c r="P894" t="s">
        <v>251</v>
      </c>
      <c r="Q894" t="s">
        <v>2934</v>
      </c>
      <c r="R894" s="13">
        <v>15.92</v>
      </c>
      <c r="S894">
        <v>4</v>
      </c>
      <c r="T894" s="14">
        <v>0</v>
      </c>
      <c r="U894" s="13">
        <v>5.4127999999999998</v>
      </c>
    </row>
    <row r="895" spans="1:21" ht="15" customHeight="1" x14ac:dyDescent="0.3">
      <c r="A895">
        <v>894</v>
      </c>
      <c r="B895" t="s">
        <v>2930</v>
      </c>
      <c r="C895" s="12">
        <v>42912</v>
      </c>
      <c r="D895" s="12">
        <v>42913</v>
      </c>
      <c r="E895" t="s">
        <v>371</v>
      </c>
      <c r="F895" t="s">
        <v>2472</v>
      </c>
      <c r="G895" t="s">
        <v>2473</v>
      </c>
      <c r="H895" t="s">
        <v>285</v>
      </c>
      <c r="I895" t="s">
        <v>210</v>
      </c>
      <c r="J895" t="s">
        <v>1065</v>
      </c>
      <c r="K895" t="s">
        <v>421</v>
      </c>
      <c r="L895">
        <v>48227</v>
      </c>
      <c r="M895" t="s">
        <v>288</v>
      </c>
      <c r="N895" t="s">
        <v>2935</v>
      </c>
      <c r="O895" t="s">
        <v>254</v>
      </c>
      <c r="P895" t="s">
        <v>255</v>
      </c>
      <c r="Q895" t="s">
        <v>2936</v>
      </c>
      <c r="R895" s="13">
        <v>543.91999999999996</v>
      </c>
      <c r="S895">
        <v>8</v>
      </c>
      <c r="T895" s="14">
        <v>0</v>
      </c>
      <c r="U895" s="13">
        <v>135.97999999999999</v>
      </c>
    </row>
    <row r="896" spans="1:21" ht="15" customHeight="1" x14ac:dyDescent="0.3">
      <c r="A896">
        <v>895</v>
      </c>
      <c r="B896" t="s">
        <v>2937</v>
      </c>
      <c r="C896" s="12">
        <v>42684</v>
      </c>
      <c r="D896" s="12">
        <v>42686</v>
      </c>
      <c r="E896" t="s">
        <v>371</v>
      </c>
      <c r="F896" t="s">
        <v>2938</v>
      </c>
      <c r="G896" t="s">
        <v>2939</v>
      </c>
      <c r="H896" t="s">
        <v>224</v>
      </c>
      <c r="I896" t="s">
        <v>210</v>
      </c>
      <c r="J896" t="s">
        <v>310</v>
      </c>
      <c r="K896" t="s">
        <v>226</v>
      </c>
      <c r="L896">
        <v>94122</v>
      </c>
      <c r="M896" t="s">
        <v>227</v>
      </c>
      <c r="N896" t="s">
        <v>1492</v>
      </c>
      <c r="O896" t="s">
        <v>229</v>
      </c>
      <c r="P896" t="s">
        <v>242</v>
      </c>
      <c r="Q896" t="s">
        <v>1493</v>
      </c>
      <c r="R896" s="13">
        <v>155.82</v>
      </c>
      <c r="S896">
        <v>7</v>
      </c>
      <c r="T896" s="14">
        <v>0</v>
      </c>
      <c r="U896" s="13">
        <v>42.071399999999997</v>
      </c>
    </row>
    <row r="897" spans="1:21" ht="15" customHeight="1" x14ac:dyDescent="0.3">
      <c r="A897">
        <v>896</v>
      </c>
      <c r="B897" t="s">
        <v>2937</v>
      </c>
      <c r="C897" s="12">
        <v>42684</v>
      </c>
      <c r="D897" s="12">
        <v>42686</v>
      </c>
      <c r="E897" t="s">
        <v>371</v>
      </c>
      <c r="F897" t="s">
        <v>2938</v>
      </c>
      <c r="G897" t="s">
        <v>2939</v>
      </c>
      <c r="H897" t="s">
        <v>224</v>
      </c>
      <c r="I897" t="s">
        <v>210</v>
      </c>
      <c r="J897" t="s">
        <v>310</v>
      </c>
      <c r="K897" t="s">
        <v>226</v>
      </c>
      <c r="L897">
        <v>94122</v>
      </c>
      <c r="M897" t="s">
        <v>227</v>
      </c>
      <c r="N897" t="s">
        <v>2940</v>
      </c>
      <c r="O897" t="s">
        <v>229</v>
      </c>
      <c r="P897" t="s">
        <v>258</v>
      </c>
      <c r="Q897" t="s">
        <v>2941</v>
      </c>
      <c r="R897" s="13">
        <v>70.007999999999996</v>
      </c>
      <c r="S897">
        <v>3</v>
      </c>
      <c r="T897" s="14">
        <v>0.2</v>
      </c>
      <c r="U897" s="13">
        <v>24.502800000000001</v>
      </c>
    </row>
    <row r="898" spans="1:21" ht="15" customHeight="1" x14ac:dyDescent="0.3">
      <c r="A898">
        <v>897</v>
      </c>
      <c r="B898" t="s">
        <v>2942</v>
      </c>
      <c r="C898" s="12">
        <v>42646</v>
      </c>
      <c r="D898" s="12">
        <v>42649</v>
      </c>
      <c r="E898" t="s">
        <v>206</v>
      </c>
      <c r="F898" t="s">
        <v>2943</v>
      </c>
      <c r="G898" t="s">
        <v>2944</v>
      </c>
      <c r="H898" t="s">
        <v>209</v>
      </c>
      <c r="I898" t="s">
        <v>210</v>
      </c>
      <c r="J898" t="s">
        <v>367</v>
      </c>
      <c r="K898" t="s">
        <v>287</v>
      </c>
      <c r="L898">
        <v>77095</v>
      </c>
      <c r="M898" t="s">
        <v>288</v>
      </c>
      <c r="N898" t="s">
        <v>2945</v>
      </c>
      <c r="O898" t="s">
        <v>229</v>
      </c>
      <c r="P898" t="s">
        <v>356</v>
      </c>
      <c r="Q898" t="s">
        <v>854</v>
      </c>
      <c r="R898" s="13">
        <v>15.648</v>
      </c>
      <c r="S898">
        <v>2</v>
      </c>
      <c r="T898" s="14">
        <v>0.2</v>
      </c>
      <c r="U898" s="13">
        <v>5.0856000000000003</v>
      </c>
    </row>
    <row r="899" spans="1:21" ht="15" customHeight="1" x14ac:dyDescent="0.3">
      <c r="A899">
        <v>898</v>
      </c>
      <c r="B899" t="s">
        <v>2946</v>
      </c>
      <c r="C899" s="12">
        <v>41891</v>
      </c>
      <c r="D899" s="12">
        <v>41897</v>
      </c>
      <c r="E899" t="s">
        <v>233</v>
      </c>
      <c r="F899" t="s">
        <v>2947</v>
      </c>
      <c r="G899" t="s">
        <v>2948</v>
      </c>
      <c r="H899" t="s">
        <v>209</v>
      </c>
      <c r="I899" t="s">
        <v>210</v>
      </c>
      <c r="J899" t="s">
        <v>1065</v>
      </c>
      <c r="K899" t="s">
        <v>421</v>
      </c>
      <c r="L899">
        <v>48227</v>
      </c>
      <c r="M899" t="s">
        <v>288</v>
      </c>
      <c r="N899" t="s">
        <v>1855</v>
      </c>
      <c r="O899" t="s">
        <v>229</v>
      </c>
      <c r="P899" t="s">
        <v>230</v>
      </c>
      <c r="Q899" t="s">
        <v>1856</v>
      </c>
      <c r="R899" s="13">
        <v>103.6</v>
      </c>
      <c r="S899">
        <v>7</v>
      </c>
      <c r="T899" s="14">
        <v>0</v>
      </c>
      <c r="U899" s="13">
        <v>51.8</v>
      </c>
    </row>
    <row r="900" spans="1:21" ht="15" customHeight="1" x14ac:dyDescent="0.3">
      <c r="A900">
        <v>899</v>
      </c>
      <c r="B900" t="s">
        <v>2949</v>
      </c>
      <c r="C900" s="12">
        <v>43037</v>
      </c>
      <c r="D900" s="12">
        <v>43039</v>
      </c>
      <c r="E900" t="s">
        <v>206</v>
      </c>
      <c r="F900" t="s">
        <v>2950</v>
      </c>
      <c r="G900" t="s">
        <v>2951</v>
      </c>
      <c r="H900" t="s">
        <v>224</v>
      </c>
      <c r="I900" t="s">
        <v>210</v>
      </c>
      <c r="J900" t="s">
        <v>1748</v>
      </c>
      <c r="K900" t="s">
        <v>450</v>
      </c>
      <c r="L900">
        <v>13021</v>
      </c>
      <c r="M900" t="s">
        <v>331</v>
      </c>
      <c r="N900" t="s">
        <v>2952</v>
      </c>
      <c r="O900" t="s">
        <v>229</v>
      </c>
      <c r="P900" t="s">
        <v>273</v>
      </c>
      <c r="Q900" t="s">
        <v>2953</v>
      </c>
      <c r="R900" s="13">
        <v>46.96</v>
      </c>
      <c r="S900">
        <v>8</v>
      </c>
      <c r="T900" s="14">
        <v>0</v>
      </c>
      <c r="U900" s="13">
        <v>22.540800000000001</v>
      </c>
    </row>
    <row r="901" spans="1:21" ht="15" customHeight="1" x14ac:dyDescent="0.3">
      <c r="A901">
        <v>900</v>
      </c>
      <c r="B901" t="s">
        <v>2954</v>
      </c>
      <c r="C901" s="12">
        <v>42470</v>
      </c>
      <c r="D901" s="12">
        <v>42472</v>
      </c>
      <c r="E901" t="s">
        <v>371</v>
      </c>
      <c r="F901" t="s">
        <v>2955</v>
      </c>
      <c r="G901" t="s">
        <v>2956</v>
      </c>
      <c r="H901" t="s">
        <v>224</v>
      </c>
      <c r="I901" t="s">
        <v>210</v>
      </c>
      <c r="J901" t="s">
        <v>501</v>
      </c>
      <c r="K901" t="s">
        <v>681</v>
      </c>
      <c r="L901">
        <v>45503</v>
      </c>
      <c r="M901" t="s">
        <v>331</v>
      </c>
      <c r="N901" t="s">
        <v>2957</v>
      </c>
      <c r="O901" t="s">
        <v>229</v>
      </c>
      <c r="P901" t="s">
        <v>258</v>
      </c>
      <c r="Q901" t="s">
        <v>2958</v>
      </c>
      <c r="R901" s="13">
        <v>8.9039999999999999</v>
      </c>
      <c r="S901">
        <v>2</v>
      </c>
      <c r="T901" s="14">
        <v>0.7</v>
      </c>
      <c r="U901" s="13">
        <v>-6.5296000000000003</v>
      </c>
    </row>
    <row r="902" spans="1:21" ht="15" customHeight="1" x14ac:dyDescent="0.3">
      <c r="A902">
        <v>901</v>
      </c>
      <c r="B902" t="s">
        <v>2959</v>
      </c>
      <c r="C902" s="12">
        <v>43050</v>
      </c>
      <c r="D902" s="12">
        <v>43052</v>
      </c>
      <c r="E902" t="s">
        <v>371</v>
      </c>
      <c r="F902" t="s">
        <v>1428</v>
      </c>
      <c r="G902" t="s">
        <v>1429</v>
      </c>
      <c r="H902" t="s">
        <v>209</v>
      </c>
      <c r="I902" t="s">
        <v>210</v>
      </c>
      <c r="J902" t="s">
        <v>2960</v>
      </c>
      <c r="K902" t="s">
        <v>287</v>
      </c>
      <c r="L902">
        <v>75043</v>
      </c>
      <c r="M902" t="s">
        <v>288</v>
      </c>
      <c r="N902" t="s">
        <v>2961</v>
      </c>
      <c r="O902" t="s">
        <v>229</v>
      </c>
      <c r="P902" t="s">
        <v>230</v>
      </c>
      <c r="Q902" t="s">
        <v>2962</v>
      </c>
      <c r="R902" s="13">
        <v>10.44</v>
      </c>
      <c r="S902">
        <v>5</v>
      </c>
      <c r="T902" s="14">
        <v>0.2</v>
      </c>
      <c r="U902" s="13">
        <v>3.3929999999999998</v>
      </c>
    </row>
    <row r="903" spans="1:21" ht="15" customHeight="1" x14ac:dyDescent="0.3">
      <c r="A903">
        <v>902</v>
      </c>
      <c r="B903" t="s">
        <v>2959</v>
      </c>
      <c r="C903" s="12">
        <v>43050</v>
      </c>
      <c r="D903" s="12">
        <v>43052</v>
      </c>
      <c r="E903" t="s">
        <v>371</v>
      </c>
      <c r="F903" t="s">
        <v>1428</v>
      </c>
      <c r="G903" t="s">
        <v>1429</v>
      </c>
      <c r="H903" t="s">
        <v>209</v>
      </c>
      <c r="I903" t="s">
        <v>210</v>
      </c>
      <c r="J903" t="s">
        <v>2960</v>
      </c>
      <c r="K903" t="s">
        <v>287</v>
      </c>
      <c r="L903">
        <v>75043</v>
      </c>
      <c r="M903" t="s">
        <v>288</v>
      </c>
      <c r="N903" t="s">
        <v>2963</v>
      </c>
      <c r="O903" t="s">
        <v>229</v>
      </c>
      <c r="P903" t="s">
        <v>258</v>
      </c>
      <c r="Q903" t="s">
        <v>2964</v>
      </c>
      <c r="R903" s="13">
        <v>18.335999999999999</v>
      </c>
      <c r="S903">
        <v>4</v>
      </c>
      <c r="T903" s="14">
        <v>0.8</v>
      </c>
      <c r="U903" s="13">
        <v>-32.088000000000001</v>
      </c>
    </row>
    <row r="904" spans="1:21" ht="15" customHeight="1" x14ac:dyDescent="0.3">
      <c r="A904">
        <v>903</v>
      </c>
      <c r="B904" t="s">
        <v>2965</v>
      </c>
      <c r="C904" s="12">
        <v>42993</v>
      </c>
      <c r="D904" s="12">
        <v>42995</v>
      </c>
      <c r="E904" t="s">
        <v>371</v>
      </c>
      <c r="F904" t="s">
        <v>827</v>
      </c>
      <c r="G904" t="s">
        <v>828</v>
      </c>
      <c r="H904" t="s">
        <v>209</v>
      </c>
      <c r="I904" t="s">
        <v>210</v>
      </c>
      <c r="J904" t="s">
        <v>486</v>
      </c>
      <c r="K904" t="s">
        <v>394</v>
      </c>
      <c r="L904">
        <v>60653</v>
      </c>
      <c r="M904" t="s">
        <v>288</v>
      </c>
      <c r="N904" t="s">
        <v>836</v>
      </c>
      <c r="O904" t="s">
        <v>254</v>
      </c>
      <c r="P904" t="s">
        <v>255</v>
      </c>
      <c r="Q904" t="s">
        <v>837</v>
      </c>
      <c r="R904" s="13">
        <v>323.976</v>
      </c>
      <c r="S904">
        <v>3</v>
      </c>
      <c r="T904" s="14">
        <v>0.2</v>
      </c>
      <c r="U904" s="13">
        <v>20.2485</v>
      </c>
    </row>
    <row r="905" spans="1:21" ht="15" customHeight="1" x14ac:dyDescent="0.3">
      <c r="A905">
        <v>904</v>
      </c>
      <c r="B905" t="s">
        <v>2966</v>
      </c>
      <c r="C905" s="12">
        <v>42468</v>
      </c>
      <c r="D905" s="12">
        <v>42472</v>
      </c>
      <c r="E905" t="s">
        <v>233</v>
      </c>
      <c r="F905" t="s">
        <v>998</v>
      </c>
      <c r="G905" t="s">
        <v>999</v>
      </c>
      <c r="H905" t="s">
        <v>209</v>
      </c>
      <c r="I905" t="s">
        <v>210</v>
      </c>
      <c r="J905" t="s">
        <v>225</v>
      </c>
      <c r="K905" t="s">
        <v>226</v>
      </c>
      <c r="L905">
        <v>90032</v>
      </c>
      <c r="M905" t="s">
        <v>227</v>
      </c>
      <c r="N905" t="s">
        <v>2967</v>
      </c>
      <c r="O905" t="s">
        <v>229</v>
      </c>
      <c r="P905" t="s">
        <v>273</v>
      </c>
      <c r="Q905" t="s">
        <v>2968</v>
      </c>
      <c r="R905" s="13">
        <v>20.04</v>
      </c>
      <c r="S905">
        <v>3</v>
      </c>
      <c r="T905" s="14">
        <v>0</v>
      </c>
      <c r="U905" s="13">
        <v>9.6191999999999993</v>
      </c>
    </row>
    <row r="906" spans="1:21" ht="15" customHeight="1" x14ac:dyDescent="0.3">
      <c r="A906">
        <v>905</v>
      </c>
      <c r="B906" t="s">
        <v>2966</v>
      </c>
      <c r="C906" s="12">
        <v>42468</v>
      </c>
      <c r="D906" s="12">
        <v>42472</v>
      </c>
      <c r="E906" t="s">
        <v>233</v>
      </c>
      <c r="F906" t="s">
        <v>998</v>
      </c>
      <c r="G906" t="s">
        <v>999</v>
      </c>
      <c r="H906" t="s">
        <v>209</v>
      </c>
      <c r="I906" t="s">
        <v>210</v>
      </c>
      <c r="J906" t="s">
        <v>225</v>
      </c>
      <c r="K906" t="s">
        <v>226</v>
      </c>
      <c r="L906">
        <v>90032</v>
      </c>
      <c r="M906" t="s">
        <v>227</v>
      </c>
      <c r="N906" t="s">
        <v>2404</v>
      </c>
      <c r="O906" t="s">
        <v>229</v>
      </c>
      <c r="P906" t="s">
        <v>242</v>
      </c>
      <c r="Q906" t="s">
        <v>2405</v>
      </c>
      <c r="R906" s="13">
        <v>64.959999999999994</v>
      </c>
      <c r="S906">
        <v>2</v>
      </c>
      <c r="T906" s="14">
        <v>0</v>
      </c>
      <c r="U906" s="13">
        <v>2.5983999999999998</v>
      </c>
    </row>
    <row r="907" spans="1:21" ht="15" customHeight="1" x14ac:dyDescent="0.3">
      <c r="A907">
        <v>906</v>
      </c>
      <c r="B907" t="s">
        <v>2966</v>
      </c>
      <c r="C907" s="12">
        <v>42468</v>
      </c>
      <c r="D907" s="12">
        <v>42472</v>
      </c>
      <c r="E907" t="s">
        <v>233</v>
      </c>
      <c r="F907" t="s">
        <v>998</v>
      </c>
      <c r="G907" t="s">
        <v>999</v>
      </c>
      <c r="H907" t="s">
        <v>209</v>
      </c>
      <c r="I907" t="s">
        <v>210</v>
      </c>
      <c r="J907" t="s">
        <v>225</v>
      </c>
      <c r="K907" t="s">
        <v>226</v>
      </c>
      <c r="L907">
        <v>90032</v>
      </c>
      <c r="M907" t="s">
        <v>227</v>
      </c>
      <c r="N907" t="s">
        <v>2969</v>
      </c>
      <c r="O907" t="s">
        <v>229</v>
      </c>
      <c r="P907" t="s">
        <v>273</v>
      </c>
      <c r="Q907" t="s">
        <v>2970</v>
      </c>
      <c r="R907" s="13">
        <v>12.96</v>
      </c>
      <c r="S907">
        <v>2</v>
      </c>
      <c r="T907" s="14">
        <v>0</v>
      </c>
      <c r="U907" s="13">
        <v>6.2207999999999997</v>
      </c>
    </row>
    <row r="908" spans="1:21" ht="15" customHeight="1" x14ac:dyDescent="0.3">
      <c r="A908">
        <v>907</v>
      </c>
      <c r="B908" t="s">
        <v>2971</v>
      </c>
      <c r="C908" s="12">
        <v>43099</v>
      </c>
      <c r="D908" s="12">
        <v>43103</v>
      </c>
      <c r="E908" t="s">
        <v>233</v>
      </c>
      <c r="F908" t="s">
        <v>418</v>
      </c>
      <c r="G908" t="s">
        <v>419</v>
      </c>
      <c r="H908" t="s">
        <v>209</v>
      </c>
      <c r="I908" t="s">
        <v>210</v>
      </c>
      <c r="J908" t="s">
        <v>449</v>
      </c>
      <c r="K908" t="s">
        <v>450</v>
      </c>
      <c r="L908">
        <v>10009</v>
      </c>
      <c r="M908" t="s">
        <v>331</v>
      </c>
      <c r="N908" t="s">
        <v>2972</v>
      </c>
      <c r="O908" t="s">
        <v>215</v>
      </c>
      <c r="P908" t="s">
        <v>216</v>
      </c>
      <c r="Q908" t="s">
        <v>2973</v>
      </c>
      <c r="R908" s="13">
        <v>323.13600000000002</v>
      </c>
      <c r="S908">
        <v>4</v>
      </c>
      <c r="T908" s="14">
        <v>0.2</v>
      </c>
      <c r="U908" s="13">
        <v>12.117599999999999</v>
      </c>
    </row>
    <row r="909" spans="1:21" ht="15" customHeight="1" x14ac:dyDescent="0.3">
      <c r="A909">
        <v>908</v>
      </c>
      <c r="B909" t="s">
        <v>2971</v>
      </c>
      <c r="C909" s="12">
        <v>43099</v>
      </c>
      <c r="D909" s="12">
        <v>43103</v>
      </c>
      <c r="E909" t="s">
        <v>233</v>
      </c>
      <c r="F909" t="s">
        <v>418</v>
      </c>
      <c r="G909" t="s">
        <v>419</v>
      </c>
      <c r="H909" t="s">
        <v>209</v>
      </c>
      <c r="I909" t="s">
        <v>210</v>
      </c>
      <c r="J909" t="s">
        <v>449</v>
      </c>
      <c r="K909" t="s">
        <v>450</v>
      </c>
      <c r="L909">
        <v>10009</v>
      </c>
      <c r="M909" t="s">
        <v>331</v>
      </c>
      <c r="N909" t="s">
        <v>2974</v>
      </c>
      <c r="O909" t="s">
        <v>254</v>
      </c>
      <c r="P909" t="s">
        <v>255</v>
      </c>
      <c r="Q909" t="s">
        <v>2975</v>
      </c>
      <c r="R909" s="13">
        <v>90.93</v>
      </c>
      <c r="S909">
        <v>7</v>
      </c>
      <c r="T909" s="14">
        <v>0</v>
      </c>
      <c r="U909" s="13">
        <v>2.7279</v>
      </c>
    </row>
    <row r="910" spans="1:21" ht="15" customHeight="1" x14ac:dyDescent="0.3">
      <c r="A910">
        <v>909</v>
      </c>
      <c r="B910" t="s">
        <v>2971</v>
      </c>
      <c r="C910" s="12">
        <v>43099</v>
      </c>
      <c r="D910" s="12">
        <v>43103</v>
      </c>
      <c r="E910" t="s">
        <v>233</v>
      </c>
      <c r="F910" t="s">
        <v>418</v>
      </c>
      <c r="G910" t="s">
        <v>419</v>
      </c>
      <c r="H910" t="s">
        <v>209</v>
      </c>
      <c r="I910" t="s">
        <v>210</v>
      </c>
      <c r="J910" t="s">
        <v>449</v>
      </c>
      <c r="K910" t="s">
        <v>450</v>
      </c>
      <c r="L910">
        <v>10009</v>
      </c>
      <c r="M910" t="s">
        <v>331</v>
      </c>
      <c r="N910" t="s">
        <v>2976</v>
      </c>
      <c r="O910" t="s">
        <v>229</v>
      </c>
      <c r="P910" t="s">
        <v>258</v>
      </c>
      <c r="Q910" t="s">
        <v>2977</v>
      </c>
      <c r="R910" s="13">
        <v>52.776000000000003</v>
      </c>
      <c r="S910">
        <v>3</v>
      </c>
      <c r="T910" s="14">
        <v>0.2</v>
      </c>
      <c r="U910" s="13">
        <v>19.791</v>
      </c>
    </row>
    <row r="911" spans="1:21" ht="15" customHeight="1" x14ac:dyDescent="0.3">
      <c r="A911">
        <v>910</v>
      </c>
      <c r="B911" t="s">
        <v>2978</v>
      </c>
      <c r="C911" s="12">
        <v>42980</v>
      </c>
      <c r="D911" s="12">
        <v>42985</v>
      </c>
      <c r="E911" t="s">
        <v>233</v>
      </c>
      <c r="F911" t="s">
        <v>2979</v>
      </c>
      <c r="G911" t="s">
        <v>2980</v>
      </c>
      <c r="H911" t="s">
        <v>285</v>
      </c>
      <c r="I911" t="s">
        <v>210</v>
      </c>
      <c r="J911" t="s">
        <v>511</v>
      </c>
      <c r="K911" t="s">
        <v>421</v>
      </c>
      <c r="L911">
        <v>49201</v>
      </c>
      <c r="M911" t="s">
        <v>288</v>
      </c>
      <c r="N911" t="s">
        <v>2981</v>
      </c>
      <c r="O911" t="s">
        <v>254</v>
      </c>
      <c r="P911" t="s">
        <v>255</v>
      </c>
      <c r="Q911" t="s">
        <v>2982</v>
      </c>
      <c r="R911" s="13">
        <v>1199.8</v>
      </c>
      <c r="S911">
        <v>4</v>
      </c>
      <c r="T911" s="14">
        <v>0</v>
      </c>
      <c r="U911" s="13">
        <v>323.94600000000003</v>
      </c>
    </row>
    <row r="912" spans="1:21" ht="15" customHeight="1" x14ac:dyDescent="0.3">
      <c r="A912">
        <v>911</v>
      </c>
      <c r="B912" t="s">
        <v>2978</v>
      </c>
      <c r="C912" s="12">
        <v>42980</v>
      </c>
      <c r="D912" s="12">
        <v>42985</v>
      </c>
      <c r="E912" t="s">
        <v>233</v>
      </c>
      <c r="F912" t="s">
        <v>2979</v>
      </c>
      <c r="G912" t="s">
        <v>2980</v>
      </c>
      <c r="H912" t="s">
        <v>285</v>
      </c>
      <c r="I912" t="s">
        <v>210</v>
      </c>
      <c r="J912" t="s">
        <v>511</v>
      </c>
      <c r="K912" t="s">
        <v>421</v>
      </c>
      <c r="L912">
        <v>49201</v>
      </c>
      <c r="M912" t="s">
        <v>288</v>
      </c>
      <c r="N912" t="s">
        <v>2983</v>
      </c>
      <c r="O912" t="s">
        <v>254</v>
      </c>
      <c r="P912" t="s">
        <v>344</v>
      </c>
      <c r="Q912" t="s">
        <v>2984</v>
      </c>
      <c r="R912" s="13">
        <v>1928.78</v>
      </c>
      <c r="S912">
        <v>7</v>
      </c>
      <c r="T912" s="14">
        <v>0</v>
      </c>
      <c r="U912" s="13">
        <v>829.37540000000001</v>
      </c>
    </row>
    <row r="913" spans="1:21" ht="15" customHeight="1" x14ac:dyDescent="0.3">
      <c r="A913">
        <v>912</v>
      </c>
      <c r="B913" t="s">
        <v>2978</v>
      </c>
      <c r="C913" s="12">
        <v>42980</v>
      </c>
      <c r="D913" s="12">
        <v>42985</v>
      </c>
      <c r="E913" t="s">
        <v>233</v>
      </c>
      <c r="F913" t="s">
        <v>2979</v>
      </c>
      <c r="G913" t="s">
        <v>2980</v>
      </c>
      <c r="H913" t="s">
        <v>285</v>
      </c>
      <c r="I913" t="s">
        <v>210</v>
      </c>
      <c r="J913" t="s">
        <v>511</v>
      </c>
      <c r="K913" t="s">
        <v>421</v>
      </c>
      <c r="L913">
        <v>49201</v>
      </c>
      <c r="M913" t="s">
        <v>288</v>
      </c>
      <c r="N913" t="s">
        <v>2985</v>
      </c>
      <c r="O913" t="s">
        <v>229</v>
      </c>
      <c r="P913" t="s">
        <v>242</v>
      </c>
      <c r="Q913" t="s">
        <v>2986</v>
      </c>
      <c r="R913" s="13">
        <v>352.38</v>
      </c>
      <c r="S913">
        <v>2</v>
      </c>
      <c r="T913" s="14">
        <v>0</v>
      </c>
      <c r="U913" s="13">
        <v>81.047399999999996</v>
      </c>
    </row>
    <row r="914" spans="1:21" ht="15" customHeight="1" x14ac:dyDescent="0.3">
      <c r="A914">
        <v>913</v>
      </c>
      <c r="B914" t="s">
        <v>2987</v>
      </c>
      <c r="C914" s="12">
        <v>42155</v>
      </c>
      <c r="D914" s="12">
        <v>42162</v>
      </c>
      <c r="E914" t="s">
        <v>233</v>
      </c>
      <c r="F914" t="s">
        <v>2988</v>
      </c>
      <c r="G914" t="s">
        <v>2989</v>
      </c>
      <c r="H914" t="s">
        <v>285</v>
      </c>
      <c r="I914" t="s">
        <v>210</v>
      </c>
      <c r="J914" t="s">
        <v>2990</v>
      </c>
      <c r="K914" t="s">
        <v>932</v>
      </c>
      <c r="L914">
        <v>6360</v>
      </c>
      <c r="M914" t="s">
        <v>331</v>
      </c>
      <c r="N914" t="s">
        <v>1549</v>
      </c>
      <c r="O914" t="s">
        <v>215</v>
      </c>
      <c r="P914" t="s">
        <v>248</v>
      </c>
      <c r="Q914" t="s">
        <v>1550</v>
      </c>
      <c r="R914" s="13">
        <v>22.2</v>
      </c>
      <c r="S914">
        <v>6</v>
      </c>
      <c r="T914" s="14">
        <v>0</v>
      </c>
      <c r="U914" s="13">
        <v>9.1020000000000003</v>
      </c>
    </row>
    <row r="915" spans="1:21" ht="15" customHeight="1" x14ac:dyDescent="0.3">
      <c r="A915">
        <v>914</v>
      </c>
      <c r="B915" t="s">
        <v>2991</v>
      </c>
      <c r="C915" s="12">
        <v>43066</v>
      </c>
      <c r="D915" s="12">
        <v>43068</v>
      </c>
      <c r="E915" t="s">
        <v>371</v>
      </c>
      <c r="F915" t="s">
        <v>2794</v>
      </c>
      <c r="G915" t="s">
        <v>2795</v>
      </c>
      <c r="H915" t="s">
        <v>224</v>
      </c>
      <c r="I915" t="s">
        <v>210</v>
      </c>
      <c r="J915" t="s">
        <v>2737</v>
      </c>
      <c r="K915" t="s">
        <v>297</v>
      </c>
      <c r="L915">
        <v>53209</v>
      </c>
      <c r="M915" t="s">
        <v>288</v>
      </c>
      <c r="N915" t="s">
        <v>1268</v>
      </c>
      <c r="O915" t="s">
        <v>215</v>
      </c>
      <c r="P915" t="s">
        <v>248</v>
      </c>
      <c r="Q915" t="s">
        <v>1269</v>
      </c>
      <c r="R915" s="13">
        <v>46.94</v>
      </c>
      <c r="S915">
        <v>1</v>
      </c>
      <c r="T915" s="14">
        <v>0</v>
      </c>
      <c r="U915" s="13">
        <v>19.2454</v>
      </c>
    </row>
    <row r="916" spans="1:21" ht="15" customHeight="1" x14ac:dyDescent="0.3">
      <c r="A916">
        <v>915</v>
      </c>
      <c r="B916" t="s">
        <v>2991</v>
      </c>
      <c r="C916" s="12">
        <v>43066</v>
      </c>
      <c r="D916" s="12">
        <v>43068</v>
      </c>
      <c r="E916" t="s">
        <v>371</v>
      </c>
      <c r="F916" t="s">
        <v>2794</v>
      </c>
      <c r="G916" t="s">
        <v>2795</v>
      </c>
      <c r="H916" t="s">
        <v>224</v>
      </c>
      <c r="I916" t="s">
        <v>210</v>
      </c>
      <c r="J916" t="s">
        <v>2737</v>
      </c>
      <c r="K916" t="s">
        <v>297</v>
      </c>
      <c r="L916">
        <v>53209</v>
      </c>
      <c r="M916" t="s">
        <v>288</v>
      </c>
      <c r="N916" t="s">
        <v>1768</v>
      </c>
      <c r="O916" t="s">
        <v>254</v>
      </c>
      <c r="P916" t="s">
        <v>344</v>
      </c>
      <c r="Q916" t="s">
        <v>1769</v>
      </c>
      <c r="R916" s="13">
        <v>143.72999999999999</v>
      </c>
      <c r="S916">
        <v>9</v>
      </c>
      <c r="T916" s="14">
        <v>0</v>
      </c>
      <c r="U916" s="13">
        <v>56.054699999999997</v>
      </c>
    </row>
    <row r="917" spans="1:21" ht="15" customHeight="1" x14ac:dyDescent="0.3">
      <c r="A917">
        <v>916</v>
      </c>
      <c r="B917" t="s">
        <v>2992</v>
      </c>
      <c r="C917" s="12">
        <v>41805</v>
      </c>
      <c r="D917" s="12">
        <v>41811</v>
      </c>
      <c r="E917" t="s">
        <v>233</v>
      </c>
      <c r="F917" t="s">
        <v>1265</v>
      </c>
      <c r="G917" t="s">
        <v>1266</v>
      </c>
      <c r="H917" t="s">
        <v>224</v>
      </c>
      <c r="I917" t="s">
        <v>210</v>
      </c>
      <c r="J917" t="s">
        <v>863</v>
      </c>
      <c r="K917" t="s">
        <v>287</v>
      </c>
      <c r="L917">
        <v>78207</v>
      </c>
      <c r="M917" t="s">
        <v>288</v>
      </c>
      <c r="N917" t="s">
        <v>2993</v>
      </c>
      <c r="O917" t="s">
        <v>215</v>
      </c>
      <c r="P917" t="s">
        <v>239</v>
      </c>
      <c r="Q917" t="s">
        <v>2994</v>
      </c>
      <c r="R917" s="13">
        <v>99.918000000000006</v>
      </c>
      <c r="S917">
        <v>2</v>
      </c>
      <c r="T917" s="14">
        <v>0.3</v>
      </c>
      <c r="U917" s="13">
        <v>-18.5562</v>
      </c>
    </row>
    <row r="918" spans="1:21" ht="15" customHeight="1" x14ac:dyDescent="0.3">
      <c r="A918">
        <v>917</v>
      </c>
      <c r="B918" t="s">
        <v>2992</v>
      </c>
      <c r="C918" s="12">
        <v>41805</v>
      </c>
      <c r="D918" s="12">
        <v>41811</v>
      </c>
      <c r="E918" t="s">
        <v>233</v>
      </c>
      <c r="F918" t="s">
        <v>1265</v>
      </c>
      <c r="G918" t="s">
        <v>1266</v>
      </c>
      <c r="H918" t="s">
        <v>224</v>
      </c>
      <c r="I918" t="s">
        <v>210</v>
      </c>
      <c r="J918" t="s">
        <v>863</v>
      </c>
      <c r="K918" t="s">
        <v>287</v>
      </c>
      <c r="L918">
        <v>78207</v>
      </c>
      <c r="M918" t="s">
        <v>288</v>
      </c>
      <c r="N918" t="s">
        <v>1981</v>
      </c>
      <c r="O918" t="s">
        <v>215</v>
      </c>
      <c r="P918" t="s">
        <v>219</v>
      </c>
      <c r="Q918" t="s">
        <v>1982</v>
      </c>
      <c r="R918" s="13">
        <v>797.94399999999996</v>
      </c>
      <c r="S918">
        <v>4</v>
      </c>
      <c r="T918" s="14">
        <v>0.3</v>
      </c>
      <c r="U918" s="13">
        <v>-56.996000000000002</v>
      </c>
    </row>
    <row r="919" spans="1:21" ht="15" customHeight="1" x14ac:dyDescent="0.3">
      <c r="A919">
        <v>918</v>
      </c>
      <c r="B919" t="s">
        <v>2992</v>
      </c>
      <c r="C919" s="12">
        <v>41805</v>
      </c>
      <c r="D919" s="12">
        <v>41811</v>
      </c>
      <c r="E919" t="s">
        <v>233</v>
      </c>
      <c r="F919" t="s">
        <v>1265</v>
      </c>
      <c r="G919" t="s">
        <v>1266</v>
      </c>
      <c r="H919" t="s">
        <v>224</v>
      </c>
      <c r="I919" t="s">
        <v>210</v>
      </c>
      <c r="J919" t="s">
        <v>863</v>
      </c>
      <c r="K919" t="s">
        <v>287</v>
      </c>
      <c r="L919">
        <v>78207</v>
      </c>
      <c r="M919" t="s">
        <v>288</v>
      </c>
      <c r="N919" t="s">
        <v>1288</v>
      </c>
      <c r="O919" t="s">
        <v>229</v>
      </c>
      <c r="P919" t="s">
        <v>258</v>
      </c>
      <c r="Q919" t="s">
        <v>1289</v>
      </c>
      <c r="R919" s="13">
        <v>8.5679999999999996</v>
      </c>
      <c r="S919">
        <v>3</v>
      </c>
      <c r="T919" s="14">
        <v>0.8</v>
      </c>
      <c r="U919" s="13">
        <v>-14.5656</v>
      </c>
    </row>
    <row r="920" spans="1:21" ht="15" customHeight="1" x14ac:dyDescent="0.3">
      <c r="A920">
        <v>919</v>
      </c>
      <c r="B920" t="s">
        <v>2995</v>
      </c>
      <c r="C920" s="12">
        <v>42434</v>
      </c>
      <c r="D920" s="12">
        <v>42440</v>
      </c>
      <c r="E920" t="s">
        <v>233</v>
      </c>
      <c r="F920" t="s">
        <v>2996</v>
      </c>
      <c r="G920" t="s">
        <v>2997</v>
      </c>
      <c r="H920" t="s">
        <v>224</v>
      </c>
      <c r="I920" t="s">
        <v>210</v>
      </c>
      <c r="J920" t="s">
        <v>1000</v>
      </c>
      <c r="K920" t="s">
        <v>287</v>
      </c>
      <c r="L920">
        <v>75220</v>
      </c>
      <c r="M920" t="s">
        <v>288</v>
      </c>
      <c r="N920" t="s">
        <v>2656</v>
      </c>
      <c r="O920" t="s">
        <v>229</v>
      </c>
      <c r="P920" t="s">
        <v>356</v>
      </c>
      <c r="Q920" t="s">
        <v>2657</v>
      </c>
      <c r="R920" s="13">
        <v>149.352</v>
      </c>
      <c r="S920">
        <v>3</v>
      </c>
      <c r="T920" s="14">
        <v>0.2</v>
      </c>
      <c r="U920" s="13">
        <v>50.406300000000002</v>
      </c>
    </row>
    <row r="921" spans="1:21" ht="15" customHeight="1" x14ac:dyDescent="0.3">
      <c r="A921">
        <v>920</v>
      </c>
      <c r="B921" t="s">
        <v>2995</v>
      </c>
      <c r="C921" s="12">
        <v>42434</v>
      </c>
      <c r="D921" s="12">
        <v>42440</v>
      </c>
      <c r="E921" t="s">
        <v>233</v>
      </c>
      <c r="F921" t="s">
        <v>2996</v>
      </c>
      <c r="G921" t="s">
        <v>2997</v>
      </c>
      <c r="H921" t="s">
        <v>224</v>
      </c>
      <c r="I921" t="s">
        <v>210</v>
      </c>
      <c r="J921" t="s">
        <v>1000</v>
      </c>
      <c r="K921" t="s">
        <v>287</v>
      </c>
      <c r="L921">
        <v>75220</v>
      </c>
      <c r="M921" t="s">
        <v>288</v>
      </c>
      <c r="N921" t="s">
        <v>2998</v>
      </c>
      <c r="O921" t="s">
        <v>229</v>
      </c>
      <c r="P921" t="s">
        <v>242</v>
      </c>
      <c r="Q921" t="s">
        <v>2999</v>
      </c>
      <c r="R921" s="13">
        <v>12.992000000000001</v>
      </c>
      <c r="S921">
        <v>1</v>
      </c>
      <c r="T921" s="14">
        <v>0.2</v>
      </c>
      <c r="U921" s="13">
        <v>-0.81200000000000006</v>
      </c>
    </row>
    <row r="922" spans="1:21" ht="15" customHeight="1" x14ac:dyDescent="0.3">
      <c r="A922">
        <v>921</v>
      </c>
      <c r="B922" t="s">
        <v>3000</v>
      </c>
      <c r="C922" s="12">
        <v>41978</v>
      </c>
      <c r="D922" s="12">
        <v>41985</v>
      </c>
      <c r="E922" t="s">
        <v>233</v>
      </c>
      <c r="F922" t="s">
        <v>1170</v>
      </c>
      <c r="G922" t="s">
        <v>1171</v>
      </c>
      <c r="H922" t="s">
        <v>209</v>
      </c>
      <c r="I922" t="s">
        <v>210</v>
      </c>
      <c r="J922" t="s">
        <v>3001</v>
      </c>
      <c r="K922" t="s">
        <v>502</v>
      </c>
      <c r="L922">
        <v>22304</v>
      </c>
      <c r="M922" t="s">
        <v>213</v>
      </c>
      <c r="N922" t="s">
        <v>2428</v>
      </c>
      <c r="O922" t="s">
        <v>229</v>
      </c>
      <c r="P922" t="s">
        <v>242</v>
      </c>
      <c r="Q922" t="s">
        <v>2429</v>
      </c>
      <c r="R922" s="13">
        <v>24.56</v>
      </c>
      <c r="S922">
        <v>2</v>
      </c>
      <c r="T922" s="14">
        <v>0</v>
      </c>
      <c r="U922" s="13">
        <v>6.8768000000000002</v>
      </c>
    </row>
    <row r="923" spans="1:21" ht="15" customHeight="1" x14ac:dyDescent="0.3">
      <c r="A923">
        <v>922</v>
      </c>
      <c r="B923" t="s">
        <v>3002</v>
      </c>
      <c r="C923" s="12">
        <v>42105</v>
      </c>
      <c r="D923" s="12">
        <v>42109</v>
      </c>
      <c r="E923" t="s">
        <v>233</v>
      </c>
      <c r="F923" t="s">
        <v>3003</v>
      </c>
      <c r="G923" t="s">
        <v>3004</v>
      </c>
      <c r="H923" t="s">
        <v>209</v>
      </c>
      <c r="I923" t="s">
        <v>210</v>
      </c>
      <c r="J923" t="s">
        <v>449</v>
      </c>
      <c r="K923" t="s">
        <v>450</v>
      </c>
      <c r="L923">
        <v>10009</v>
      </c>
      <c r="M923" t="s">
        <v>331</v>
      </c>
      <c r="N923" t="s">
        <v>3005</v>
      </c>
      <c r="O923" t="s">
        <v>254</v>
      </c>
      <c r="P923" t="s">
        <v>344</v>
      </c>
      <c r="Q923" t="s">
        <v>3006</v>
      </c>
      <c r="R923" s="13">
        <v>85.14</v>
      </c>
      <c r="S923">
        <v>3</v>
      </c>
      <c r="T923" s="14">
        <v>0</v>
      </c>
      <c r="U923" s="13">
        <v>34.907400000000003</v>
      </c>
    </row>
    <row r="924" spans="1:21" ht="15" customHeight="1" x14ac:dyDescent="0.3">
      <c r="A924">
        <v>923</v>
      </c>
      <c r="B924" t="s">
        <v>3002</v>
      </c>
      <c r="C924" s="12">
        <v>42105</v>
      </c>
      <c r="D924" s="12">
        <v>42109</v>
      </c>
      <c r="E924" t="s">
        <v>233</v>
      </c>
      <c r="F924" t="s">
        <v>3003</v>
      </c>
      <c r="G924" t="s">
        <v>3004</v>
      </c>
      <c r="H924" t="s">
        <v>209</v>
      </c>
      <c r="I924" t="s">
        <v>210</v>
      </c>
      <c r="J924" t="s">
        <v>449</v>
      </c>
      <c r="K924" t="s">
        <v>450</v>
      </c>
      <c r="L924">
        <v>10009</v>
      </c>
      <c r="M924" t="s">
        <v>331</v>
      </c>
      <c r="N924" t="s">
        <v>3007</v>
      </c>
      <c r="O924" t="s">
        <v>254</v>
      </c>
      <c r="P924" t="s">
        <v>255</v>
      </c>
      <c r="Q924" t="s">
        <v>3008</v>
      </c>
      <c r="R924" s="13">
        <v>21.99</v>
      </c>
      <c r="S924">
        <v>1</v>
      </c>
      <c r="T924" s="14">
        <v>0</v>
      </c>
      <c r="U924" s="13">
        <v>10.555199999999999</v>
      </c>
    </row>
    <row r="925" spans="1:21" ht="15" customHeight="1" x14ac:dyDescent="0.3">
      <c r="A925">
        <v>924</v>
      </c>
      <c r="B925" t="s">
        <v>3002</v>
      </c>
      <c r="C925" s="12">
        <v>42105</v>
      </c>
      <c r="D925" s="12">
        <v>42109</v>
      </c>
      <c r="E925" t="s">
        <v>233</v>
      </c>
      <c r="F925" t="s">
        <v>3003</v>
      </c>
      <c r="G925" t="s">
        <v>3004</v>
      </c>
      <c r="H925" t="s">
        <v>209</v>
      </c>
      <c r="I925" t="s">
        <v>210</v>
      </c>
      <c r="J925" t="s">
        <v>449</v>
      </c>
      <c r="K925" t="s">
        <v>450</v>
      </c>
      <c r="L925">
        <v>10009</v>
      </c>
      <c r="M925" t="s">
        <v>331</v>
      </c>
      <c r="N925" t="s">
        <v>3009</v>
      </c>
      <c r="O925" t="s">
        <v>229</v>
      </c>
      <c r="P925" t="s">
        <v>261</v>
      </c>
      <c r="Q925" t="s">
        <v>3010</v>
      </c>
      <c r="R925" s="13">
        <v>406.6</v>
      </c>
      <c r="S925">
        <v>5</v>
      </c>
      <c r="T925" s="14">
        <v>0</v>
      </c>
      <c r="U925" s="13">
        <v>113.848</v>
      </c>
    </row>
    <row r="926" spans="1:21" ht="15" customHeight="1" x14ac:dyDescent="0.3">
      <c r="A926">
        <v>925</v>
      </c>
      <c r="B926" t="s">
        <v>3011</v>
      </c>
      <c r="C926" s="12">
        <v>42628</v>
      </c>
      <c r="D926" s="12">
        <v>42633</v>
      </c>
      <c r="E926" t="s">
        <v>233</v>
      </c>
      <c r="F926" t="s">
        <v>3012</v>
      </c>
      <c r="G926" t="s">
        <v>3013</v>
      </c>
      <c r="H926" t="s">
        <v>224</v>
      </c>
      <c r="I926" t="s">
        <v>210</v>
      </c>
      <c r="J926" t="s">
        <v>449</v>
      </c>
      <c r="K926" t="s">
        <v>450</v>
      </c>
      <c r="L926">
        <v>10011</v>
      </c>
      <c r="M926" t="s">
        <v>331</v>
      </c>
      <c r="N926" t="s">
        <v>699</v>
      </c>
      <c r="O926" t="s">
        <v>229</v>
      </c>
      <c r="P926" t="s">
        <v>258</v>
      </c>
      <c r="Q926" t="s">
        <v>700</v>
      </c>
      <c r="R926" s="13">
        <v>841.56799999999998</v>
      </c>
      <c r="S926">
        <v>2</v>
      </c>
      <c r="T926" s="14">
        <v>0.2</v>
      </c>
      <c r="U926" s="13">
        <v>294.54880000000003</v>
      </c>
    </row>
    <row r="927" spans="1:21" ht="15" customHeight="1" x14ac:dyDescent="0.3">
      <c r="A927">
        <v>926</v>
      </c>
      <c r="B927" t="s">
        <v>3014</v>
      </c>
      <c r="C927" s="12">
        <v>41895</v>
      </c>
      <c r="D927" s="12">
        <v>41898</v>
      </c>
      <c r="E927" t="s">
        <v>371</v>
      </c>
      <c r="F927" t="s">
        <v>3015</v>
      </c>
      <c r="G927" t="s">
        <v>3016</v>
      </c>
      <c r="H927" t="s">
        <v>209</v>
      </c>
      <c r="I927" t="s">
        <v>210</v>
      </c>
      <c r="J927" t="s">
        <v>329</v>
      </c>
      <c r="K927" t="s">
        <v>330</v>
      </c>
      <c r="L927">
        <v>19143</v>
      </c>
      <c r="M927" t="s">
        <v>331</v>
      </c>
      <c r="N927" t="s">
        <v>3017</v>
      </c>
      <c r="O927" t="s">
        <v>229</v>
      </c>
      <c r="P927" t="s">
        <v>273</v>
      </c>
      <c r="Q927" t="s">
        <v>3018</v>
      </c>
      <c r="R927" s="13">
        <v>15.552</v>
      </c>
      <c r="S927">
        <v>3</v>
      </c>
      <c r="T927" s="14">
        <v>0.2</v>
      </c>
      <c r="U927" s="13">
        <v>5.4432</v>
      </c>
    </row>
    <row r="928" spans="1:21" ht="15" customHeight="1" x14ac:dyDescent="0.3">
      <c r="A928">
        <v>927</v>
      </c>
      <c r="B928" t="s">
        <v>3014</v>
      </c>
      <c r="C928" s="12">
        <v>41895</v>
      </c>
      <c r="D928" s="12">
        <v>41898</v>
      </c>
      <c r="E928" t="s">
        <v>371</v>
      </c>
      <c r="F928" t="s">
        <v>3015</v>
      </c>
      <c r="G928" t="s">
        <v>3016</v>
      </c>
      <c r="H928" t="s">
        <v>209</v>
      </c>
      <c r="I928" t="s">
        <v>210</v>
      </c>
      <c r="J928" t="s">
        <v>329</v>
      </c>
      <c r="K928" t="s">
        <v>330</v>
      </c>
      <c r="L928">
        <v>19143</v>
      </c>
      <c r="M928" t="s">
        <v>331</v>
      </c>
      <c r="N928" t="s">
        <v>3019</v>
      </c>
      <c r="O928" t="s">
        <v>254</v>
      </c>
      <c r="P928" t="s">
        <v>344</v>
      </c>
      <c r="Q928" t="s">
        <v>3020</v>
      </c>
      <c r="R928" s="13">
        <v>252</v>
      </c>
      <c r="S928">
        <v>5</v>
      </c>
      <c r="T928" s="14">
        <v>0.2</v>
      </c>
      <c r="U928" s="13">
        <v>53.55</v>
      </c>
    </row>
    <row r="929" spans="1:21" ht="15" customHeight="1" x14ac:dyDescent="0.3">
      <c r="A929">
        <v>928</v>
      </c>
      <c r="B929" t="s">
        <v>3021</v>
      </c>
      <c r="C929" s="12">
        <v>42282</v>
      </c>
      <c r="D929" s="12">
        <v>42286</v>
      </c>
      <c r="E929" t="s">
        <v>233</v>
      </c>
      <c r="F929" t="s">
        <v>3022</v>
      </c>
      <c r="G929" t="s">
        <v>3023</v>
      </c>
      <c r="H929" t="s">
        <v>285</v>
      </c>
      <c r="I929" t="s">
        <v>210</v>
      </c>
      <c r="J929" t="s">
        <v>501</v>
      </c>
      <c r="K929" t="s">
        <v>502</v>
      </c>
      <c r="L929">
        <v>22153</v>
      </c>
      <c r="M929" t="s">
        <v>213</v>
      </c>
      <c r="N929" t="s">
        <v>1500</v>
      </c>
      <c r="O929" t="s">
        <v>229</v>
      </c>
      <c r="P929" t="s">
        <v>251</v>
      </c>
      <c r="Q929" t="s">
        <v>1501</v>
      </c>
      <c r="R929" s="13">
        <v>46.2</v>
      </c>
      <c r="S929">
        <v>4</v>
      </c>
      <c r="T929" s="14">
        <v>0</v>
      </c>
      <c r="U929" s="13">
        <v>12.936</v>
      </c>
    </row>
    <row r="930" spans="1:21" ht="15" customHeight="1" x14ac:dyDescent="0.3">
      <c r="A930">
        <v>929</v>
      </c>
      <c r="B930" t="s">
        <v>3021</v>
      </c>
      <c r="C930" s="12">
        <v>42282</v>
      </c>
      <c r="D930" s="12">
        <v>42286</v>
      </c>
      <c r="E930" t="s">
        <v>233</v>
      </c>
      <c r="F930" t="s">
        <v>3022</v>
      </c>
      <c r="G930" t="s">
        <v>3023</v>
      </c>
      <c r="H930" t="s">
        <v>285</v>
      </c>
      <c r="I930" t="s">
        <v>210</v>
      </c>
      <c r="J930" t="s">
        <v>501</v>
      </c>
      <c r="K930" t="s">
        <v>502</v>
      </c>
      <c r="L930">
        <v>22153</v>
      </c>
      <c r="M930" t="s">
        <v>213</v>
      </c>
      <c r="N930" t="s">
        <v>1518</v>
      </c>
      <c r="O930" t="s">
        <v>229</v>
      </c>
      <c r="P930" t="s">
        <v>261</v>
      </c>
      <c r="Q930" t="s">
        <v>1519</v>
      </c>
      <c r="R930" s="13">
        <v>28.84</v>
      </c>
      <c r="S930">
        <v>2</v>
      </c>
      <c r="T930" s="14">
        <v>0</v>
      </c>
      <c r="U930" s="13">
        <v>9.5172000000000008</v>
      </c>
    </row>
    <row r="931" spans="1:21" ht="15" customHeight="1" x14ac:dyDescent="0.3">
      <c r="A931">
        <v>930</v>
      </c>
      <c r="B931" t="s">
        <v>3024</v>
      </c>
      <c r="C931" s="12">
        <v>42839</v>
      </c>
      <c r="D931" s="12">
        <v>42842</v>
      </c>
      <c r="E931" t="s">
        <v>371</v>
      </c>
      <c r="F931" t="s">
        <v>2431</v>
      </c>
      <c r="G931" t="s">
        <v>2432</v>
      </c>
      <c r="H931" t="s">
        <v>209</v>
      </c>
      <c r="I931" t="s">
        <v>210</v>
      </c>
      <c r="J931" t="s">
        <v>3025</v>
      </c>
      <c r="K931" t="s">
        <v>681</v>
      </c>
      <c r="L931">
        <v>43615</v>
      </c>
      <c r="M931" t="s">
        <v>331</v>
      </c>
      <c r="N931" t="s">
        <v>2077</v>
      </c>
      <c r="O931" t="s">
        <v>229</v>
      </c>
      <c r="P931" t="s">
        <v>251</v>
      </c>
      <c r="Q931" t="s">
        <v>2078</v>
      </c>
      <c r="R931" s="13">
        <v>14.592000000000001</v>
      </c>
      <c r="S931">
        <v>3</v>
      </c>
      <c r="T931" s="14">
        <v>0.2</v>
      </c>
      <c r="U931" s="13">
        <v>2.5535999999999999</v>
      </c>
    </row>
    <row r="932" spans="1:21" ht="15" customHeight="1" x14ac:dyDescent="0.3">
      <c r="A932">
        <v>931</v>
      </c>
      <c r="B932" t="s">
        <v>3024</v>
      </c>
      <c r="C932" s="12">
        <v>42839</v>
      </c>
      <c r="D932" s="12">
        <v>42842</v>
      </c>
      <c r="E932" t="s">
        <v>371</v>
      </c>
      <c r="F932" t="s">
        <v>2431</v>
      </c>
      <c r="G932" t="s">
        <v>2432</v>
      </c>
      <c r="H932" t="s">
        <v>209</v>
      </c>
      <c r="I932" t="s">
        <v>210</v>
      </c>
      <c r="J932" t="s">
        <v>3025</v>
      </c>
      <c r="K932" t="s">
        <v>681</v>
      </c>
      <c r="L932">
        <v>43615</v>
      </c>
      <c r="M932" t="s">
        <v>331</v>
      </c>
      <c r="N932" t="s">
        <v>3026</v>
      </c>
      <c r="O932" t="s">
        <v>229</v>
      </c>
      <c r="P932" t="s">
        <v>251</v>
      </c>
      <c r="Q932" t="s">
        <v>3027</v>
      </c>
      <c r="R932" s="13">
        <v>89.855999999999995</v>
      </c>
      <c r="S932">
        <v>3</v>
      </c>
      <c r="T932" s="14">
        <v>0.2</v>
      </c>
      <c r="U932" s="13">
        <v>21.340800000000002</v>
      </c>
    </row>
    <row r="933" spans="1:21" ht="15" customHeight="1" x14ac:dyDescent="0.3">
      <c r="A933">
        <v>932</v>
      </c>
      <c r="B933" t="s">
        <v>3024</v>
      </c>
      <c r="C933" s="12">
        <v>42839</v>
      </c>
      <c r="D933" s="12">
        <v>42842</v>
      </c>
      <c r="E933" t="s">
        <v>371</v>
      </c>
      <c r="F933" t="s">
        <v>2431</v>
      </c>
      <c r="G933" t="s">
        <v>2432</v>
      </c>
      <c r="H933" t="s">
        <v>209</v>
      </c>
      <c r="I933" t="s">
        <v>210</v>
      </c>
      <c r="J933" t="s">
        <v>3025</v>
      </c>
      <c r="K933" t="s">
        <v>681</v>
      </c>
      <c r="L933">
        <v>43615</v>
      </c>
      <c r="M933" t="s">
        <v>331</v>
      </c>
      <c r="N933" t="s">
        <v>2560</v>
      </c>
      <c r="O933" t="s">
        <v>229</v>
      </c>
      <c r="P933" t="s">
        <v>273</v>
      </c>
      <c r="Q933" t="s">
        <v>2561</v>
      </c>
      <c r="R933" s="13">
        <v>13.872</v>
      </c>
      <c r="S933">
        <v>3</v>
      </c>
      <c r="T933" s="14">
        <v>0.2</v>
      </c>
      <c r="U933" s="13">
        <v>5.0286</v>
      </c>
    </row>
    <row r="934" spans="1:21" ht="15" customHeight="1" x14ac:dyDescent="0.3">
      <c r="A934">
        <v>933</v>
      </c>
      <c r="B934" t="s">
        <v>3028</v>
      </c>
      <c r="C934" s="12">
        <v>42980</v>
      </c>
      <c r="D934" s="12">
        <v>42984</v>
      </c>
      <c r="E934" t="s">
        <v>233</v>
      </c>
      <c r="F934" t="s">
        <v>3029</v>
      </c>
      <c r="G934" t="s">
        <v>3030</v>
      </c>
      <c r="H934" t="s">
        <v>209</v>
      </c>
      <c r="I934" t="s">
        <v>210</v>
      </c>
      <c r="J934" t="s">
        <v>329</v>
      </c>
      <c r="K934" t="s">
        <v>330</v>
      </c>
      <c r="L934">
        <v>19140</v>
      </c>
      <c r="M934" t="s">
        <v>331</v>
      </c>
      <c r="N934" t="s">
        <v>3031</v>
      </c>
      <c r="O934" t="s">
        <v>229</v>
      </c>
      <c r="P934" t="s">
        <v>273</v>
      </c>
      <c r="Q934" t="s">
        <v>3032</v>
      </c>
      <c r="R934" s="13">
        <v>12.192</v>
      </c>
      <c r="S934">
        <v>3</v>
      </c>
      <c r="T934" s="14">
        <v>0.2</v>
      </c>
      <c r="U934" s="13">
        <v>4.1147999999999998</v>
      </c>
    </row>
    <row r="935" spans="1:21" ht="15" customHeight="1" x14ac:dyDescent="0.3">
      <c r="A935">
        <v>934</v>
      </c>
      <c r="B935" t="s">
        <v>3033</v>
      </c>
      <c r="C935" s="12">
        <v>42541</v>
      </c>
      <c r="D935" s="12">
        <v>42545</v>
      </c>
      <c r="E935" t="s">
        <v>233</v>
      </c>
      <c r="F935" t="s">
        <v>3034</v>
      </c>
      <c r="G935" t="s">
        <v>3035</v>
      </c>
      <c r="H935" t="s">
        <v>285</v>
      </c>
      <c r="I935" t="s">
        <v>210</v>
      </c>
      <c r="J935" t="s">
        <v>329</v>
      </c>
      <c r="K935" t="s">
        <v>330</v>
      </c>
      <c r="L935">
        <v>19120</v>
      </c>
      <c r="M935" t="s">
        <v>331</v>
      </c>
      <c r="N935" t="s">
        <v>3036</v>
      </c>
      <c r="O935" t="s">
        <v>229</v>
      </c>
      <c r="P935" t="s">
        <v>273</v>
      </c>
      <c r="Q935" t="s">
        <v>3037</v>
      </c>
      <c r="R935" s="13">
        <v>45.055999999999997</v>
      </c>
      <c r="S935">
        <v>8</v>
      </c>
      <c r="T935" s="14">
        <v>0.2</v>
      </c>
      <c r="U935" s="13">
        <v>15.2064</v>
      </c>
    </row>
    <row r="936" spans="1:21" ht="15" customHeight="1" x14ac:dyDescent="0.3">
      <c r="A936">
        <v>935</v>
      </c>
      <c r="B936" t="s">
        <v>3033</v>
      </c>
      <c r="C936" s="12">
        <v>42541</v>
      </c>
      <c r="D936" s="12">
        <v>42545</v>
      </c>
      <c r="E936" t="s">
        <v>233</v>
      </c>
      <c r="F936" t="s">
        <v>3034</v>
      </c>
      <c r="G936" t="s">
        <v>3035</v>
      </c>
      <c r="H936" t="s">
        <v>285</v>
      </c>
      <c r="I936" t="s">
        <v>210</v>
      </c>
      <c r="J936" t="s">
        <v>329</v>
      </c>
      <c r="K936" t="s">
        <v>330</v>
      </c>
      <c r="L936">
        <v>19120</v>
      </c>
      <c r="M936" t="s">
        <v>331</v>
      </c>
      <c r="N936" t="s">
        <v>3038</v>
      </c>
      <c r="O936" t="s">
        <v>229</v>
      </c>
      <c r="P936" t="s">
        <v>258</v>
      </c>
      <c r="Q936" t="s">
        <v>3039</v>
      </c>
      <c r="R936" s="13">
        <v>29.718</v>
      </c>
      <c r="S936">
        <v>6</v>
      </c>
      <c r="T936" s="14">
        <v>0.7</v>
      </c>
      <c r="U936" s="13">
        <v>-21.793199999999999</v>
      </c>
    </row>
    <row r="937" spans="1:21" ht="15" customHeight="1" x14ac:dyDescent="0.3">
      <c r="A937">
        <v>936</v>
      </c>
      <c r="B937" t="s">
        <v>3033</v>
      </c>
      <c r="C937" s="12">
        <v>42541</v>
      </c>
      <c r="D937" s="12">
        <v>42545</v>
      </c>
      <c r="E937" t="s">
        <v>233</v>
      </c>
      <c r="F937" t="s">
        <v>3034</v>
      </c>
      <c r="G937" t="s">
        <v>3035</v>
      </c>
      <c r="H937" t="s">
        <v>285</v>
      </c>
      <c r="I937" t="s">
        <v>210</v>
      </c>
      <c r="J937" t="s">
        <v>329</v>
      </c>
      <c r="K937" t="s">
        <v>330</v>
      </c>
      <c r="L937">
        <v>19120</v>
      </c>
      <c r="M937" t="s">
        <v>331</v>
      </c>
      <c r="N937" t="s">
        <v>2832</v>
      </c>
      <c r="O937" t="s">
        <v>229</v>
      </c>
      <c r="P937" t="s">
        <v>273</v>
      </c>
      <c r="Q937" t="s">
        <v>2833</v>
      </c>
      <c r="R937" s="13">
        <v>15.552</v>
      </c>
      <c r="S937">
        <v>3</v>
      </c>
      <c r="T937" s="14">
        <v>0.2</v>
      </c>
      <c r="U937" s="13">
        <v>5.4432</v>
      </c>
    </row>
    <row r="938" spans="1:21" ht="15" customHeight="1" x14ac:dyDescent="0.3">
      <c r="A938">
        <v>937</v>
      </c>
      <c r="B938" t="s">
        <v>3033</v>
      </c>
      <c r="C938" s="12">
        <v>42541</v>
      </c>
      <c r="D938" s="12">
        <v>42545</v>
      </c>
      <c r="E938" t="s">
        <v>233</v>
      </c>
      <c r="F938" t="s">
        <v>3034</v>
      </c>
      <c r="G938" t="s">
        <v>3035</v>
      </c>
      <c r="H938" t="s">
        <v>285</v>
      </c>
      <c r="I938" t="s">
        <v>210</v>
      </c>
      <c r="J938" t="s">
        <v>329</v>
      </c>
      <c r="K938" t="s">
        <v>330</v>
      </c>
      <c r="L938">
        <v>19120</v>
      </c>
      <c r="M938" t="s">
        <v>331</v>
      </c>
      <c r="N938" t="s">
        <v>781</v>
      </c>
      <c r="O938" t="s">
        <v>229</v>
      </c>
      <c r="P938" t="s">
        <v>261</v>
      </c>
      <c r="Q938" t="s">
        <v>782</v>
      </c>
      <c r="R938" s="13">
        <v>447.69600000000003</v>
      </c>
      <c r="S938">
        <v>2</v>
      </c>
      <c r="T938" s="14">
        <v>0.2</v>
      </c>
      <c r="U938" s="13">
        <v>33.577199999999998</v>
      </c>
    </row>
    <row r="939" spans="1:21" ht="15" customHeight="1" x14ac:dyDescent="0.3">
      <c r="A939">
        <v>938</v>
      </c>
      <c r="B939" t="s">
        <v>3040</v>
      </c>
      <c r="C939" s="12">
        <v>43044</v>
      </c>
      <c r="D939" s="12">
        <v>43045</v>
      </c>
      <c r="E939" t="s">
        <v>371</v>
      </c>
      <c r="F939" t="s">
        <v>398</v>
      </c>
      <c r="G939" t="s">
        <v>399</v>
      </c>
      <c r="H939" t="s">
        <v>224</v>
      </c>
      <c r="I939" t="s">
        <v>210</v>
      </c>
      <c r="J939" t="s">
        <v>3041</v>
      </c>
      <c r="K939" t="s">
        <v>852</v>
      </c>
      <c r="L939">
        <v>87401</v>
      </c>
      <c r="M939" t="s">
        <v>227</v>
      </c>
      <c r="N939" t="s">
        <v>1498</v>
      </c>
      <c r="O939" t="s">
        <v>254</v>
      </c>
      <c r="P939" t="s">
        <v>344</v>
      </c>
      <c r="Q939" t="s">
        <v>1499</v>
      </c>
      <c r="R939" s="13">
        <v>159.99</v>
      </c>
      <c r="S939">
        <v>1</v>
      </c>
      <c r="T939" s="14">
        <v>0</v>
      </c>
      <c r="U939" s="13">
        <v>54.396599999999999</v>
      </c>
    </row>
    <row r="940" spans="1:21" ht="15" customHeight="1" x14ac:dyDescent="0.3">
      <c r="A940">
        <v>939</v>
      </c>
      <c r="B940" t="s">
        <v>3042</v>
      </c>
      <c r="C940" s="12">
        <v>42351</v>
      </c>
      <c r="D940" s="12">
        <v>42355</v>
      </c>
      <c r="E940" t="s">
        <v>233</v>
      </c>
      <c r="F940" t="s">
        <v>3043</v>
      </c>
      <c r="G940" t="s">
        <v>3044</v>
      </c>
      <c r="H940" t="s">
        <v>224</v>
      </c>
      <c r="I940" t="s">
        <v>210</v>
      </c>
      <c r="J940" t="s">
        <v>3045</v>
      </c>
      <c r="K940" t="s">
        <v>226</v>
      </c>
      <c r="L940">
        <v>92503</v>
      </c>
      <c r="M940" t="s">
        <v>227</v>
      </c>
      <c r="N940" t="s">
        <v>3046</v>
      </c>
      <c r="O940" t="s">
        <v>229</v>
      </c>
      <c r="P940" t="s">
        <v>273</v>
      </c>
      <c r="Q940" t="s">
        <v>3047</v>
      </c>
      <c r="R940" s="13">
        <v>12.96</v>
      </c>
      <c r="S940">
        <v>2</v>
      </c>
      <c r="T940" s="14">
        <v>0</v>
      </c>
      <c r="U940" s="13">
        <v>6.2207999999999997</v>
      </c>
    </row>
    <row r="941" spans="1:21" ht="15" customHeight="1" x14ac:dyDescent="0.3">
      <c r="A941">
        <v>940</v>
      </c>
      <c r="B941" t="s">
        <v>3042</v>
      </c>
      <c r="C941" s="12">
        <v>42351</v>
      </c>
      <c r="D941" s="12">
        <v>42355</v>
      </c>
      <c r="E941" t="s">
        <v>233</v>
      </c>
      <c r="F941" t="s">
        <v>3043</v>
      </c>
      <c r="G941" t="s">
        <v>3044</v>
      </c>
      <c r="H941" t="s">
        <v>224</v>
      </c>
      <c r="I941" t="s">
        <v>210</v>
      </c>
      <c r="J941" t="s">
        <v>3045</v>
      </c>
      <c r="K941" t="s">
        <v>226</v>
      </c>
      <c r="L941">
        <v>92503</v>
      </c>
      <c r="M941" t="s">
        <v>227</v>
      </c>
      <c r="N941" t="s">
        <v>3048</v>
      </c>
      <c r="O941" t="s">
        <v>229</v>
      </c>
      <c r="P941" t="s">
        <v>261</v>
      </c>
      <c r="Q941" t="s">
        <v>3049</v>
      </c>
      <c r="R941" s="13">
        <v>134.47999999999999</v>
      </c>
      <c r="S941">
        <v>4</v>
      </c>
      <c r="T941" s="14">
        <v>0</v>
      </c>
      <c r="U941" s="13">
        <v>34.964799999999997</v>
      </c>
    </row>
    <row r="942" spans="1:21" ht="15" customHeight="1" x14ac:dyDescent="0.3">
      <c r="A942">
        <v>941</v>
      </c>
      <c r="B942" t="s">
        <v>3050</v>
      </c>
      <c r="C942" s="12">
        <v>42540</v>
      </c>
      <c r="D942" s="12">
        <v>42541</v>
      </c>
      <c r="E942" t="s">
        <v>371</v>
      </c>
      <c r="F942" t="s">
        <v>3051</v>
      </c>
      <c r="G942" t="s">
        <v>3052</v>
      </c>
      <c r="H942" t="s">
        <v>224</v>
      </c>
      <c r="I942" t="s">
        <v>210</v>
      </c>
      <c r="J942" t="s">
        <v>310</v>
      </c>
      <c r="K942" t="s">
        <v>226</v>
      </c>
      <c r="L942">
        <v>94110</v>
      </c>
      <c r="M942" t="s">
        <v>227</v>
      </c>
      <c r="N942" t="s">
        <v>3053</v>
      </c>
      <c r="O942" t="s">
        <v>229</v>
      </c>
      <c r="P942" t="s">
        <v>273</v>
      </c>
      <c r="Q942" t="s">
        <v>3054</v>
      </c>
      <c r="R942" s="13">
        <v>17.12</v>
      </c>
      <c r="S942">
        <v>2</v>
      </c>
      <c r="T942" s="14">
        <v>0</v>
      </c>
      <c r="U942" s="13">
        <v>8.0464000000000002</v>
      </c>
    </row>
    <row r="943" spans="1:21" ht="15" customHeight="1" x14ac:dyDescent="0.3">
      <c r="A943">
        <v>942</v>
      </c>
      <c r="B943" t="s">
        <v>3055</v>
      </c>
      <c r="C943" s="12">
        <v>42717</v>
      </c>
      <c r="D943" s="12">
        <v>42724</v>
      </c>
      <c r="E943" t="s">
        <v>233</v>
      </c>
      <c r="F943" t="s">
        <v>2996</v>
      </c>
      <c r="G943" t="s">
        <v>2997</v>
      </c>
      <c r="H943" t="s">
        <v>224</v>
      </c>
      <c r="I943" t="s">
        <v>210</v>
      </c>
      <c r="J943" t="s">
        <v>3056</v>
      </c>
      <c r="K943" t="s">
        <v>226</v>
      </c>
      <c r="L943">
        <v>90503</v>
      </c>
      <c r="M943" t="s">
        <v>227</v>
      </c>
      <c r="N943" t="s">
        <v>3057</v>
      </c>
      <c r="O943" t="s">
        <v>229</v>
      </c>
      <c r="P943" t="s">
        <v>258</v>
      </c>
      <c r="Q943" t="s">
        <v>3058</v>
      </c>
      <c r="R943" s="13">
        <v>6.0960000000000001</v>
      </c>
      <c r="S943">
        <v>2</v>
      </c>
      <c r="T943" s="14">
        <v>0.2</v>
      </c>
      <c r="U943" s="13">
        <v>2.2098</v>
      </c>
    </row>
    <row r="944" spans="1:21" ht="15" customHeight="1" x14ac:dyDescent="0.3">
      <c r="A944">
        <v>943</v>
      </c>
      <c r="B944" t="s">
        <v>3055</v>
      </c>
      <c r="C944" s="12">
        <v>42717</v>
      </c>
      <c r="D944" s="12">
        <v>42724</v>
      </c>
      <c r="E944" t="s">
        <v>233</v>
      </c>
      <c r="F944" t="s">
        <v>2996</v>
      </c>
      <c r="G944" t="s">
        <v>2997</v>
      </c>
      <c r="H944" t="s">
        <v>224</v>
      </c>
      <c r="I944" t="s">
        <v>210</v>
      </c>
      <c r="J944" t="s">
        <v>3056</v>
      </c>
      <c r="K944" t="s">
        <v>226</v>
      </c>
      <c r="L944">
        <v>90503</v>
      </c>
      <c r="M944" t="s">
        <v>227</v>
      </c>
      <c r="N944" t="s">
        <v>238</v>
      </c>
      <c r="O944" t="s">
        <v>215</v>
      </c>
      <c r="P944" t="s">
        <v>239</v>
      </c>
      <c r="Q944" t="s">
        <v>240</v>
      </c>
      <c r="R944" s="13">
        <v>1114.2719999999999</v>
      </c>
      <c r="S944">
        <v>4</v>
      </c>
      <c r="T944" s="14">
        <v>0.2</v>
      </c>
      <c r="U944" s="13">
        <v>41.785200000000003</v>
      </c>
    </row>
    <row r="945" spans="1:21" ht="15" customHeight="1" x14ac:dyDescent="0.3">
      <c r="A945">
        <v>944</v>
      </c>
      <c r="B945" t="s">
        <v>3059</v>
      </c>
      <c r="C945" s="12">
        <v>42153</v>
      </c>
      <c r="D945" s="12">
        <v>42158</v>
      </c>
      <c r="E945" t="s">
        <v>233</v>
      </c>
      <c r="F945" t="s">
        <v>1388</v>
      </c>
      <c r="G945" t="s">
        <v>1389</v>
      </c>
      <c r="H945" t="s">
        <v>209</v>
      </c>
      <c r="I945" t="s">
        <v>210</v>
      </c>
      <c r="J945" t="s">
        <v>278</v>
      </c>
      <c r="K945" t="s">
        <v>279</v>
      </c>
      <c r="L945">
        <v>98105</v>
      </c>
      <c r="M945" t="s">
        <v>227</v>
      </c>
      <c r="N945" t="s">
        <v>2169</v>
      </c>
      <c r="O945" t="s">
        <v>229</v>
      </c>
      <c r="P945" t="s">
        <v>273</v>
      </c>
      <c r="Q945" t="s">
        <v>2170</v>
      </c>
      <c r="R945" s="13">
        <v>32.4</v>
      </c>
      <c r="S945">
        <v>5</v>
      </c>
      <c r="T945" s="14">
        <v>0</v>
      </c>
      <c r="U945" s="13">
        <v>15.552</v>
      </c>
    </row>
    <row r="946" spans="1:21" ht="15" customHeight="1" x14ac:dyDescent="0.3">
      <c r="A946">
        <v>945</v>
      </c>
      <c r="B946" t="s">
        <v>3059</v>
      </c>
      <c r="C946" s="12">
        <v>42153</v>
      </c>
      <c r="D946" s="12">
        <v>42158</v>
      </c>
      <c r="E946" t="s">
        <v>233</v>
      </c>
      <c r="F946" t="s">
        <v>1388</v>
      </c>
      <c r="G946" t="s">
        <v>1389</v>
      </c>
      <c r="H946" t="s">
        <v>209</v>
      </c>
      <c r="I946" t="s">
        <v>210</v>
      </c>
      <c r="J946" t="s">
        <v>278</v>
      </c>
      <c r="K946" t="s">
        <v>279</v>
      </c>
      <c r="L946">
        <v>98105</v>
      </c>
      <c r="M946" t="s">
        <v>227</v>
      </c>
      <c r="N946" t="s">
        <v>3060</v>
      </c>
      <c r="O946" t="s">
        <v>229</v>
      </c>
      <c r="P946" t="s">
        <v>242</v>
      </c>
      <c r="Q946" t="s">
        <v>3061</v>
      </c>
      <c r="R946" s="13">
        <v>540.57000000000005</v>
      </c>
      <c r="S946">
        <v>3</v>
      </c>
      <c r="T946" s="14">
        <v>0</v>
      </c>
      <c r="U946" s="13">
        <v>140.54820000000001</v>
      </c>
    </row>
    <row r="947" spans="1:21" ht="15" customHeight="1" x14ac:dyDescent="0.3">
      <c r="A947">
        <v>946</v>
      </c>
      <c r="B947" t="s">
        <v>3059</v>
      </c>
      <c r="C947" s="12">
        <v>42153</v>
      </c>
      <c r="D947" s="12">
        <v>42158</v>
      </c>
      <c r="E947" t="s">
        <v>233</v>
      </c>
      <c r="F947" t="s">
        <v>1388</v>
      </c>
      <c r="G947" t="s">
        <v>1389</v>
      </c>
      <c r="H947" t="s">
        <v>209</v>
      </c>
      <c r="I947" t="s">
        <v>210</v>
      </c>
      <c r="J947" t="s">
        <v>278</v>
      </c>
      <c r="K947" t="s">
        <v>279</v>
      </c>
      <c r="L947">
        <v>98105</v>
      </c>
      <c r="M947" t="s">
        <v>227</v>
      </c>
      <c r="N947" t="s">
        <v>3062</v>
      </c>
      <c r="O947" t="s">
        <v>229</v>
      </c>
      <c r="P947" t="s">
        <v>258</v>
      </c>
      <c r="Q947" t="s">
        <v>3063</v>
      </c>
      <c r="R947" s="13">
        <v>167.76</v>
      </c>
      <c r="S947">
        <v>5</v>
      </c>
      <c r="T947" s="14">
        <v>0.2</v>
      </c>
      <c r="U947" s="13">
        <v>62.91</v>
      </c>
    </row>
    <row r="948" spans="1:21" ht="15" customHeight="1" x14ac:dyDescent="0.3">
      <c r="A948">
        <v>947</v>
      </c>
      <c r="B948" t="s">
        <v>3064</v>
      </c>
      <c r="C948" s="12">
        <v>42211</v>
      </c>
      <c r="D948" s="12">
        <v>42213</v>
      </c>
      <c r="E948" t="s">
        <v>371</v>
      </c>
      <c r="F948" t="s">
        <v>2094</v>
      </c>
      <c r="G948" t="s">
        <v>2095</v>
      </c>
      <c r="H948" t="s">
        <v>209</v>
      </c>
      <c r="I948" t="s">
        <v>210</v>
      </c>
      <c r="J948" t="s">
        <v>2011</v>
      </c>
      <c r="K948" t="s">
        <v>493</v>
      </c>
      <c r="L948">
        <v>85204</v>
      </c>
      <c r="M948" t="s">
        <v>227</v>
      </c>
      <c r="N948" t="s">
        <v>3065</v>
      </c>
      <c r="O948" t="s">
        <v>215</v>
      </c>
      <c r="P948" t="s">
        <v>239</v>
      </c>
      <c r="Q948" t="s">
        <v>3066</v>
      </c>
      <c r="R948" s="13">
        <v>393.16500000000002</v>
      </c>
      <c r="S948">
        <v>3</v>
      </c>
      <c r="T948" s="14">
        <v>0.5</v>
      </c>
      <c r="U948" s="13">
        <v>-204.44579999999999</v>
      </c>
    </row>
    <row r="949" spans="1:21" ht="15" customHeight="1" x14ac:dyDescent="0.3">
      <c r="A949">
        <v>948</v>
      </c>
      <c r="B949" t="s">
        <v>3067</v>
      </c>
      <c r="C949" s="12">
        <v>43067</v>
      </c>
      <c r="D949" s="12">
        <v>43071</v>
      </c>
      <c r="E949" t="s">
        <v>233</v>
      </c>
      <c r="F949" t="s">
        <v>1696</v>
      </c>
      <c r="G949" t="s">
        <v>1697</v>
      </c>
      <c r="H949" t="s">
        <v>285</v>
      </c>
      <c r="I949" t="s">
        <v>210</v>
      </c>
      <c r="J949" t="s">
        <v>329</v>
      </c>
      <c r="K949" t="s">
        <v>330</v>
      </c>
      <c r="L949">
        <v>19120</v>
      </c>
      <c r="M949" t="s">
        <v>331</v>
      </c>
      <c r="N949" t="s">
        <v>3068</v>
      </c>
      <c r="O949" t="s">
        <v>215</v>
      </c>
      <c r="P949" t="s">
        <v>248</v>
      </c>
      <c r="Q949" t="s">
        <v>3069</v>
      </c>
      <c r="R949" s="13">
        <v>516.48800000000006</v>
      </c>
      <c r="S949">
        <v>7</v>
      </c>
      <c r="T949" s="14">
        <v>0.2</v>
      </c>
      <c r="U949" s="13">
        <v>-12.9122</v>
      </c>
    </row>
    <row r="950" spans="1:21" ht="15" customHeight="1" x14ac:dyDescent="0.3">
      <c r="A950">
        <v>949</v>
      </c>
      <c r="B950" t="s">
        <v>3067</v>
      </c>
      <c r="C950" s="12">
        <v>43067</v>
      </c>
      <c r="D950" s="12">
        <v>43071</v>
      </c>
      <c r="E950" t="s">
        <v>233</v>
      </c>
      <c r="F950" t="s">
        <v>1696</v>
      </c>
      <c r="G950" t="s">
        <v>1697</v>
      </c>
      <c r="H950" t="s">
        <v>285</v>
      </c>
      <c r="I950" t="s">
        <v>210</v>
      </c>
      <c r="J950" t="s">
        <v>329</v>
      </c>
      <c r="K950" t="s">
        <v>330</v>
      </c>
      <c r="L950">
        <v>19120</v>
      </c>
      <c r="M950" t="s">
        <v>331</v>
      </c>
      <c r="N950" t="s">
        <v>1105</v>
      </c>
      <c r="O950" t="s">
        <v>215</v>
      </c>
      <c r="P950" t="s">
        <v>248</v>
      </c>
      <c r="Q950" t="s">
        <v>1106</v>
      </c>
      <c r="R950" s="13">
        <v>1007.232</v>
      </c>
      <c r="S950">
        <v>6</v>
      </c>
      <c r="T950" s="14">
        <v>0.2</v>
      </c>
      <c r="U950" s="13">
        <v>75.542400000000001</v>
      </c>
    </row>
    <row r="951" spans="1:21" ht="15" customHeight="1" x14ac:dyDescent="0.3">
      <c r="A951">
        <v>950</v>
      </c>
      <c r="B951" t="s">
        <v>3067</v>
      </c>
      <c r="C951" s="12">
        <v>43067</v>
      </c>
      <c r="D951" s="12">
        <v>43071</v>
      </c>
      <c r="E951" t="s">
        <v>233</v>
      </c>
      <c r="F951" t="s">
        <v>1696</v>
      </c>
      <c r="G951" t="s">
        <v>1697</v>
      </c>
      <c r="H951" t="s">
        <v>285</v>
      </c>
      <c r="I951" t="s">
        <v>210</v>
      </c>
      <c r="J951" t="s">
        <v>329</v>
      </c>
      <c r="K951" t="s">
        <v>330</v>
      </c>
      <c r="L951">
        <v>19120</v>
      </c>
      <c r="M951" t="s">
        <v>331</v>
      </c>
      <c r="N951" t="s">
        <v>3070</v>
      </c>
      <c r="O951" t="s">
        <v>215</v>
      </c>
      <c r="P951" t="s">
        <v>239</v>
      </c>
      <c r="Q951" t="s">
        <v>3071</v>
      </c>
      <c r="R951" s="13">
        <v>2065.3200000000002</v>
      </c>
      <c r="S951">
        <v>12</v>
      </c>
      <c r="T951" s="14">
        <v>0.4</v>
      </c>
      <c r="U951" s="13">
        <v>-619.596</v>
      </c>
    </row>
    <row r="952" spans="1:21" ht="15" customHeight="1" x14ac:dyDescent="0.3">
      <c r="A952">
        <v>951</v>
      </c>
      <c r="B952" t="s">
        <v>3067</v>
      </c>
      <c r="C952" s="12">
        <v>43067</v>
      </c>
      <c r="D952" s="12">
        <v>43071</v>
      </c>
      <c r="E952" t="s">
        <v>233</v>
      </c>
      <c r="F952" t="s">
        <v>1696</v>
      </c>
      <c r="G952" t="s">
        <v>1697</v>
      </c>
      <c r="H952" t="s">
        <v>285</v>
      </c>
      <c r="I952" t="s">
        <v>210</v>
      </c>
      <c r="J952" t="s">
        <v>329</v>
      </c>
      <c r="K952" t="s">
        <v>330</v>
      </c>
      <c r="L952">
        <v>19120</v>
      </c>
      <c r="M952" t="s">
        <v>331</v>
      </c>
      <c r="N952" t="s">
        <v>3072</v>
      </c>
      <c r="O952" t="s">
        <v>229</v>
      </c>
      <c r="P952" t="s">
        <v>273</v>
      </c>
      <c r="Q952" t="s">
        <v>3073</v>
      </c>
      <c r="R952" s="13">
        <v>15.552</v>
      </c>
      <c r="S952">
        <v>3</v>
      </c>
      <c r="T952" s="14">
        <v>0.2</v>
      </c>
      <c r="U952" s="13">
        <v>5.4432</v>
      </c>
    </row>
    <row r="953" spans="1:21" ht="15" customHeight="1" x14ac:dyDescent="0.3">
      <c r="A953">
        <v>952</v>
      </c>
      <c r="B953" t="s">
        <v>3067</v>
      </c>
      <c r="C953" s="12">
        <v>43067</v>
      </c>
      <c r="D953" s="12">
        <v>43071</v>
      </c>
      <c r="E953" t="s">
        <v>233</v>
      </c>
      <c r="F953" t="s">
        <v>1696</v>
      </c>
      <c r="G953" t="s">
        <v>1697</v>
      </c>
      <c r="H953" t="s">
        <v>285</v>
      </c>
      <c r="I953" t="s">
        <v>210</v>
      </c>
      <c r="J953" t="s">
        <v>329</v>
      </c>
      <c r="K953" t="s">
        <v>330</v>
      </c>
      <c r="L953">
        <v>19120</v>
      </c>
      <c r="M953" t="s">
        <v>331</v>
      </c>
      <c r="N953" t="s">
        <v>1098</v>
      </c>
      <c r="O953" t="s">
        <v>229</v>
      </c>
      <c r="P953" t="s">
        <v>273</v>
      </c>
      <c r="Q953" t="s">
        <v>1099</v>
      </c>
      <c r="R953" s="13">
        <v>25.344000000000001</v>
      </c>
      <c r="S953">
        <v>6</v>
      </c>
      <c r="T953" s="14">
        <v>0.2</v>
      </c>
      <c r="U953" s="13">
        <v>7.92</v>
      </c>
    </row>
    <row r="954" spans="1:21" ht="15" customHeight="1" x14ac:dyDescent="0.3">
      <c r="A954">
        <v>953</v>
      </c>
      <c r="B954" t="s">
        <v>3074</v>
      </c>
      <c r="C954" s="12">
        <v>42828</v>
      </c>
      <c r="D954" s="12">
        <v>42832</v>
      </c>
      <c r="E954" t="s">
        <v>233</v>
      </c>
      <c r="F954" t="s">
        <v>3075</v>
      </c>
      <c r="G954" t="s">
        <v>3076</v>
      </c>
      <c r="H954" t="s">
        <v>209</v>
      </c>
      <c r="I954" t="s">
        <v>210</v>
      </c>
      <c r="J954" t="s">
        <v>329</v>
      </c>
      <c r="K954" t="s">
        <v>330</v>
      </c>
      <c r="L954">
        <v>19143</v>
      </c>
      <c r="M954" t="s">
        <v>331</v>
      </c>
      <c r="N954" t="s">
        <v>3077</v>
      </c>
      <c r="O954" t="s">
        <v>215</v>
      </c>
      <c r="P954" t="s">
        <v>248</v>
      </c>
      <c r="Q954" t="s">
        <v>1108</v>
      </c>
      <c r="R954" s="13">
        <v>25.472000000000001</v>
      </c>
      <c r="S954">
        <v>4</v>
      </c>
      <c r="T954" s="14">
        <v>0.2</v>
      </c>
      <c r="U954" s="13">
        <v>7.6416000000000004</v>
      </c>
    </row>
    <row r="955" spans="1:21" ht="15" customHeight="1" x14ac:dyDescent="0.3">
      <c r="A955">
        <v>954</v>
      </c>
      <c r="B955" t="s">
        <v>3078</v>
      </c>
      <c r="C955" s="12">
        <v>43097</v>
      </c>
      <c r="D955" s="12">
        <v>43101</v>
      </c>
      <c r="E955" t="s">
        <v>233</v>
      </c>
      <c r="F955" t="s">
        <v>3079</v>
      </c>
      <c r="G955" t="s">
        <v>3080</v>
      </c>
      <c r="H955" t="s">
        <v>209</v>
      </c>
      <c r="I955" t="s">
        <v>210</v>
      </c>
      <c r="J955" t="s">
        <v>3081</v>
      </c>
      <c r="K955" t="s">
        <v>287</v>
      </c>
      <c r="L955">
        <v>78664</v>
      </c>
      <c r="M955" t="s">
        <v>288</v>
      </c>
      <c r="N955" t="s">
        <v>1060</v>
      </c>
      <c r="O955" t="s">
        <v>229</v>
      </c>
      <c r="P955" t="s">
        <v>251</v>
      </c>
      <c r="Q955" t="s">
        <v>1061</v>
      </c>
      <c r="R955" s="13">
        <v>27.167999999999999</v>
      </c>
      <c r="S955">
        <v>2</v>
      </c>
      <c r="T955" s="14">
        <v>0.2</v>
      </c>
      <c r="U955" s="13">
        <v>2.7168000000000001</v>
      </c>
    </row>
    <row r="956" spans="1:21" ht="15" customHeight="1" x14ac:dyDescent="0.3">
      <c r="A956">
        <v>955</v>
      </c>
      <c r="B956" t="s">
        <v>3078</v>
      </c>
      <c r="C956" s="12">
        <v>43097</v>
      </c>
      <c r="D956" s="12">
        <v>43101</v>
      </c>
      <c r="E956" t="s">
        <v>233</v>
      </c>
      <c r="F956" t="s">
        <v>3079</v>
      </c>
      <c r="G956" t="s">
        <v>3080</v>
      </c>
      <c r="H956" t="s">
        <v>209</v>
      </c>
      <c r="I956" t="s">
        <v>210</v>
      </c>
      <c r="J956" t="s">
        <v>3081</v>
      </c>
      <c r="K956" t="s">
        <v>287</v>
      </c>
      <c r="L956">
        <v>78664</v>
      </c>
      <c r="M956" t="s">
        <v>288</v>
      </c>
      <c r="N956" t="s">
        <v>1262</v>
      </c>
      <c r="O956" t="s">
        <v>215</v>
      </c>
      <c r="P956" t="s">
        <v>216</v>
      </c>
      <c r="Q956" t="s">
        <v>1263</v>
      </c>
      <c r="R956" s="13">
        <v>78.852800000000002</v>
      </c>
      <c r="S956">
        <v>2</v>
      </c>
      <c r="T956" s="14">
        <v>0.32</v>
      </c>
      <c r="U956" s="13">
        <v>-11.596</v>
      </c>
    </row>
    <row r="957" spans="1:21" ht="15" customHeight="1" x14ac:dyDescent="0.3">
      <c r="A957">
        <v>956</v>
      </c>
      <c r="B957" t="s">
        <v>3082</v>
      </c>
      <c r="C957" s="12">
        <v>43069</v>
      </c>
      <c r="D957" s="12">
        <v>43073</v>
      </c>
      <c r="E957" t="s">
        <v>233</v>
      </c>
      <c r="F957" t="s">
        <v>3083</v>
      </c>
      <c r="G957" t="s">
        <v>3084</v>
      </c>
      <c r="H957" t="s">
        <v>209</v>
      </c>
      <c r="I957" t="s">
        <v>210</v>
      </c>
      <c r="J957" t="s">
        <v>511</v>
      </c>
      <c r="K957" t="s">
        <v>1675</v>
      </c>
      <c r="L957">
        <v>39212</v>
      </c>
      <c r="M957" t="s">
        <v>213</v>
      </c>
      <c r="N957" t="s">
        <v>460</v>
      </c>
      <c r="O957" t="s">
        <v>229</v>
      </c>
      <c r="P957" t="s">
        <v>242</v>
      </c>
      <c r="Q957" t="s">
        <v>461</v>
      </c>
      <c r="R957" s="13">
        <v>173.8</v>
      </c>
      <c r="S957">
        <v>5</v>
      </c>
      <c r="T957" s="14">
        <v>0</v>
      </c>
      <c r="U957" s="13">
        <v>43.45</v>
      </c>
    </row>
    <row r="958" spans="1:21" ht="15" customHeight="1" x14ac:dyDescent="0.3">
      <c r="A958">
        <v>957</v>
      </c>
      <c r="B958" t="s">
        <v>3085</v>
      </c>
      <c r="C958" s="12">
        <v>42870</v>
      </c>
      <c r="D958" s="12">
        <v>42873</v>
      </c>
      <c r="E958" t="s">
        <v>206</v>
      </c>
      <c r="F958" t="s">
        <v>3086</v>
      </c>
      <c r="G958" t="s">
        <v>3087</v>
      </c>
      <c r="H958" t="s">
        <v>209</v>
      </c>
      <c r="I958" t="s">
        <v>210</v>
      </c>
      <c r="J958" t="s">
        <v>727</v>
      </c>
      <c r="K958" t="s">
        <v>493</v>
      </c>
      <c r="L958">
        <v>85023</v>
      </c>
      <c r="M958" t="s">
        <v>227</v>
      </c>
      <c r="N958" t="s">
        <v>2859</v>
      </c>
      <c r="O958" t="s">
        <v>254</v>
      </c>
      <c r="P958" t="s">
        <v>255</v>
      </c>
      <c r="Q958" t="s">
        <v>2860</v>
      </c>
      <c r="R958" s="13">
        <v>29.591999999999999</v>
      </c>
      <c r="S958">
        <v>1</v>
      </c>
      <c r="T958" s="14">
        <v>0.2</v>
      </c>
      <c r="U958" s="13">
        <v>2.5893000000000002</v>
      </c>
    </row>
    <row r="959" spans="1:21" ht="15" customHeight="1" x14ac:dyDescent="0.3">
      <c r="A959">
        <v>958</v>
      </c>
      <c r="B959" t="s">
        <v>3085</v>
      </c>
      <c r="C959" s="12">
        <v>42870</v>
      </c>
      <c r="D959" s="12">
        <v>42873</v>
      </c>
      <c r="E959" t="s">
        <v>206</v>
      </c>
      <c r="F959" t="s">
        <v>3086</v>
      </c>
      <c r="G959" t="s">
        <v>3087</v>
      </c>
      <c r="H959" t="s">
        <v>209</v>
      </c>
      <c r="I959" t="s">
        <v>210</v>
      </c>
      <c r="J959" t="s">
        <v>727</v>
      </c>
      <c r="K959" t="s">
        <v>493</v>
      </c>
      <c r="L959">
        <v>85023</v>
      </c>
      <c r="M959" t="s">
        <v>227</v>
      </c>
      <c r="N959" t="s">
        <v>3088</v>
      </c>
      <c r="O959" t="s">
        <v>229</v>
      </c>
      <c r="P959" t="s">
        <v>258</v>
      </c>
      <c r="Q959" t="s">
        <v>3089</v>
      </c>
      <c r="R959" s="13">
        <v>4.7519999999999998</v>
      </c>
      <c r="S959">
        <v>2</v>
      </c>
      <c r="T959" s="14">
        <v>0.7</v>
      </c>
      <c r="U959" s="13">
        <v>-3.1680000000000001</v>
      </c>
    </row>
    <row r="960" spans="1:21" ht="15" customHeight="1" x14ac:dyDescent="0.3">
      <c r="A960">
        <v>959</v>
      </c>
      <c r="B960" t="s">
        <v>3085</v>
      </c>
      <c r="C960" s="12">
        <v>42870</v>
      </c>
      <c r="D960" s="12">
        <v>42873</v>
      </c>
      <c r="E960" t="s">
        <v>206</v>
      </c>
      <c r="F960" t="s">
        <v>3086</v>
      </c>
      <c r="G960" t="s">
        <v>3087</v>
      </c>
      <c r="H960" t="s">
        <v>209</v>
      </c>
      <c r="I960" t="s">
        <v>210</v>
      </c>
      <c r="J960" t="s">
        <v>727</v>
      </c>
      <c r="K960" t="s">
        <v>493</v>
      </c>
      <c r="L960">
        <v>85023</v>
      </c>
      <c r="M960" t="s">
        <v>227</v>
      </c>
      <c r="N960" t="s">
        <v>3090</v>
      </c>
      <c r="O960" t="s">
        <v>229</v>
      </c>
      <c r="P960" t="s">
        <v>273</v>
      </c>
      <c r="Q960" t="s">
        <v>3091</v>
      </c>
      <c r="R960" s="13">
        <v>15.552</v>
      </c>
      <c r="S960">
        <v>3</v>
      </c>
      <c r="T960" s="14">
        <v>0.2</v>
      </c>
      <c r="U960" s="13">
        <v>5.6375999999999999</v>
      </c>
    </row>
    <row r="961" spans="1:21" ht="15" customHeight="1" x14ac:dyDescent="0.3">
      <c r="A961">
        <v>960</v>
      </c>
      <c r="B961" t="s">
        <v>3092</v>
      </c>
      <c r="C961" s="12">
        <v>42269</v>
      </c>
      <c r="D961" s="12">
        <v>42269</v>
      </c>
      <c r="E961" t="s">
        <v>1476</v>
      </c>
      <c r="F961" t="s">
        <v>3093</v>
      </c>
      <c r="G961" t="s">
        <v>3094</v>
      </c>
      <c r="H961" t="s">
        <v>209</v>
      </c>
      <c r="I961" t="s">
        <v>210</v>
      </c>
      <c r="J961" t="s">
        <v>2531</v>
      </c>
      <c r="K961" t="s">
        <v>226</v>
      </c>
      <c r="L961">
        <v>92054</v>
      </c>
      <c r="M961" t="s">
        <v>227</v>
      </c>
      <c r="N961" t="s">
        <v>3095</v>
      </c>
      <c r="O961" t="s">
        <v>215</v>
      </c>
      <c r="P961" t="s">
        <v>248</v>
      </c>
      <c r="Q961" t="s">
        <v>3096</v>
      </c>
      <c r="R961" s="13">
        <v>204.6</v>
      </c>
      <c r="S961">
        <v>2</v>
      </c>
      <c r="T961" s="14">
        <v>0</v>
      </c>
      <c r="U961" s="13">
        <v>53.195999999999998</v>
      </c>
    </row>
    <row r="962" spans="1:21" ht="15" customHeight="1" x14ac:dyDescent="0.3">
      <c r="A962">
        <v>961</v>
      </c>
      <c r="B962" t="s">
        <v>3097</v>
      </c>
      <c r="C962" s="12">
        <v>43053</v>
      </c>
      <c r="D962" s="12">
        <v>43058</v>
      </c>
      <c r="E962" t="s">
        <v>233</v>
      </c>
      <c r="F962" t="s">
        <v>3098</v>
      </c>
      <c r="G962" t="s">
        <v>3099</v>
      </c>
      <c r="H962" t="s">
        <v>224</v>
      </c>
      <c r="I962" t="s">
        <v>210</v>
      </c>
      <c r="J962" t="s">
        <v>310</v>
      </c>
      <c r="K962" t="s">
        <v>226</v>
      </c>
      <c r="L962">
        <v>94110</v>
      </c>
      <c r="M962" t="s">
        <v>227</v>
      </c>
      <c r="N962" t="s">
        <v>1128</v>
      </c>
      <c r="O962" t="s">
        <v>215</v>
      </c>
      <c r="P962" t="s">
        <v>219</v>
      </c>
      <c r="Q962" t="s">
        <v>1129</v>
      </c>
      <c r="R962" s="13">
        <v>321.56799999999998</v>
      </c>
      <c r="S962">
        <v>2</v>
      </c>
      <c r="T962" s="14">
        <v>0.2</v>
      </c>
      <c r="U962" s="13">
        <v>28.1372</v>
      </c>
    </row>
    <row r="963" spans="1:21" ht="15" customHeight="1" x14ac:dyDescent="0.3">
      <c r="A963">
        <v>962</v>
      </c>
      <c r="B963" t="s">
        <v>3100</v>
      </c>
      <c r="C963" s="12">
        <v>42335</v>
      </c>
      <c r="D963" s="12">
        <v>42339</v>
      </c>
      <c r="E963" t="s">
        <v>233</v>
      </c>
      <c r="F963" t="s">
        <v>3101</v>
      </c>
      <c r="G963" t="s">
        <v>3102</v>
      </c>
      <c r="H963" t="s">
        <v>285</v>
      </c>
      <c r="I963" t="s">
        <v>210</v>
      </c>
      <c r="J963" t="s">
        <v>1894</v>
      </c>
      <c r="K963" t="s">
        <v>1895</v>
      </c>
      <c r="L963">
        <v>72701</v>
      </c>
      <c r="M963" t="s">
        <v>213</v>
      </c>
      <c r="N963" t="s">
        <v>3103</v>
      </c>
      <c r="O963" t="s">
        <v>229</v>
      </c>
      <c r="P963" t="s">
        <v>258</v>
      </c>
      <c r="Q963" t="s">
        <v>3104</v>
      </c>
      <c r="R963" s="13">
        <v>6.24</v>
      </c>
      <c r="S963">
        <v>2</v>
      </c>
      <c r="T963" s="14">
        <v>0</v>
      </c>
      <c r="U963" s="13">
        <v>3.0575999999999999</v>
      </c>
    </row>
    <row r="964" spans="1:21" ht="15" customHeight="1" x14ac:dyDescent="0.3">
      <c r="A964">
        <v>963</v>
      </c>
      <c r="B964" t="s">
        <v>3105</v>
      </c>
      <c r="C964" s="12">
        <v>42614</v>
      </c>
      <c r="D964" s="12">
        <v>42617</v>
      </c>
      <c r="E964" t="s">
        <v>371</v>
      </c>
      <c r="F964" t="s">
        <v>664</v>
      </c>
      <c r="G964" t="s">
        <v>665</v>
      </c>
      <c r="H964" t="s">
        <v>224</v>
      </c>
      <c r="I964" t="s">
        <v>210</v>
      </c>
      <c r="J964" t="s">
        <v>310</v>
      </c>
      <c r="K964" t="s">
        <v>226</v>
      </c>
      <c r="L964">
        <v>94110</v>
      </c>
      <c r="M964" t="s">
        <v>227</v>
      </c>
      <c r="N964" t="s">
        <v>1990</v>
      </c>
      <c r="O964" t="s">
        <v>229</v>
      </c>
      <c r="P964" t="s">
        <v>356</v>
      </c>
      <c r="Q964" t="s">
        <v>1991</v>
      </c>
      <c r="R964" s="13">
        <v>21.88</v>
      </c>
      <c r="S964">
        <v>2</v>
      </c>
      <c r="T964" s="14">
        <v>0</v>
      </c>
      <c r="U964" s="13">
        <v>10.94</v>
      </c>
    </row>
    <row r="965" spans="1:21" ht="15" customHeight="1" x14ac:dyDescent="0.3">
      <c r="A965">
        <v>964</v>
      </c>
      <c r="B965" t="s">
        <v>3106</v>
      </c>
      <c r="C965" s="12">
        <v>41904</v>
      </c>
      <c r="D965" s="12">
        <v>41906</v>
      </c>
      <c r="E965" t="s">
        <v>206</v>
      </c>
      <c r="F965" t="s">
        <v>2947</v>
      </c>
      <c r="G965" t="s">
        <v>2948</v>
      </c>
      <c r="H965" t="s">
        <v>209</v>
      </c>
      <c r="I965" t="s">
        <v>210</v>
      </c>
      <c r="J965" t="s">
        <v>3107</v>
      </c>
      <c r="K965" t="s">
        <v>237</v>
      </c>
      <c r="L965">
        <v>33433</v>
      </c>
      <c r="M965" t="s">
        <v>213</v>
      </c>
      <c r="N965" t="s">
        <v>3108</v>
      </c>
      <c r="O965" t="s">
        <v>229</v>
      </c>
      <c r="P965" t="s">
        <v>230</v>
      </c>
      <c r="Q965" t="s">
        <v>3109</v>
      </c>
      <c r="R965" s="13">
        <v>4.6079999999999997</v>
      </c>
      <c r="S965">
        <v>2</v>
      </c>
      <c r="T965" s="14">
        <v>0.2</v>
      </c>
      <c r="U965" s="13">
        <v>1.6704000000000001</v>
      </c>
    </row>
    <row r="966" spans="1:21" ht="15" customHeight="1" x14ac:dyDescent="0.3">
      <c r="A966">
        <v>965</v>
      </c>
      <c r="B966" t="s">
        <v>3110</v>
      </c>
      <c r="C966" s="12">
        <v>42834</v>
      </c>
      <c r="D966" s="12">
        <v>42836</v>
      </c>
      <c r="E966" t="s">
        <v>371</v>
      </c>
      <c r="F966" t="s">
        <v>3111</v>
      </c>
      <c r="G966" t="s">
        <v>3112</v>
      </c>
      <c r="H966" t="s">
        <v>285</v>
      </c>
      <c r="I966" t="s">
        <v>210</v>
      </c>
      <c r="J966" t="s">
        <v>449</v>
      </c>
      <c r="K966" t="s">
        <v>450</v>
      </c>
      <c r="L966">
        <v>10011</v>
      </c>
      <c r="M966" t="s">
        <v>331</v>
      </c>
      <c r="N966" t="s">
        <v>3113</v>
      </c>
      <c r="O966" t="s">
        <v>229</v>
      </c>
      <c r="P966" t="s">
        <v>230</v>
      </c>
      <c r="Q966" t="s">
        <v>3114</v>
      </c>
      <c r="R966" s="13">
        <v>9.82</v>
      </c>
      <c r="S966">
        <v>2</v>
      </c>
      <c r="T966" s="14">
        <v>0</v>
      </c>
      <c r="U966" s="13">
        <v>4.8117999999999999</v>
      </c>
    </row>
    <row r="967" spans="1:21" ht="15" customHeight="1" x14ac:dyDescent="0.3">
      <c r="A967">
        <v>966</v>
      </c>
      <c r="B967" t="s">
        <v>3110</v>
      </c>
      <c r="C967" s="12">
        <v>42834</v>
      </c>
      <c r="D967" s="12">
        <v>42836</v>
      </c>
      <c r="E967" t="s">
        <v>371</v>
      </c>
      <c r="F967" t="s">
        <v>3111</v>
      </c>
      <c r="G967" t="s">
        <v>3112</v>
      </c>
      <c r="H967" t="s">
        <v>285</v>
      </c>
      <c r="I967" t="s">
        <v>210</v>
      </c>
      <c r="J967" t="s">
        <v>449</v>
      </c>
      <c r="K967" t="s">
        <v>450</v>
      </c>
      <c r="L967">
        <v>10011</v>
      </c>
      <c r="M967" t="s">
        <v>331</v>
      </c>
      <c r="N967" t="s">
        <v>1644</v>
      </c>
      <c r="O967" t="s">
        <v>229</v>
      </c>
      <c r="P967" t="s">
        <v>251</v>
      </c>
      <c r="Q967" t="s">
        <v>1645</v>
      </c>
      <c r="R967" s="13">
        <v>35.97</v>
      </c>
      <c r="S967">
        <v>3</v>
      </c>
      <c r="T967" s="14">
        <v>0</v>
      </c>
      <c r="U967" s="13">
        <v>9.7119</v>
      </c>
    </row>
    <row r="968" spans="1:21" ht="15" customHeight="1" x14ac:dyDescent="0.3">
      <c r="A968">
        <v>967</v>
      </c>
      <c r="B968" t="s">
        <v>3110</v>
      </c>
      <c r="C968" s="12">
        <v>42834</v>
      </c>
      <c r="D968" s="12">
        <v>42836</v>
      </c>
      <c r="E968" t="s">
        <v>371</v>
      </c>
      <c r="F968" t="s">
        <v>3111</v>
      </c>
      <c r="G968" t="s">
        <v>3112</v>
      </c>
      <c r="H968" t="s">
        <v>285</v>
      </c>
      <c r="I968" t="s">
        <v>210</v>
      </c>
      <c r="J968" t="s">
        <v>449</v>
      </c>
      <c r="K968" t="s">
        <v>450</v>
      </c>
      <c r="L968">
        <v>10011</v>
      </c>
      <c r="M968" t="s">
        <v>331</v>
      </c>
      <c r="N968" t="s">
        <v>3115</v>
      </c>
      <c r="O968" t="s">
        <v>229</v>
      </c>
      <c r="P968" t="s">
        <v>273</v>
      </c>
      <c r="Q968" t="s">
        <v>3116</v>
      </c>
      <c r="R968" s="13">
        <v>12.96</v>
      </c>
      <c r="S968">
        <v>2</v>
      </c>
      <c r="T968" s="14">
        <v>0</v>
      </c>
      <c r="U968" s="13">
        <v>6.2207999999999997</v>
      </c>
    </row>
    <row r="969" spans="1:21" ht="15" customHeight="1" x14ac:dyDescent="0.3">
      <c r="A969">
        <v>968</v>
      </c>
      <c r="B969" t="s">
        <v>3110</v>
      </c>
      <c r="C969" s="12">
        <v>42834</v>
      </c>
      <c r="D969" s="12">
        <v>42836</v>
      </c>
      <c r="E969" t="s">
        <v>371</v>
      </c>
      <c r="F969" t="s">
        <v>3111</v>
      </c>
      <c r="G969" t="s">
        <v>3112</v>
      </c>
      <c r="H969" t="s">
        <v>285</v>
      </c>
      <c r="I969" t="s">
        <v>210</v>
      </c>
      <c r="J969" t="s">
        <v>449</v>
      </c>
      <c r="K969" t="s">
        <v>450</v>
      </c>
      <c r="L969">
        <v>10011</v>
      </c>
      <c r="M969" t="s">
        <v>331</v>
      </c>
      <c r="N969" t="s">
        <v>3117</v>
      </c>
      <c r="O969" t="s">
        <v>229</v>
      </c>
      <c r="P969" t="s">
        <v>273</v>
      </c>
      <c r="Q969" t="s">
        <v>3118</v>
      </c>
      <c r="R969" s="13">
        <v>191.6</v>
      </c>
      <c r="S969">
        <v>4</v>
      </c>
      <c r="T969" s="14">
        <v>0</v>
      </c>
      <c r="U969" s="13">
        <v>91.968000000000004</v>
      </c>
    </row>
    <row r="970" spans="1:21" ht="15" customHeight="1" x14ac:dyDescent="0.3">
      <c r="A970">
        <v>969</v>
      </c>
      <c r="B970" t="s">
        <v>3110</v>
      </c>
      <c r="C970" s="12">
        <v>42834</v>
      </c>
      <c r="D970" s="12">
        <v>42836</v>
      </c>
      <c r="E970" t="s">
        <v>371</v>
      </c>
      <c r="F970" t="s">
        <v>3111</v>
      </c>
      <c r="G970" t="s">
        <v>3112</v>
      </c>
      <c r="H970" t="s">
        <v>285</v>
      </c>
      <c r="I970" t="s">
        <v>210</v>
      </c>
      <c r="J970" t="s">
        <v>449</v>
      </c>
      <c r="K970" t="s">
        <v>450</v>
      </c>
      <c r="L970">
        <v>10011</v>
      </c>
      <c r="M970" t="s">
        <v>331</v>
      </c>
      <c r="N970" t="s">
        <v>3108</v>
      </c>
      <c r="O970" t="s">
        <v>229</v>
      </c>
      <c r="P970" t="s">
        <v>230</v>
      </c>
      <c r="Q970" t="s">
        <v>3109</v>
      </c>
      <c r="R970" s="13">
        <v>8.64</v>
      </c>
      <c r="S970">
        <v>3</v>
      </c>
      <c r="T970" s="14">
        <v>0</v>
      </c>
      <c r="U970" s="13">
        <v>4.2336</v>
      </c>
    </row>
    <row r="971" spans="1:21" ht="15" customHeight="1" x14ac:dyDescent="0.3">
      <c r="A971">
        <v>970</v>
      </c>
      <c r="B971" t="s">
        <v>3110</v>
      </c>
      <c r="C971" s="12">
        <v>42834</v>
      </c>
      <c r="D971" s="12">
        <v>42836</v>
      </c>
      <c r="E971" t="s">
        <v>371</v>
      </c>
      <c r="F971" t="s">
        <v>3111</v>
      </c>
      <c r="G971" t="s">
        <v>3112</v>
      </c>
      <c r="H971" t="s">
        <v>285</v>
      </c>
      <c r="I971" t="s">
        <v>210</v>
      </c>
      <c r="J971" t="s">
        <v>449</v>
      </c>
      <c r="K971" t="s">
        <v>450</v>
      </c>
      <c r="L971">
        <v>10011</v>
      </c>
      <c r="M971" t="s">
        <v>331</v>
      </c>
      <c r="N971" t="s">
        <v>3119</v>
      </c>
      <c r="O971" t="s">
        <v>229</v>
      </c>
      <c r="P971" t="s">
        <v>242</v>
      </c>
      <c r="Q971" t="s">
        <v>3120</v>
      </c>
      <c r="R971" s="13">
        <v>501.81</v>
      </c>
      <c r="S971">
        <v>3</v>
      </c>
      <c r="T971" s="14">
        <v>0</v>
      </c>
      <c r="U971" s="13">
        <v>0</v>
      </c>
    </row>
    <row r="972" spans="1:21" ht="15" customHeight="1" x14ac:dyDescent="0.3">
      <c r="A972">
        <v>971</v>
      </c>
      <c r="B972" t="s">
        <v>3121</v>
      </c>
      <c r="C972" s="12">
        <v>41655</v>
      </c>
      <c r="D972" s="12">
        <v>41657</v>
      </c>
      <c r="E972" t="s">
        <v>206</v>
      </c>
      <c r="F972" t="s">
        <v>1137</v>
      </c>
      <c r="G972" t="s">
        <v>1138</v>
      </c>
      <c r="H972" t="s">
        <v>209</v>
      </c>
      <c r="I972" t="s">
        <v>210</v>
      </c>
      <c r="J972" t="s">
        <v>329</v>
      </c>
      <c r="K972" t="s">
        <v>330</v>
      </c>
      <c r="L972">
        <v>19134</v>
      </c>
      <c r="M972" t="s">
        <v>331</v>
      </c>
      <c r="N972" t="s">
        <v>3122</v>
      </c>
      <c r="O972" t="s">
        <v>215</v>
      </c>
      <c r="P972" t="s">
        <v>248</v>
      </c>
      <c r="Q972" t="s">
        <v>3123</v>
      </c>
      <c r="R972" s="13">
        <v>127.104</v>
      </c>
      <c r="S972">
        <v>6</v>
      </c>
      <c r="T972" s="14">
        <v>0.2</v>
      </c>
      <c r="U972" s="13">
        <v>28.598400000000002</v>
      </c>
    </row>
    <row r="973" spans="1:21" ht="15" customHeight="1" x14ac:dyDescent="0.3">
      <c r="A973">
        <v>972</v>
      </c>
      <c r="B973" t="s">
        <v>3121</v>
      </c>
      <c r="C973" s="12">
        <v>41655</v>
      </c>
      <c r="D973" s="12">
        <v>41657</v>
      </c>
      <c r="E973" t="s">
        <v>206</v>
      </c>
      <c r="F973" t="s">
        <v>1137</v>
      </c>
      <c r="G973" t="s">
        <v>1138</v>
      </c>
      <c r="H973" t="s">
        <v>209</v>
      </c>
      <c r="I973" t="s">
        <v>210</v>
      </c>
      <c r="J973" t="s">
        <v>329</v>
      </c>
      <c r="K973" t="s">
        <v>330</v>
      </c>
      <c r="L973">
        <v>19134</v>
      </c>
      <c r="M973" t="s">
        <v>331</v>
      </c>
      <c r="N973" t="s">
        <v>1390</v>
      </c>
      <c r="O973" t="s">
        <v>254</v>
      </c>
      <c r="P973" t="s">
        <v>255</v>
      </c>
      <c r="Q973" t="s">
        <v>1391</v>
      </c>
      <c r="R973" s="13">
        <v>124.2</v>
      </c>
      <c r="S973">
        <v>3</v>
      </c>
      <c r="T973" s="14">
        <v>0.4</v>
      </c>
      <c r="U973" s="13">
        <v>-31.05</v>
      </c>
    </row>
    <row r="974" spans="1:21" ht="15" customHeight="1" x14ac:dyDescent="0.3">
      <c r="A974">
        <v>973</v>
      </c>
      <c r="B974" t="s">
        <v>3121</v>
      </c>
      <c r="C974" s="12">
        <v>41655</v>
      </c>
      <c r="D974" s="12">
        <v>41657</v>
      </c>
      <c r="E974" t="s">
        <v>206</v>
      </c>
      <c r="F974" t="s">
        <v>1137</v>
      </c>
      <c r="G974" t="s">
        <v>1138</v>
      </c>
      <c r="H974" t="s">
        <v>209</v>
      </c>
      <c r="I974" t="s">
        <v>210</v>
      </c>
      <c r="J974" t="s">
        <v>329</v>
      </c>
      <c r="K974" t="s">
        <v>330</v>
      </c>
      <c r="L974">
        <v>19134</v>
      </c>
      <c r="M974" t="s">
        <v>331</v>
      </c>
      <c r="N974" t="s">
        <v>2447</v>
      </c>
      <c r="O974" t="s">
        <v>229</v>
      </c>
      <c r="P974" t="s">
        <v>258</v>
      </c>
      <c r="Q974" t="s">
        <v>2448</v>
      </c>
      <c r="R974" s="13">
        <v>18.588000000000001</v>
      </c>
      <c r="S974">
        <v>2</v>
      </c>
      <c r="T974" s="14">
        <v>0.7</v>
      </c>
      <c r="U974" s="13">
        <v>-13.6312</v>
      </c>
    </row>
    <row r="975" spans="1:21" ht="15" customHeight="1" x14ac:dyDescent="0.3">
      <c r="A975">
        <v>974</v>
      </c>
      <c r="B975" t="s">
        <v>3121</v>
      </c>
      <c r="C975" s="12">
        <v>41655</v>
      </c>
      <c r="D975" s="12">
        <v>41657</v>
      </c>
      <c r="E975" t="s">
        <v>206</v>
      </c>
      <c r="F975" t="s">
        <v>1137</v>
      </c>
      <c r="G975" t="s">
        <v>1138</v>
      </c>
      <c r="H975" t="s">
        <v>209</v>
      </c>
      <c r="I975" t="s">
        <v>210</v>
      </c>
      <c r="J975" t="s">
        <v>329</v>
      </c>
      <c r="K975" t="s">
        <v>330</v>
      </c>
      <c r="L975">
        <v>19134</v>
      </c>
      <c r="M975" t="s">
        <v>331</v>
      </c>
      <c r="N975" t="s">
        <v>1383</v>
      </c>
      <c r="O975" t="s">
        <v>229</v>
      </c>
      <c r="P975" t="s">
        <v>230</v>
      </c>
      <c r="Q975" t="s">
        <v>1384</v>
      </c>
      <c r="R975" s="13">
        <v>30.071999999999999</v>
      </c>
      <c r="S975">
        <v>3</v>
      </c>
      <c r="T975" s="14">
        <v>0.2</v>
      </c>
      <c r="U975" s="13">
        <v>10.1493</v>
      </c>
    </row>
    <row r="976" spans="1:21" ht="15" customHeight="1" x14ac:dyDescent="0.3">
      <c r="A976">
        <v>975</v>
      </c>
      <c r="B976" t="s">
        <v>3124</v>
      </c>
      <c r="C976" s="12">
        <v>43013</v>
      </c>
      <c r="D976" s="12">
        <v>43016</v>
      </c>
      <c r="E976" t="s">
        <v>206</v>
      </c>
      <c r="F976" t="s">
        <v>2551</v>
      </c>
      <c r="G976" t="s">
        <v>2552</v>
      </c>
      <c r="H976" t="s">
        <v>285</v>
      </c>
      <c r="I976" t="s">
        <v>210</v>
      </c>
      <c r="J976" t="s">
        <v>449</v>
      </c>
      <c r="K976" t="s">
        <v>450</v>
      </c>
      <c r="L976">
        <v>10011</v>
      </c>
      <c r="M976" t="s">
        <v>331</v>
      </c>
      <c r="N976" t="s">
        <v>1970</v>
      </c>
      <c r="O976" t="s">
        <v>254</v>
      </c>
      <c r="P976" t="s">
        <v>255</v>
      </c>
      <c r="Q976" t="s">
        <v>1971</v>
      </c>
      <c r="R976" s="13">
        <v>160.93</v>
      </c>
      <c r="S976">
        <v>7</v>
      </c>
      <c r="T976" s="14">
        <v>0</v>
      </c>
      <c r="U976" s="13">
        <v>3.2186000000000101</v>
      </c>
    </row>
    <row r="977" spans="1:21" ht="15" customHeight="1" x14ac:dyDescent="0.3">
      <c r="A977">
        <v>976</v>
      </c>
      <c r="B977" t="s">
        <v>3124</v>
      </c>
      <c r="C977" s="12">
        <v>43013</v>
      </c>
      <c r="D977" s="12">
        <v>43016</v>
      </c>
      <c r="E977" t="s">
        <v>206</v>
      </c>
      <c r="F977" t="s">
        <v>2551</v>
      </c>
      <c r="G977" t="s">
        <v>2552</v>
      </c>
      <c r="H977" t="s">
        <v>285</v>
      </c>
      <c r="I977" t="s">
        <v>210</v>
      </c>
      <c r="J977" t="s">
        <v>449</v>
      </c>
      <c r="K977" t="s">
        <v>450</v>
      </c>
      <c r="L977">
        <v>10011</v>
      </c>
      <c r="M977" t="s">
        <v>331</v>
      </c>
      <c r="N977" t="s">
        <v>1580</v>
      </c>
      <c r="O977" t="s">
        <v>229</v>
      </c>
      <c r="P977" t="s">
        <v>258</v>
      </c>
      <c r="Q977" t="s">
        <v>1581</v>
      </c>
      <c r="R977" s="13">
        <v>75.792000000000002</v>
      </c>
      <c r="S977">
        <v>3</v>
      </c>
      <c r="T977" s="14">
        <v>0.2</v>
      </c>
      <c r="U977" s="13">
        <v>25.579799999999999</v>
      </c>
    </row>
    <row r="978" spans="1:21" ht="15" customHeight="1" x14ac:dyDescent="0.3">
      <c r="A978">
        <v>977</v>
      </c>
      <c r="B978" t="s">
        <v>3125</v>
      </c>
      <c r="C978" s="12">
        <v>42925</v>
      </c>
      <c r="D978" s="12">
        <v>42931</v>
      </c>
      <c r="E978" t="s">
        <v>233</v>
      </c>
      <c r="F978" t="s">
        <v>1428</v>
      </c>
      <c r="G978" t="s">
        <v>1429</v>
      </c>
      <c r="H978" t="s">
        <v>209</v>
      </c>
      <c r="I978" t="s">
        <v>210</v>
      </c>
      <c r="J978" t="s">
        <v>602</v>
      </c>
      <c r="K978" t="s">
        <v>603</v>
      </c>
      <c r="L978">
        <v>97206</v>
      </c>
      <c r="M978" t="s">
        <v>227</v>
      </c>
      <c r="N978" t="s">
        <v>3126</v>
      </c>
      <c r="O978" t="s">
        <v>229</v>
      </c>
      <c r="P978" t="s">
        <v>258</v>
      </c>
      <c r="Q978" t="s">
        <v>3127</v>
      </c>
      <c r="R978" s="13">
        <v>1.08</v>
      </c>
      <c r="S978">
        <v>2</v>
      </c>
      <c r="T978" s="14">
        <v>0.7</v>
      </c>
      <c r="U978" s="13">
        <v>-0.79200000000000004</v>
      </c>
    </row>
    <row r="979" spans="1:21" ht="15" customHeight="1" x14ac:dyDescent="0.3">
      <c r="A979">
        <v>978</v>
      </c>
      <c r="B979" t="s">
        <v>3128</v>
      </c>
      <c r="C979" s="12">
        <v>42742</v>
      </c>
      <c r="D979" s="12">
        <v>42745</v>
      </c>
      <c r="E979" t="s">
        <v>371</v>
      </c>
      <c r="F979" t="s">
        <v>2735</v>
      </c>
      <c r="G979" t="s">
        <v>2736</v>
      </c>
      <c r="H979" t="s">
        <v>224</v>
      </c>
      <c r="I979" t="s">
        <v>210</v>
      </c>
      <c r="J979" t="s">
        <v>1065</v>
      </c>
      <c r="K979" t="s">
        <v>421</v>
      </c>
      <c r="L979">
        <v>48205</v>
      </c>
      <c r="M979" t="s">
        <v>288</v>
      </c>
      <c r="N979" t="s">
        <v>866</v>
      </c>
      <c r="O979" t="s">
        <v>254</v>
      </c>
      <c r="P979" t="s">
        <v>867</v>
      </c>
      <c r="Q979" t="s">
        <v>868</v>
      </c>
      <c r="R979" s="13">
        <v>3059.982</v>
      </c>
      <c r="S979">
        <v>2</v>
      </c>
      <c r="T979" s="14">
        <v>0.1</v>
      </c>
      <c r="U979" s="13">
        <v>679.99599999999998</v>
      </c>
    </row>
    <row r="980" spans="1:21" ht="15" customHeight="1" x14ac:dyDescent="0.3">
      <c r="A980">
        <v>979</v>
      </c>
      <c r="B980" t="s">
        <v>3129</v>
      </c>
      <c r="C980" s="12">
        <v>42520</v>
      </c>
      <c r="D980" s="12">
        <v>42521</v>
      </c>
      <c r="E980" t="s">
        <v>371</v>
      </c>
      <c r="F980" t="s">
        <v>3130</v>
      </c>
      <c r="G980" t="s">
        <v>3131</v>
      </c>
      <c r="H980" t="s">
        <v>209</v>
      </c>
      <c r="I980" t="s">
        <v>210</v>
      </c>
      <c r="J980" t="s">
        <v>704</v>
      </c>
      <c r="K980" t="s">
        <v>271</v>
      </c>
      <c r="L980">
        <v>28403</v>
      </c>
      <c r="M980" t="s">
        <v>213</v>
      </c>
      <c r="N980" t="s">
        <v>2206</v>
      </c>
      <c r="O980" t="s">
        <v>229</v>
      </c>
      <c r="P980" t="s">
        <v>258</v>
      </c>
      <c r="Q980" t="s">
        <v>2207</v>
      </c>
      <c r="R980" s="13">
        <v>3.282</v>
      </c>
      <c r="S980">
        <v>2</v>
      </c>
      <c r="T980" s="14">
        <v>0.7</v>
      </c>
      <c r="U980" s="13">
        <v>-2.6255999999999999</v>
      </c>
    </row>
    <row r="981" spans="1:21" ht="15" customHeight="1" x14ac:dyDescent="0.3">
      <c r="A981">
        <v>980</v>
      </c>
      <c r="B981" t="s">
        <v>3132</v>
      </c>
      <c r="C981" s="12">
        <v>42347</v>
      </c>
      <c r="D981" s="12">
        <v>42350</v>
      </c>
      <c r="E981" t="s">
        <v>371</v>
      </c>
      <c r="F981" t="s">
        <v>526</v>
      </c>
      <c r="G981" t="s">
        <v>527</v>
      </c>
      <c r="H981" t="s">
        <v>224</v>
      </c>
      <c r="I981" t="s">
        <v>210</v>
      </c>
      <c r="J981" t="s">
        <v>680</v>
      </c>
      <c r="K981" t="s">
        <v>437</v>
      </c>
      <c r="L981">
        <v>47201</v>
      </c>
      <c r="M981" t="s">
        <v>288</v>
      </c>
      <c r="N981" t="s">
        <v>3133</v>
      </c>
      <c r="O981" t="s">
        <v>229</v>
      </c>
      <c r="P981" t="s">
        <v>273</v>
      </c>
      <c r="Q981" t="s">
        <v>3134</v>
      </c>
      <c r="R981" s="13">
        <v>34.020000000000003</v>
      </c>
      <c r="S981">
        <v>3</v>
      </c>
      <c r="T981" s="14">
        <v>0</v>
      </c>
      <c r="U981" s="13">
        <v>16.669799999999999</v>
      </c>
    </row>
    <row r="982" spans="1:21" ht="15" customHeight="1" x14ac:dyDescent="0.3">
      <c r="A982">
        <v>981</v>
      </c>
      <c r="B982" t="s">
        <v>3135</v>
      </c>
      <c r="C982" s="12">
        <v>42646</v>
      </c>
      <c r="D982" s="12">
        <v>42651</v>
      </c>
      <c r="E982" t="s">
        <v>233</v>
      </c>
      <c r="F982" t="s">
        <v>335</v>
      </c>
      <c r="G982" t="s">
        <v>336</v>
      </c>
      <c r="H982" t="s">
        <v>209</v>
      </c>
      <c r="I982" t="s">
        <v>210</v>
      </c>
      <c r="J982" t="s">
        <v>449</v>
      </c>
      <c r="K982" t="s">
        <v>450</v>
      </c>
      <c r="L982">
        <v>10035</v>
      </c>
      <c r="M982" t="s">
        <v>331</v>
      </c>
      <c r="N982" t="s">
        <v>2670</v>
      </c>
      <c r="O982" t="s">
        <v>215</v>
      </c>
      <c r="P982" t="s">
        <v>219</v>
      </c>
      <c r="Q982" t="s">
        <v>2671</v>
      </c>
      <c r="R982" s="13">
        <v>599.29200000000003</v>
      </c>
      <c r="S982">
        <v>6</v>
      </c>
      <c r="T982" s="14">
        <v>0.1</v>
      </c>
      <c r="U982" s="13">
        <v>93.223200000000006</v>
      </c>
    </row>
    <row r="983" spans="1:21" ht="15" customHeight="1" x14ac:dyDescent="0.3">
      <c r="A983">
        <v>982</v>
      </c>
      <c r="B983" t="s">
        <v>3136</v>
      </c>
      <c r="C983" s="12">
        <v>41954</v>
      </c>
      <c r="D983" s="12">
        <v>41957</v>
      </c>
      <c r="E983" t="s">
        <v>206</v>
      </c>
      <c r="F983" t="s">
        <v>3137</v>
      </c>
      <c r="G983" t="s">
        <v>3138</v>
      </c>
      <c r="H983" t="s">
        <v>209</v>
      </c>
      <c r="I983" t="s">
        <v>210</v>
      </c>
      <c r="J983" t="s">
        <v>1661</v>
      </c>
      <c r="K983" t="s">
        <v>640</v>
      </c>
      <c r="L983">
        <v>80027</v>
      </c>
      <c r="M983" t="s">
        <v>227</v>
      </c>
      <c r="N983" t="s">
        <v>3139</v>
      </c>
      <c r="O983" t="s">
        <v>229</v>
      </c>
      <c r="P983" t="s">
        <v>251</v>
      </c>
      <c r="Q983" t="s">
        <v>3140</v>
      </c>
      <c r="R983" s="13">
        <v>3.3919999999999999</v>
      </c>
      <c r="S983">
        <v>1</v>
      </c>
      <c r="T983" s="14">
        <v>0.2</v>
      </c>
      <c r="U983" s="13">
        <v>0.80559999999999998</v>
      </c>
    </row>
    <row r="984" spans="1:21" ht="15" customHeight="1" x14ac:dyDescent="0.3">
      <c r="A984">
        <v>983</v>
      </c>
      <c r="B984" t="s">
        <v>3136</v>
      </c>
      <c r="C984" s="12">
        <v>41954</v>
      </c>
      <c r="D984" s="12">
        <v>41957</v>
      </c>
      <c r="E984" t="s">
        <v>206</v>
      </c>
      <c r="F984" t="s">
        <v>3137</v>
      </c>
      <c r="G984" t="s">
        <v>3138</v>
      </c>
      <c r="H984" t="s">
        <v>209</v>
      </c>
      <c r="I984" t="s">
        <v>210</v>
      </c>
      <c r="J984" t="s">
        <v>1661</v>
      </c>
      <c r="K984" t="s">
        <v>640</v>
      </c>
      <c r="L984">
        <v>80027</v>
      </c>
      <c r="M984" t="s">
        <v>227</v>
      </c>
      <c r="N984" t="s">
        <v>3141</v>
      </c>
      <c r="O984" t="s">
        <v>254</v>
      </c>
      <c r="P984" t="s">
        <v>255</v>
      </c>
      <c r="Q984" t="s">
        <v>3142</v>
      </c>
      <c r="R984" s="13">
        <v>559.98400000000004</v>
      </c>
      <c r="S984">
        <v>2</v>
      </c>
      <c r="T984" s="14">
        <v>0.2</v>
      </c>
      <c r="U984" s="13">
        <v>55.998399999999997</v>
      </c>
    </row>
    <row r="985" spans="1:21" ht="15" customHeight="1" x14ac:dyDescent="0.3">
      <c r="A985">
        <v>984</v>
      </c>
      <c r="B985" t="s">
        <v>3136</v>
      </c>
      <c r="C985" s="12">
        <v>41954</v>
      </c>
      <c r="D985" s="12">
        <v>41957</v>
      </c>
      <c r="E985" t="s">
        <v>206</v>
      </c>
      <c r="F985" t="s">
        <v>3137</v>
      </c>
      <c r="G985" t="s">
        <v>3138</v>
      </c>
      <c r="H985" t="s">
        <v>209</v>
      </c>
      <c r="I985" t="s">
        <v>210</v>
      </c>
      <c r="J985" t="s">
        <v>1661</v>
      </c>
      <c r="K985" t="s">
        <v>640</v>
      </c>
      <c r="L985">
        <v>80027</v>
      </c>
      <c r="M985" t="s">
        <v>227</v>
      </c>
      <c r="N985" t="s">
        <v>2769</v>
      </c>
      <c r="O985" t="s">
        <v>215</v>
      </c>
      <c r="P985" t="s">
        <v>219</v>
      </c>
      <c r="Q985" t="s">
        <v>2770</v>
      </c>
      <c r="R985" s="13">
        <v>603.91999999999996</v>
      </c>
      <c r="S985">
        <v>5</v>
      </c>
      <c r="T985" s="14">
        <v>0.2</v>
      </c>
      <c r="U985" s="13">
        <v>75.489999999999895</v>
      </c>
    </row>
    <row r="986" spans="1:21" ht="15" customHeight="1" x14ac:dyDescent="0.3">
      <c r="A986">
        <v>985</v>
      </c>
      <c r="B986" t="s">
        <v>3143</v>
      </c>
      <c r="C986" s="12">
        <v>43007</v>
      </c>
      <c r="D986" s="12">
        <v>43013</v>
      </c>
      <c r="E986" t="s">
        <v>233</v>
      </c>
      <c r="F986" t="s">
        <v>3144</v>
      </c>
      <c r="G986" t="s">
        <v>3145</v>
      </c>
      <c r="H986" t="s">
        <v>285</v>
      </c>
      <c r="I986" t="s">
        <v>210</v>
      </c>
      <c r="J986" t="s">
        <v>786</v>
      </c>
      <c r="K986" t="s">
        <v>287</v>
      </c>
      <c r="L986">
        <v>77506</v>
      </c>
      <c r="M986" t="s">
        <v>288</v>
      </c>
      <c r="N986" t="s">
        <v>2681</v>
      </c>
      <c r="O986" t="s">
        <v>229</v>
      </c>
      <c r="P986" t="s">
        <v>230</v>
      </c>
      <c r="Q986" t="s">
        <v>2682</v>
      </c>
      <c r="R986" s="13">
        <v>7.968</v>
      </c>
      <c r="S986">
        <v>2</v>
      </c>
      <c r="T986" s="14">
        <v>0.2</v>
      </c>
      <c r="U986" s="13">
        <v>2.5895999999999999</v>
      </c>
    </row>
    <row r="987" spans="1:21" ht="15" customHeight="1" x14ac:dyDescent="0.3">
      <c r="A987">
        <v>986</v>
      </c>
      <c r="B987" t="s">
        <v>3143</v>
      </c>
      <c r="C987" s="12">
        <v>43007</v>
      </c>
      <c r="D987" s="12">
        <v>43013</v>
      </c>
      <c r="E987" t="s">
        <v>233</v>
      </c>
      <c r="F987" t="s">
        <v>3144</v>
      </c>
      <c r="G987" t="s">
        <v>3145</v>
      </c>
      <c r="H987" t="s">
        <v>285</v>
      </c>
      <c r="I987" t="s">
        <v>210</v>
      </c>
      <c r="J987" t="s">
        <v>786</v>
      </c>
      <c r="K987" t="s">
        <v>287</v>
      </c>
      <c r="L987">
        <v>77506</v>
      </c>
      <c r="M987" t="s">
        <v>288</v>
      </c>
      <c r="N987" t="s">
        <v>3146</v>
      </c>
      <c r="O987" t="s">
        <v>229</v>
      </c>
      <c r="P987" t="s">
        <v>356</v>
      </c>
      <c r="Q987" t="s">
        <v>3147</v>
      </c>
      <c r="R987" s="13">
        <v>27.968</v>
      </c>
      <c r="S987">
        <v>4</v>
      </c>
      <c r="T987" s="14">
        <v>0.2</v>
      </c>
      <c r="U987" s="13">
        <v>9.4391999999999996</v>
      </c>
    </row>
    <row r="988" spans="1:21" ht="15" customHeight="1" x14ac:dyDescent="0.3">
      <c r="A988">
        <v>987</v>
      </c>
      <c r="B988" t="s">
        <v>3143</v>
      </c>
      <c r="C988" s="12">
        <v>43007</v>
      </c>
      <c r="D988" s="12">
        <v>43013</v>
      </c>
      <c r="E988" t="s">
        <v>233</v>
      </c>
      <c r="F988" t="s">
        <v>3144</v>
      </c>
      <c r="G988" t="s">
        <v>3145</v>
      </c>
      <c r="H988" t="s">
        <v>285</v>
      </c>
      <c r="I988" t="s">
        <v>210</v>
      </c>
      <c r="J988" t="s">
        <v>786</v>
      </c>
      <c r="K988" t="s">
        <v>287</v>
      </c>
      <c r="L988">
        <v>77506</v>
      </c>
      <c r="M988" t="s">
        <v>288</v>
      </c>
      <c r="N988" t="s">
        <v>3148</v>
      </c>
      <c r="O988" t="s">
        <v>254</v>
      </c>
      <c r="P988" t="s">
        <v>867</v>
      </c>
      <c r="Q988" t="s">
        <v>3149</v>
      </c>
      <c r="R988" s="13">
        <v>336.51</v>
      </c>
      <c r="S988">
        <v>3</v>
      </c>
      <c r="T988" s="14">
        <v>0.4</v>
      </c>
      <c r="U988" s="13">
        <v>44.868000000000002</v>
      </c>
    </row>
    <row r="989" spans="1:21" ht="15" customHeight="1" x14ac:dyDescent="0.3">
      <c r="A989">
        <v>988</v>
      </c>
      <c r="B989" t="s">
        <v>3150</v>
      </c>
      <c r="C989" s="12">
        <v>42073</v>
      </c>
      <c r="D989" s="12">
        <v>42073</v>
      </c>
      <c r="E989" t="s">
        <v>1476</v>
      </c>
      <c r="F989" t="s">
        <v>3151</v>
      </c>
      <c r="G989" t="s">
        <v>3152</v>
      </c>
      <c r="H989" t="s">
        <v>209</v>
      </c>
      <c r="I989" t="s">
        <v>210</v>
      </c>
      <c r="J989" t="s">
        <v>367</v>
      </c>
      <c r="K989" t="s">
        <v>287</v>
      </c>
      <c r="L989">
        <v>77041</v>
      </c>
      <c r="M989" t="s">
        <v>288</v>
      </c>
      <c r="N989" t="s">
        <v>3153</v>
      </c>
      <c r="O989" t="s">
        <v>229</v>
      </c>
      <c r="P989" t="s">
        <v>258</v>
      </c>
      <c r="Q989" t="s">
        <v>3154</v>
      </c>
      <c r="R989" s="13">
        <v>1.1120000000000001</v>
      </c>
      <c r="S989">
        <v>2</v>
      </c>
      <c r="T989" s="14">
        <v>0.8</v>
      </c>
      <c r="U989" s="13">
        <v>-1.8904000000000001</v>
      </c>
    </row>
    <row r="990" spans="1:21" ht="15" customHeight="1" x14ac:dyDescent="0.3">
      <c r="A990">
        <v>989</v>
      </c>
      <c r="B990" t="s">
        <v>3155</v>
      </c>
      <c r="C990" s="12">
        <v>42876</v>
      </c>
      <c r="D990" s="12">
        <v>42881</v>
      </c>
      <c r="E990" t="s">
        <v>233</v>
      </c>
      <c r="F990" t="s">
        <v>1836</v>
      </c>
      <c r="G990" t="s">
        <v>1837</v>
      </c>
      <c r="H990" t="s">
        <v>224</v>
      </c>
      <c r="I990" t="s">
        <v>210</v>
      </c>
      <c r="J990" t="s">
        <v>1748</v>
      </c>
      <c r="K990" t="s">
        <v>450</v>
      </c>
      <c r="L990">
        <v>13021</v>
      </c>
      <c r="M990" t="s">
        <v>331</v>
      </c>
      <c r="N990" t="s">
        <v>2426</v>
      </c>
      <c r="O990" t="s">
        <v>215</v>
      </c>
      <c r="P990" t="s">
        <v>248</v>
      </c>
      <c r="Q990" t="s">
        <v>2427</v>
      </c>
      <c r="R990" s="13">
        <v>520.04999999999995</v>
      </c>
      <c r="S990">
        <v>5</v>
      </c>
      <c r="T990" s="14">
        <v>0</v>
      </c>
      <c r="U990" s="13">
        <v>72.807000000000002</v>
      </c>
    </row>
    <row r="991" spans="1:21" ht="15" customHeight="1" x14ac:dyDescent="0.3">
      <c r="A991">
        <v>990</v>
      </c>
      <c r="B991" t="s">
        <v>3155</v>
      </c>
      <c r="C991" s="12">
        <v>42876</v>
      </c>
      <c r="D991" s="12">
        <v>42881</v>
      </c>
      <c r="E991" t="s">
        <v>233</v>
      </c>
      <c r="F991" t="s">
        <v>1836</v>
      </c>
      <c r="G991" t="s">
        <v>1837</v>
      </c>
      <c r="H991" t="s">
        <v>224</v>
      </c>
      <c r="I991" t="s">
        <v>210</v>
      </c>
      <c r="J991" t="s">
        <v>1748</v>
      </c>
      <c r="K991" t="s">
        <v>450</v>
      </c>
      <c r="L991">
        <v>13021</v>
      </c>
      <c r="M991" t="s">
        <v>331</v>
      </c>
      <c r="N991" t="s">
        <v>3156</v>
      </c>
      <c r="O991" t="s">
        <v>229</v>
      </c>
      <c r="P991" t="s">
        <v>251</v>
      </c>
      <c r="Q991" t="s">
        <v>3157</v>
      </c>
      <c r="R991" s="13">
        <v>17.97</v>
      </c>
      <c r="S991">
        <v>3</v>
      </c>
      <c r="T991" s="14">
        <v>0</v>
      </c>
      <c r="U991" s="13">
        <v>5.2112999999999996</v>
      </c>
    </row>
    <row r="992" spans="1:21" ht="15" customHeight="1" x14ac:dyDescent="0.3">
      <c r="A992">
        <v>991</v>
      </c>
      <c r="B992" t="s">
        <v>3158</v>
      </c>
      <c r="C992" s="12">
        <v>42092</v>
      </c>
      <c r="D992" s="12">
        <v>42094</v>
      </c>
      <c r="E992" t="s">
        <v>206</v>
      </c>
      <c r="F992" t="s">
        <v>3159</v>
      </c>
      <c r="G992" t="s">
        <v>3160</v>
      </c>
      <c r="H992" t="s">
        <v>285</v>
      </c>
      <c r="I992" t="s">
        <v>210</v>
      </c>
      <c r="J992" t="s">
        <v>1709</v>
      </c>
      <c r="K992" t="s">
        <v>237</v>
      </c>
      <c r="L992">
        <v>32216</v>
      </c>
      <c r="M992" t="s">
        <v>213</v>
      </c>
      <c r="N992" t="s">
        <v>1322</v>
      </c>
      <c r="O992" t="s">
        <v>215</v>
      </c>
      <c r="P992" t="s">
        <v>219</v>
      </c>
      <c r="Q992" t="s">
        <v>1323</v>
      </c>
      <c r="R992" s="13">
        <v>1166.92</v>
      </c>
      <c r="S992">
        <v>5</v>
      </c>
      <c r="T992" s="14">
        <v>0.2</v>
      </c>
      <c r="U992" s="13">
        <v>131.27850000000001</v>
      </c>
    </row>
    <row r="993" spans="1:21" ht="15" customHeight="1" x14ac:dyDescent="0.3">
      <c r="A993">
        <v>992</v>
      </c>
      <c r="B993" t="s">
        <v>3161</v>
      </c>
      <c r="C993" s="12">
        <v>42622</v>
      </c>
      <c r="D993" s="12">
        <v>42624</v>
      </c>
      <c r="E993" t="s">
        <v>371</v>
      </c>
      <c r="F993" t="s">
        <v>725</v>
      </c>
      <c r="G993" t="s">
        <v>726</v>
      </c>
      <c r="H993" t="s">
        <v>209</v>
      </c>
      <c r="I993" t="s">
        <v>210</v>
      </c>
      <c r="J993" t="s">
        <v>449</v>
      </c>
      <c r="K993" t="s">
        <v>450</v>
      </c>
      <c r="L993">
        <v>10024</v>
      </c>
      <c r="M993" t="s">
        <v>331</v>
      </c>
      <c r="N993" t="s">
        <v>2630</v>
      </c>
      <c r="O993" t="s">
        <v>229</v>
      </c>
      <c r="P993" t="s">
        <v>258</v>
      </c>
      <c r="Q993" t="s">
        <v>2631</v>
      </c>
      <c r="R993" s="13">
        <v>14.624000000000001</v>
      </c>
      <c r="S993">
        <v>2</v>
      </c>
      <c r="T993" s="14">
        <v>0.2</v>
      </c>
      <c r="U993" s="13">
        <v>5.484</v>
      </c>
    </row>
    <row r="994" spans="1:21" ht="15" customHeight="1" x14ac:dyDescent="0.3">
      <c r="A994">
        <v>993</v>
      </c>
      <c r="B994" t="s">
        <v>3162</v>
      </c>
      <c r="C994" s="12">
        <v>42608</v>
      </c>
      <c r="D994" s="12">
        <v>42609</v>
      </c>
      <c r="E994" t="s">
        <v>371</v>
      </c>
      <c r="F994" t="s">
        <v>2572</v>
      </c>
      <c r="G994" t="s">
        <v>2573</v>
      </c>
      <c r="H994" t="s">
        <v>209</v>
      </c>
      <c r="I994" t="s">
        <v>210</v>
      </c>
      <c r="J994" t="s">
        <v>814</v>
      </c>
      <c r="K994" t="s">
        <v>226</v>
      </c>
      <c r="L994">
        <v>95123</v>
      </c>
      <c r="M994" t="s">
        <v>227</v>
      </c>
      <c r="N994" t="s">
        <v>1256</v>
      </c>
      <c r="O994" t="s">
        <v>229</v>
      </c>
      <c r="P994" t="s">
        <v>452</v>
      </c>
      <c r="Q994" t="s">
        <v>1257</v>
      </c>
      <c r="R994" s="13">
        <v>10.23</v>
      </c>
      <c r="S994">
        <v>3</v>
      </c>
      <c r="T994" s="14">
        <v>0</v>
      </c>
      <c r="U994" s="13">
        <v>4.9104000000000001</v>
      </c>
    </row>
    <row r="995" spans="1:21" ht="15" customHeight="1" x14ac:dyDescent="0.3">
      <c r="A995">
        <v>994</v>
      </c>
      <c r="B995" t="s">
        <v>3162</v>
      </c>
      <c r="C995" s="12">
        <v>42608</v>
      </c>
      <c r="D995" s="12">
        <v>42609</v>
      </c>
      <c r="E995" t="s">
        <v>371</v>
      </c>
      <c r="F995" t="s">
        <v>2572</v>
      </c>
      <c r="G995" t="s">
        <v>2573</v>
      </c>
      <c r="H995" t="s">
        <v>209</v>
      </c>
      <c r="I995" t="s">
        <v>210</v>
      </c>
      <c r="J995" t="s">
        <v>814</v>
      </c>
      <c r="K995" t="s">
        <v>226</v>
      </c>
      <c r="L995">
        <v>95123</v>
      </c>
      <c r="M995" t="s">
        <v>227</v>
      </c>
      <c r="N995" t="s">
        <v>3163</v>
      </c>
      <c r="O995" t="s">
        <v>229</v>
      </c>
      <c r="P995" t="s">
        <v>273</v>
      </c>
      <c r="Q995" t="s">
        <v>3164</v>
      </c>
      <c r="R995" s="13">
        <v>154.9</v>
      </c>
      <c r="S995">
        <v>5</v>
      </c>
      <c r="T995" s="14">
        <v>0</v>
      </c>
      <c r="U995" s="13">
        <v>69.704999999999998</v>
      </c>
    </row>
    <row r="996" spans="1:21" ht="15" customHeight="1" x14ac:dyDescent="0.3">
      <c r="A996">
        <v>995</v>
      </c>
      <c r="B996" t="s">
        <v>3165</v>
      </c>
      <c r="C996" s="12">
        <v>41780</v>
      </c>
      <c r="D996" s="12">
        <v>41784</v>
      </c>
      <c r="E996" t="s">
        <v>233</v>
      </c>
      <c r="F996" t="s">
        <v>3166</v>
      </c>
      <c r="G996" t="s">
        <v>3167</v>
      </c>
      <c r="H996" t="s">
        <v>224</v>
      </c>
      <c r="I996" t="s">
        <v>210</v>
      </c>
      <c r="J996" t="s">
        <v>3168</v>
      </c>
      <c r="K996" t="s">
        <v>502</v>
      </c>
      <c r="L996">
        <v>23464</v>
      </c>
      <c r="M996" t="s">
        <v>213</v>
      </c>
      <c r="N996" t="s">
        <v>3169</v>
      </c>
      <c r="O996" t="s">
        <v>229</v>
      </c>
      <c r="P996" t="s">
        <v>258</v>
      </c>
      <c r="Q996" t="s">
        <v>3170</v>
      </c>
      <c r="R996" s="13">
        <v>2715.93</v>
      </c>
      <c r="S996">
        <v>7</v>
      </c>
      <c r="T996" s="14">
        <v>0</v>
      </c>
      <c r="U996" s="13">
        <v>1276.4871000000001</v>
      </c>
    </row>
    <row r="997" spans="1:21" ht="15" customHeight="1" x14ac:dyDescent="0.3">
      <c r="A997">
        <v>996</v>
      </c>
      <c r="B997" t="s">
        <v>3165</v>
      </c>
      <c r="C997" s="12">
        <v>41780</v>
      </c>
      <c r="D997" s="12">
        <v>41784</v>
      </c>
      <c r="E997" t="s">
        <v>233</v>
      </c>
      <c r="F997" t="s">
        <v>3166</v>
      </c>
      <c r="G997" t="s">
        <v>3167</v>
      </c>
      <c r="H997" t="s">
        <v>224</v>
      </c>
      <c r="I997" t="s">
        <v>210</v>
      </c>
      <c r="J997" t="s">
        <v>3168</v>
      </c>
      <c r="K997" t="s">
        <v>502</v>
      </c>
      <c r="L997">
        <v>23464</v>
      </c>
      <c r="M997" t="s">
        <v>213</v>
      </c>
      <c r="N997" t="s">
        <v>2676</v>
      </c>
      <c r="O997" t="s">
        <v>254</v>
      </c>
      <c r="P997" t="s">
        <v>255</v>
      </c>
      <c r="Q997" t="s">
        <v>3171</v>
      </c>
      <c r="R997" s="13">
        <v>617.97</v>
      </c>
      <c r="S997">
        <v>3</v>
      </c>
      <c r="T997" s="14">
        <v>0</v>
      </c>
      <c r="U997" s="13">
        <v>173.0316</v>
      </c>
    </row>
    <row r="998" spans="1:21" ht="15" customHeight="1" x14ac:dyDescent="0.3">
      <c r="A998">
        <v>997</v>
      </c>
      <c r="B998" t="s">
        <v>3172</v>
      </c>
      <c r="C998" s="12">
        <v>42305</v>
      </c>
      <c r="D998" s="12">
        <v>42311</v>
      </c>
      <c r="E998" t="s">
        <v>233</v>
      </c>
      <c r="F998" t="s">
        <v>3173</v>
      </c>
      <c r="G998" t="s">
        <v>3174</v>
      </c>
      <c r="H998" t="s">
        <v>209</v>
      </c>
      <c r="I998" t="s">
        <v>210</v>
      </c>
      <c r="J998" t="s">
        <v>211</v>
      </c>
      <c r="K998" t="s">
        <v>212</v>
      </c>
      <c r="L998">
        <v>42420</v>
      </c>
      <c r="M998" t="s">
        <v>213</v>
      </c>
      <c r="N998" t="s">
        <v>3175</v>
      </c>
      <c r="O998" t="s">
        <v>229</v>
      </c>
      <c r="P998" t="s">
        <v>356</v>
      </c>
      <c r="Q998" t="s">
        <v>3176</v>
      </c>
      <c r="R998" s="13">
        <v>10.67</v>
      </c>
      <c r="S998">
        <v>1</v>
      </c>
      <c r="T998" s="14">
        <v>0</v>
      </c>
      <c r="U998" s="13">
        <v>4.9081999999999999</v>
      </c>
    </row>
    <row r="999" spans="1:21" ht="15" customHeight="1" x14ac:dyDescent="0.3">
      <c r="A999">
        <v>998</v>
      </c>
      <c r="B999" t="s">
        <v>3172</v>
      </c>
      <c r="C999" s="12">
        <v>42305</v>
      </c>
      <c r="D999" s="12">
        <v>42311</v>
      </c>
      <c r="E999" t="s">
        <v>233</v>
      </c>
      <c r="F999" t="s">
        <v>3173</v>
      </c>
      <c r="G999" t="s">
        <v>3174</v>
      </c>
      <c r="H999" t="s">
        <v>209</v>
      </c>
      <c r="I999" t="s">
        <v>210</v>
      </c>
      <c r="J999" t="s">
        <v>211</v>
      </c>
      <c r="K999" t="s">
        <v>212</v>
      </c>
      <c r="L999">
        <v>42420</v>
      </c>
      <c r="M999" t="s">
        <v>213</v>
      </c>
      <c r="N999" t="s">
        <v>3177</v>
      </c>
      <c r="O999" t="s">
        <v>229</v>
      </c>
      <c r="P999" t="s">
        <v>242</v>
      </c>
      <c r="Q999" t="s">
        <v>3178</v>
      </c>
      <c r="R999" s="13">
        <v>36.630000000000003</v>
      </c>
      <c r="S999">
        <v>3</v>
      </c>
      <c r="T999" s="14">
        <v>0</v>
      </c>
      <c r="U999" s="13">
        <v>9.8901000000000003</v>
      </c>
    </row>
    <row r="1000" spans="1:21" ht="15" customHeight="1" x14ac:dyDescent="0.3">
      <c r="A1000">
        <v>999</v>
      </c>
      <c r="B1000" t="s">
        <v>3172</v>
      </c>
      <c r="C1000" s="12">
        <v>42305</v>
      </c>
      <c r="D1000" s="12">
        <v>42311</v>
      </c>
      <c r="E1000" t="s">
        <v>233</v>
      </c>
      <c r="F1000" t="s">
        <v>3173</v>
      </c>
      <c r="G1000" t="s">
        <v>3174</v>
      </c>
      <c r="H1000" t="s">
        <v>209</v>
      </c>
      <c r="I1000" t="s">
        <v>210</v>
      </c>
      <c r="J1000" t="s">
        <v>211</v>
      </c>
      <c r="K1000" t="s">
        <v>212</v>
      </c>
      <c r="L1000">
        <v>42420</v>
      </c>
      <c r="M1000" t="s">
        <v>213</v>
      </c>
      <c r="N1000" t="s">
        <v>3179</v>
      </c>
      <c r="O1000" t="s">
        <v>215</v>
      </c>
      <c r="P1000" t="s">
        <v>248</v>
      </c>
      <c r="Q1000" t="s">
        <v>3180</v>
      </c>
      <c r="R1000" s="13">
        <v>24.1</v>
      </c>
      <c r="S1000">
        <v>5</v>
      </c>
      <c r="T1000" s="14">
        <v>0</v>
      </c>
      <c r="U1000" s="13">
        <v>9.1579999999999995</v>
      </c>
    </row>
    <row r="1001" spans="1:21" ht="15" customHeight="1" x14ac:dyDescent="0.3">
      <c r="A1001">
        <v>1000</v>
      </c>
      <c r="B1001" t="s">
        <v>3172</v>
      </c>
      <c r="C1001" s="12">
        <v>42305</v>
      </c>
      <c r="D1001" s="12">
        <v>42311</v>
      </c>
      <c r="E1001" t="s">
        <v>233</v>
      </c>
      <c r="F1001" t="s">
        <v>3173</v>
      </c>
      <c r="G1001" t="s">
        <v>3174</v>
      </c>
      <c r="H1001" t="s">
        <v>209</v>
      </c>
      <c r="I1001" t="s">
        <v>210</v>
      </c>
      <c r="J1001" t="s">
        <v>211</v>
      </c>
      <c r="K1001" t="s">
        <v>212</v>
      </c>
      <c r="L1001">
        <v>42420</v>
      </c>
      <c r="M1001" t="s">
        <v>213</v>
      </c>
      <c r="N1001" t="s">
        <v>1320</v>
      </c>
      <c r="O1001" t="s">
        <v>215</v>
      </c>
      <c r="P1001" t="s">
        <v>248</v>
      </c>
      <c r="Q1001" t="s">
        <v>1321</v>
      </c>
      <c r="R1001" s="13">
        <v>33.11</v>
      </c>
      <c r="S1001">
        <v>7</v>
      </c>
      <c r="T1001" s="14">
        <v>0</v>
      </c>
      <c r="U1001" s="13">
        <v>12.9129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A1:AI1001"/>
  <sheetViews>
    <sheetView zoomScaleNormal="100" workbookViewId="0">
      <pane xSplit="2" ySplit="1" topLeftCell="Z3" activePane="bottomRight" state="frozen"/>
      <selection pane="topRight" activeCell="C1" sqref="C1"/>
      <selection pane="bottomLeft" activeCell="A2" sqref="A2"/>
      <selection pane="bottomRight" activeCell="AE3" sqref="AE3"/>
    </sheetView>
  </sheetViews>
  <sheetFormatPr defaultColWidth="8.6640625" defaultRowHeight="14.4" x14ac:dyDescent="0.3"/>
  <cols>
    <col min="1" max="1" width="7" customWidth="1"/>
    <col min="2" max="2" width="15" customWidth="1"/>
    <col min="3" max="4" width="12" customWidth="1"/>
    <col min="5" max="5" width="14" customWidth="1"/>
    <col min="6" max="6" width="12" customWidth="1"/>
    <col min="7" max="7" width="16" customWidth="1"/>
    <col min="8" max="8" width="12" customWidth="1"/>
    <col min="9" max="11" width="14" customWidth="1"/>
    <col min="12" max="12" width="11" customWidth="1"/>
    <col min="13" max="13" width="9" customWidth="1"/>
    <col min="14" max="14" width="12" customWidth="1"/>
    <col min="15" max="16" width="14" customWidth="1"/>
    <col min="17" max="17" width="26" customWidth="1"/>
    <col min="18" max="18" width="11" customWidth="1"/>
    <col min="19" max="20" width="9" customWidth="1"/>
    <col min="21" max="21" width="10" customWidth="1"/>
    <col min="22" max="22" width="11" customWidth="1"/>
    <col min="23" max="25" width="12" customWidth="1"/>
    <col min="26" max="26" width="14" customWidth="1"/>
    <col min="27" max="27" width="11" customWidth="1"/>
    <col min="28" max="28" width="13" customWidth="1"/>
    <col min="29" max="29" width="15" customWidth="1"/>
    <col min="30" max="31" width="17" customWidth="1"/>
    <col min="32" max="32" width="14" customWidth="1"/>
    <col min="33" max="33" width="15" customWidth="1"/>
    <col min="34" max="34" width="14" customWidth="1"/>
    <col min="35" max="35" width="17" customWidth="1"/>
  </cols>
  <sheetData>
    <row r="1" spans="1:35" ht="23.25" customHeight="1" x14ac:dyDescent="0.3">
      <c r="A1" s="11" t="s">
        <v>38</v>
      </c>
      <c r="B1" s="11" t="s">
        <v>43</v>
      </c>
      <c r="C1" s="11" t="s">
        <v>48</v>
      </c>
      <c r="D1" s="11" t="s">
        <v>53</v>
      </c>
      <c r="E1" s="11" t="s">
        <v>57</v>
      </c>
      <c r="F1" s="11" t="s">
        <v>62</v>
      </c>
      <c r="G1" s="11" t="s">
        <v>67</v>
      </c>
      <c r="H1" s="11" t="s">
        <v>72</v>
      </c>
      <c r="I1" s="11" t="s">
        <v>76</v>
      </c>
      <c r="J1" s="11" t="s">
        <v>80</v>
      </c>
      <c r="K1" s="11" t="s">
        <v>84</v>
      </c>
      <c r="L1" s="11" t="s">
        <v>88</v>
      </c>
      <c r="M1" s="11" t="s">
        <v>93</v>
      </c>
      <c r="N1" s="11" t="s">
        <v>97</v>
      </c>
      <c r="O1" s="11" t="s">
        <v>101</v>
      </c>
      <c r="P1" s="11" t="s">
        <v>104</v>
      </c>
      <c r="Q1" s="11" t="s">
        <v>108</v>
      </c>
      <c r="R1" s="11" t="s">
        <v>112</v>
      </c>
      <c r="S1" s="11" t="s">
        <v>117</v>
      </c>
      <c r="T1" s="11" t="s">
        <v>121</v>
      </c>
      <c r="U1" s="11" t="s">
        <v>126</v>
      </c>
      <c r="V1" s="15" t="s">
        <v>3181</v>
      </c>
      <c r="W1" s="15" t="s">
        <v>3182</v>
      </c>
      <c r="X1" s="15" t="s">
        <v>3183</v>
      </c>
      <c r="Y1" s="15" t="s">
        <v>3184</v>
      </c>
      <c r="Z1" s="15" t="s">
        <v>3185</v>
      </c>
      <c r="AA1" s="15" t="s">
        <v>3186</v>
      </c>
      <c r="AB1" s="15" t="s">
        <v>3187</v>
      </c>
      <c r="AC1" s="15" t="s">
        <v>3188</v>
      </c>
      <c r="AD1" s="15" t="s">
        <v>3189</v>
      </c>
      <c r="AE1" s="15" t="s">
        <v>3190</v>
      </c>
      <c r="AF1" s="15" t="s">
        <v>3191</v>
      </c>
      <c r="AG1" s="15" t="s">
        <v>3192</v>
      </c>
      <c r="AH1" s="15" t="s">
        <v>3193</v>
      </c>
      <c r="AI1" s="15" t="s">
        <v>3194</v>
      </c>
    </row>
    <row r="2" spans="1:35" ht="15" customHeight="1" x14ac:dyDescent="0.3">
      <c r="A2">
        <v>1</v>
      </c>
      <c r="B2" t="s">
        <v>205</v>
      </c>
      <c r="C2" s="12">
        <v>42682</v>
      </c>
      <c r="D2" s="12">
        <v>42685</v>
      </c>
      <c r="E2" t="s">
        <v>206</v>
      </c>
      <c r="F2" t="s">
        <v>207</v>
      </c>
      <c r="G2" t="s">
        <v>208</v>
      </c>
      <c r="H2" t="s">
        <v>209</v>
      </c>
      <c r="I2" t="s">
        <v>210</v>
      </c>
      <c r="J2" t="s">
        <v>211</v>
      </c>
      <c r="K2" t="s">
        <v>212</v>
      </c>
      <c r="L2">
        <v>42420</v>
      </c>
      <c r="M2" t="s">
        <v>213</v>
      </c>
      <c r="N2" t="s">
        <v>214</v>
      </c>
      <c r="O2" t="s">
        <v>215</v>
      </c>
      <c r="P2" t="s">
        <v>216</v>
      </c>
      <c r="Q2" t="s">
        <v>217</v>
      </c>
      <c r="R2" s="13">
        <v>261.95999999999998</v>
      </c>
      <c r="S2">
        <v>2</v>
      </c>
      <c r="T2" s="14">
        <v>0</v>
      </c>
      <c r="U2" s="13">
        <v>41.913600000000002</v>
      </c>
      <c r="V2">
        <f t="shared" ref="V2:V65" si="0">YEAR(C2)</f>
        <v>2016</v>
      </c>
      <c r="W2" t="str">
        <f t="shared" ref="W2:W65" si="1">TEXT(C2,"mmm")</f>
        <v>Nov</v>
      </c>
      <c r="X2" t="str">
        <f t="shared" ref="X2:X65" si="2">"Q"&amp;ROUNDUP(MONTH(C2)/3,0)</f>
        <v>Q4</v>
      </c>
      <c r="Y2" t="str">
        <f t="shared" ref="Y2:Y65" si="3">TEXT(C2,"ddd")</f>
        <v>Tue</v>
      </c>
      <c r="Z2" s="16">
        <f t="shared" ref="Z2:Z65" si="4">D2-C2</f>
        <v>3</v>
      </c>
      <c r="AA2" s="13">
        <f t="shared" ref="AA2:AA65" si="5">IFERROR(R2/S2,0)</f>
        <v>130.97999999999999</v>
      </c>
      <c r="AB2" s="14">
        <f t="shared" ref="AB2:AB65" si="6">IFERROR(U2/R2,0)</f>
        <v>0.16000000000000003</v>
      </c>
      <c r="AC2" t="str">
        <f t="shared" ref="AC2:AC65" si="7">IF(T2=0,"No Discount",IF(T2&lt;=0.2,"Low (1-20%)",IF(T2&lt;=0.4,"Medium (21-40%)","High (40%+)")))</f>
        <v>No Discount</v>
      </c>
      <c r="AD2" t="str">
        <f t="shared" ref="AD2:AD65" si="8">IF(R2&lt;50,"Low (&lt;$50)",IF(R2&lt;200,"Medium ($50-$200)",IF(R2&lt;500,"High ($200-$500)","Premium ($500+)")))</f>
        <v>High ($200-$500)</v>
      </c>
      <c r="AE2" t="str">
        <f t="shared" ref="AE2:AE65" si="9">IF(S2&lt;=2,"Small (1-2 units)",IF(S2&lt;=5,"Medium (3-5 units)","Large (6+ units)"))</f>
        <v>Small (1-2 units)</v>
      </c>
      <c r="AF2" t="str">
        <f t="shared" ref="AF2:AF65" si="10">IF(U2&lt;0,"Loss-Making","Profitable")</f>
        <v>Profitable</v>
      </c>
      <c r="AG2" t="str">
        <f t="shared" ref="AG2:AG65" si="11">IF(AB2&lt;0,"Underperforming",IF(AB2&lt;0.1,"Low Margin",IF(AB2&lt;0.25,"Healthy Margin","High Margin")))</f>
        <v>Healthy Margin</v>
      </c>
      <c r="AH2" t="str">
        <f t="shared" ref="AH2:AH65" si="12">IF(COUNTIF($F$2:$F$1001,F2)&gt;1,"Repeat Customer","Single Purchase")</f>
        <v>Repeat Customer</v>
      </c>
      <c r="AI2" t="str">
        <f t="shared" ref="AI2:AI65" si="13">IF(Z2&lt;=2,"Fast (&lt;=2 days)",IF(Z2&lt;=5,"Standard (3-5 days)","Slow (6+ days)"))</f>
        <v>Standard (3-5 days)</v>
      </c>
    </row>
    <row r="3" spans="1:35" ht="15" customHeight="1" x14ac:dyDescent="0.3">
      <c r="A3">
        <v>2</v>
      </c>
      <c r="B3" t="s">
        <v>205</v>
      </c>
      <c r="C3" s="12">
        <v>42682</v>
      </c>
      <c r="D3" s="12">
        <v>42685</v>
      </c>
      <c r="E3" t="s">
        <v>206</v>
      </c>
      <c r="F3" t="s">
        <v>207</v>
      </c>
      <c r="G3" t="s">
        <v>208</v>
      </c>
      <c r="H3" t="s">
        <v>209</v>
      </c>
      <c r="I3" t="s">
        <v>210</v>
      </c>
      <c r="J3" t="s">
        <v>211</v>
      </c>
      <c r="K3" t="s">
        <v>212</v>
      </c>
      <c r="L3">
        <v>42420</v>
      </c>
      <c r="M3" t="s">
        <v>213</v>
      </c>
      <c r="N3" t="s">
        <v>218</v>
      </c>
      <c r="O3" t="s">
        <v>215</v>
      </c>
      <c r="P3" t="s">
        <v>219</v>
      </c>
      <c r="Q3" t="s">
        <v>220</v>
      </c>
      <c r="R3" s="13">
        <v>731.94</v>
      </c>
      <c r="S3">
        <v>3</v>
      </c>
      <c r="T3" s="14">
        <v>0</v>
      </c>
      <c r="U3" s="13">
        <v>219.58199999999999</v>
      </c>
      <c r="V3">
        <f t="shared" si="0"/>
        <v>2016</v>
      </c>
      <c r="W3" t="str">
        <f t="shared" si="1"/>
        <v>Nov</v>
      </c>
      <c r="X3" t="str">
        <f t="shared" si="2"/>
        <v>Q4</v>
      </c>
      <c r="Y3" t="str">
        <f t="shared" si="3"/>
        <v>Tue</v>
      </c>
      <c r="Z3" s="16">
        <f t="shared" si="4"/>
        <v>3</v>
      </c>
      <c r="AA3" s="13">
        <f t="shared" si="5"/>
        <v>243.98000000000002</v>
      </c>
      <c r="AB3" s="14">
        <f t="shared" si="6"/>
        <v>0.3</v>
      </c>
      <c r="AC3" t="str">
        <f t="shared" si="7"/>
        <v>No Discount</v>
      </c>
      <c r="AD3" t="str">
        <f t="shared" si="8"/>
        <v>Premium ($500+)</v>
      </c>
      <c r="AE3" t="str">
        <f t="shared" si="9"/>
        <v>Medium (3-5 units)</v>
      </c>
      <c r="AF3" t="str">
        <f t="shared" si="10"/>
        <v>Profitable</v>
      </c>
      <c r="AG3" t="str">
        <f t="shared" si="11"/>
        <v>High Margin</v>
      </c>
      <c r="AH3" t="str">
        <f t="shared" si="12"/>
        <v>Repeat Customer</v>
      </c>
      <c r="AI3" t="str">
        <f t="shared" si="13"/>
        <v>Standard (3-5 days)</v>
      </c>
    </row>
    <row r="4" spans="1:35" ht="15" customHeight="1" x14ac:dyDescent="0.3">
      <c r="A4">
        <v>3</v>
      </c>
      <c r="B4" t="s">
        <v>221</v>
      </c>
      <c r="C4" s="12">
        <v>42533</v>
      </c>
      <c r="D4" s="12">
        <v>42537</v>
      </c>
      <c r="E4" t="s">
        <v>206</v>
      </c>
      <c r="F4" t="s">
        <v>222</v>
      </c>
      <c r="G4" t="s">
        <v>223</v>
      </c>
      <c r="H4" t="s">
        <v>224</v>
      </c>
      <c r="I4" t="s">
        <v>210</v>
      </c>
      <c r="J4" t="s">
        <v>225</v>
      </c>
      <c r="K4" t="s">
        <v>226</v>
      </c>
      <c r="L4">
        <v>90036</v>
      </c>
      <c r="M4" t="s">
        <v>227</v>
      </c>
      <c r="N4" t="s">
        <v>228</v>
      </c>
      <c r="O4" t="s">
        <v>229</v>
      </c>
      <c r="P4" t="s">
        <v>230</v>
      </c>
      <c r="Q4" t="s">
        <v>231</v>
      </c>
      <c r="R4" s="13">
        <v>14.62</v>
      </c>
      <c r="S4">
        <v>2</v>
      </c>
      <c r="T4" s="14">
        <v>0</v>
      </c>
      <c r="U4" s="13">
        <v>6.8714000000000004</v>
      </c>
      <c r="V4">
        <f t="shared" si="0"/>
        <v>2016</v>
      </c>
      <c r="W4" t="str">
        <f t="shared" si="1"/>
        <v>Jun</v>
      </c>
      <c r="X4" t="str">
        <f t="shared" si="2"/>
        <v>Q2</v>
      </c>
      <c r="Y4" t="str">
        <f t="shared" si="3"/>
        <v>Sun</v>
      </c>
      <c r="Z4" s="16">
        <f t="shared" si="4"/>
        <v>4</v>
      </c>
      <c r="AA4" s="13">
        <f t="shared" si="5"/>
        <v>7.31</v>
      </c>
      <c r="AB4" s="14">
        <f t="shared" si="6"/>
        <v>0.47000000000000003</v>
      </c>
      <c r="AC4" t="str">
        <f t="shared" si="7"/>
        <v>No Discount</v>
      </c>
      <c r="AD4" t="str">
        <f t="shared" si="8"/>
        <v>Low (&lt;$50)</v>
      </c>
      <c r="AE4" t="str">
        <f t="shared" si="9"/>
        <v>Small (1-2 units)</v>
      </c>
      <c r="AF4" t="str">
        <f t="shared" si="10"/>
        <v>Profitable</v>
      </c>
      <c r="AG4" t="str">
        <f t="shared" si="11"/>
        <v>High Margin</v>
      </c>
      <c r="AH4" t="str">
        <f t="shared" si="12"/>
        <v>Single Purchase</v>
      </c>
      <c r="AI4" t="str">
        <f t="shared" si="13"/>
        <v>Standard (3-5 days)</v>
      </c>
    </row>
    <row r="5" spans="1:35" ht="15" customHeight="1" x14ac:dyDescent="0.3">
      <c r="A5">
        <v>4</v>
      </c>
      <c r="B5" t="s">
        <v>232</v>
      </c>
      <c r="C5" s="12">
        <v>42288</v>
      </c>
      <c r="D5" s="12">
        <v>42295</v>
      </c>
      <c r="E5" t="s">
        <v>233</v>
      </c>
      <c r="F5" t="s">
        <v>234</v>
      </c>
      <c r="G5" t="s">
        <v>235</v>
      </c>
      <c r="H5" t="s">
        <v>209</v>
      </c>
      <c r="I5" t="s">
        <v>210</v>
      </c>
      <c r="J5" t="s">
        <v>236</v>
      </c>
      <c r="K5" t="s">
        <v>237</v>
      </c>
      <c r="L5">
        <v>33311</v>
      </c>
      <c r="M5" t="s">
        <v>213</v>
      </c>
      <c r="N5" t="s">
        <v>238</v>
      </c>
      <c r="O5" t="s">
        <v>215</v>
      </c>
      <c r="P5" t="s">
        <v>239</v>
      </c>
      <c r="Q5" t="s">
        <v>240</v>
      </c>
      <c r="R5" s="13">
        <v>957.57749999999999</v>
      </c>
      <c r="S5">
        <v>5</v>
      </c>
      <c r="T5" s="14">
        <v>0.45</v>
      </c>
      <c r="U5" s="13">
        <v>-383.03100000000001</v>
      </c>
      <c r="V5">
        <f t="shared" si="0"/>
        <v>2015</v>
      </c>
      <c r="W5" t="str">
        <f t="shared" si="1"/>
        <v>Oct</v>
      </c>
      <c r="X5" t="str">
        <f t="shared" si="2"/>
        <v>Q4</v>
      </c>
      <c r="Y5" t="str">
        <f t="shared" si="3"/>
        <v>Sun</v>
      </c>
      <c r="Z5" s="16">
        <f t="shared" si="4"/>
        <v>7</v>
      </c>
      <c r="AA5" s="13">
        <f t="shared" si="5"/>
        <v>191.5155</v>
      </c>
      <c r="AB5" s="14">
        <f t="shared" si="6"/>
        <v>-0.4</v>
      </c>
      <c r="AC5" t="str">
        <f t="shared" si="7"/>
        <v>High (40%+)</v>
      </c>
      <c r="AD5" t="str">
        <f t="shared" si="8"/>
        <v>Premium ($500+)</v>
      </c>
      <c r="AE5" t="str">
        <f t="shared" si="9"/>
        <v>Medium (3-5 units)</v>
      </c>
      <c r="AF5" t="str">
        <f t="shared" si="10"/>
        <v>Loss-Making</v>
      </c>
      <c r="AG5" t="str">
        <f t="shared" si="11"/>
        <v>Underperforming</v>
      </c>
      <c r="AH5" t="str">
        <f t="shared" si="12"/>
        <v>Repeat Customer</v>
      </c>
      <c r="AI5" t="str">
        <f t="shared" si="13"/>
        <v>Slow (6+ days)</v>
      </c>
    </row>
    <row r="6" spans="1:35" ht="15" customHeight="1" x14ac:dyDescent="0.3">
      <c r="A6">
        <v>5</v>
      </c>
      <c r="B6" t="s">
        <v>232</v>
      </c>
      <c r="C6" s="12">
        <v>42288</v>
      </c>
      <c r="D6" s="12">
        <v>42295</v>
      </c>
      <c r="E6" t="s">
        <v>233</v>
      </c>
      <c r="F6" t="s">
        <v>234</v>
      </c>
      <c r="G6" t="s">
        <v>235</v>
      </c>
      <c r="H6" t="s">
        <v>209</v>
      </c>
      <c r="I6" t="s">
        <v>210</v>
      </c>
      <c r="J6" t="s">
        <v>236</v>
      </c>
      <c r="K6" t="s">
        <v>237</v>
      </c>
      <c r="L6">
        <v>33311</v>
      </c>
      <c r="M6" t="s">
        <v>213</v>
      </c>
      <c r="N6" t="s">
        <v>241</v>
      </c>
      <c r="O6" t="s">
        <v>229</v>
      </c>
      <c r="P6" t="s">
        <v>242</v>
      </c>
      <c r="Q6" t="s">
        <v>243</v>
      </c>
      <c r="R6" s="13">
        <v>22.367999999999999</v>
      </c>
      <c r="S6">
        <v>2</v>
      </c>
      <c r="T6" s="14">
        <v>0.2</v>
      </c>
      <c r="U6" s="13">
        <v>2.5164</v>
      </c>
      <c r="V6">
        <f t="shared" si="0"/>
        <v>2015</v>
      </c>
      <c r="W6" t="str">
        <f t="shared" si="1"/>
        <v>Oct</v>
      </c>
      <c r="X6" t="str">
        <f t="shared" si="2"/>
        <v>Q4</v>
      </c>
      <c r="Y6" t="str">
        <f t="shared" si="3"/>
        <v>Sun</v>
      </c>
      <c r="Z6" s="16">
        <f t="shared" si="4"/>
        <v>7</v>
      </c>
      <c r="AA6" s="13">
        <f t="shared" si="5"/>
        <v>11.183999999999999</v>
      </c>
      <c r="AB6" s="14">
        <f t="shared" si="6"/>
        <v>0.1125</v>
      </c>
      <c r="AC6" t="str">
        <f t="shared" si="7"/>
        <v>Low (1-20%)</v>
      </c>
      <c r="AD6" t="str">
        <f t="shared" si="8"/>
        <v>Low (&lt;$50)</v>
      </c>
      <c r="AE6" t="str">
        <f t="shared" si="9"/>
        <v>Small (1-2 units)</v>
      </c>
      <c r="AF6" t="str">
        <f t="shared" si="10"/>
        <v>Profitable</v>
      </c>
      <c r="AG6" t="str">
        <f t="shared" si="11"/>
        <v>Healthy Margin</v>
      </c>
      <c r="AH6" t="str">
        <f t="shared" si="12"/>
        <v>Repeat Customer</v>
      </c>
      <c r="AI6" t="str">
        <f t="shared" si="13"/>
        <v>Slow (6+ days)</v>
      </c>
    </row>
    <row r="7" spans="1:35" ht="15" customHeight="1" x14ac:dyDescent="0.3">
      <c r="A7">
        <v>6</v>
      </c>
      <c r="B7" t="s">
        <v>244</v>
      </c>
      <c r="C7" s="12">
        <v>41799</v>
      </c>
      <c r="D7" s="12">
        <v>41804</v>
      </c>
      <c r="E7" t="s">
        <v>233</v>
      </c>
      <c r="F7" t="s">
        <v>245</v>
      </c>
      <c r="G7" t="s">
        <v>246</v>
      </c>
      <c r="H7" t="s">
        <v>209</v>
      </c>
      <c r="I7" t="s">
        <v>210</v>
      </c>
      <c r="J7" t="s">
        <v>225</v>
      </c>
      <c r="K7" t="s">
        <v>226</v>
      </c>
      <c r="L7">
        <v>90032</v>
      </c>
      <c r="M7" t="s">
        <v>227</v>
      </c>
      <c r="N7" t="s">
        <v>247</v>
      </c>
      <c r="O7" t="s">
        <v>215</v>
      </c>
      <c r="P7" t="s">
        <v>248</v>
      </c>
      <c r="Q7" t="s">
        <v>249</v>
      </c>
      <c r="R7" s="13">
        <v>48.86</v>
      </c>
      <c r="S7">
        <v>7</v>
      </c>
      <c r="T7" s="14">
        <v>0</v>
      </c>
      <c r="U7" s="13">
        <v>14.1694</v>
      </c>
      <c r="V7">
        <f t="shared" si="0"/>
        <v>2014</v>
      </c>
      <c r="W7" t="str">
        <f t="shared" si="1"/>
        <v>Jun</v>
      </c>
      <c r="X7" t="str">
        <f t="shared" si="2"/>
        <v>Q2</v>
      </c>
      <c r="Y7" t="str">
        <f t="shared" si="3"/>
        <v>Mon</v>
      </c>
      <c r="Z7" s="16">
        <f t="shared" si="4"/>
        <v>5</v>
      </c>
      <c r="AA7" s="13">
        <f t="shared" si="5"/>
        <v>6.9799999999999995</v>
      </c>
      <c r="AB7" s="14">
        <f t="shared" si="6"/>
        <v>0.28999999999999998</v>
      </c>
      <c r="AC7" t="str">
        <f t="shared" si="7"/>
        <v>No Discount</v>
      </c>
      <c r="AD7" t="str">
        <f t="shared" si="8"/>
        <v>Low (&lt;$50)</v>
      </c>
      <c r="AE7" t="str">
        <f t="shared" si="9"/>
        <v>Large (6+ units)</v>
      </c>
      <c r="AF7" t="str">
        <f t="shared" si="10"/>
        <v>Profitable</v>
      </c>
      <c r="AG7" t="str">
        <f t="shared" si="11"/>
        <v>High Margin</v>
      </c>
      <c r="AH7" t="str">
        <f t="shared" si="12"/>
        <v>Repeat Customer</v>
      </c>
      <c r="AI7" t="str">
        <f t="shared" si="13"/>
        <v>Standard (3-5 days)</v>
      </c>
    </row>
    <row r="8" spans="1:35" ht="15" customHeight="1" x14ac:dyDescent="0.3">
      <c r="A8">
        <v>7</v>
      </c>
      <c r="B8" t="s">
        <v>244</v>
      </c>
      <c r="C8" s="12">
        <v>41799</v>
      </c>
      <c r="D8" s="12">
        <v>41804</v>
      </c>
      <c r="E8" t="s">
        <v>233</v>
      </c>
      <c r="F8" t="s">
        <v>245</v>
      </c>
      <c r="G8" t="s">
        <v>246</v>
      </c>
      <c r="H8" t="s">
        <v>209</v>
      </c>
      <c r="I8" t="s">
        <v>210</v>
      </c>
      <c r="J8" t="s">
        <v>225</v>
      </c>
      <c r="K8" t="s">
        <v>226</v>
      </c>
      <c r="L8">
        <v>90032</v>
      </c>
      <c r="M8" t="s">
        <v>227</v>
      </c>
      <c r="N8" t="s">
        <v>250</v>
      </c>
      <c r="O8" t="s">
        <v>229</v>
      </c>
      <c r="P8" t="s">
        <v>251</v>
      </c>
      <c r="Q8" t="s">
        <v>252</v>
      </c>
      <c r="R8" s="13">
        <v>7.28</v>
      </c>
      <c r="S8">
        <v>4</v>
      </c>
      <c r="T8" s="14">
        <v>0</v>
      </c>
      <c r="U8" s="13">
        <v>1.9656</v>
      </c>
      <c r="V8">
        <f t="shared" si="0"/>
        <v>2014</v>
      </c>
      <c r="W8" t="str">
        <f t="shared" si="1"/>
        <v>Jun</v>
      </c>
      <c r="X8" t="str">
        <f t="shared" si="2"/>
        <v>Q2</v>
      </c>
      <c r="Y8" t="str">
        <f t="shared" si="3"/>
        <v>Mon</v>
      </c>
      <c r="Z8" s="16">
        <f t="shared" si="4"/>
        <v>5</v>
      </c>
      <c r="AA8" s="13">
        <f t="shared" si="5"/>
        <v>1.82</v>
      </c>
      <c r="AB8" s="14">
        <f t="shared" si="6"/>
        <v>0.27</v>
      </c>
      <c r="AC8" t="str">
        <f t="shared" si="7"/>
        <v>No Discount</v>
      </c>
      <c r="AD8" t="str">
        <f t="shared" si="8"/>
        <v>Low (&lt;$50)</v>
      </c>
      <c r="AE8" t="str">
        <f t="shared" si="9"/>
        <v>Medium (3-5 units)</v>
      </c>
      <c r="AF8" t="str">
        <f t="shared" si="10"/>
        <v>Profitable</v>
      </c>
      <c r="AG8" t="str">
        <f t="shared" si="11"/>
        <v>High Margin</v>
      </c>
      <c r="AH8" t="str">
        <f t="shared" si="12"/>
        <v>Repeat Customer</v>
      </c>
      <c r="AI8" t="str">
        <f t="shared" si="13"/>
        <v>Standard (3-5 days)</v>
      </c>
    </row>
    <row r="9" spans="1:35" ht="15" customHeight="1" x14ac:dyDescent="0.3">
      <c r="A9">
        <v>8</v>
      </c>
      <c r="B9" t="s">
        <v>244</v>
      </c>
      <c r="C9" s="12">
        <v>41799</v>
      </c>
      <c r="D9" s="12">
        <v>41804</v>
      </c>
      <c r="E9" t="s">
        <v>233</v>
      </c>
      <c r="F9" t="s">
        <v>245</v>
      </c>
      <c r="G9" t="s">
        <v>246</v>
      </c>
      <c r="H9" t="s">
        <v>209</v>
      </c>
      <c r="I9" t="s">
        <v>210</v>
      </c>
      <c r="J9" t="s">
        <v>225</v>
      </c>
      <c r="K9" t="s">
        <v>226</v>
      </c>
      <c r="L9">
        <v>90032</v>
      </c>
      <c r="M9" t="s">
        <v>227</v>
      </c>
      <c r="N9" t="s">
        <v>253</v>
      </c>
      <c r="O9" t="s">
        <v>254</v>
      </c>
      <c r="P9" t="s">
        <v>255</v>
      </c>
      <c r="Q9" t="s">
        <v>256</v>
      </c>
      <c r="R9" s="13">
        <v>907.15200000000004</v>
      </c>
      <c r="S9">
        <v>6</v>
      </c>
      <c r="T9" s="14">
        <v>0.2</v>
      </c>
      <c r="U9" s="13">
        <v>90.715199999999996</v>
      </c>
      <c r="V9">
        <f t="shared" si="0"/>
        <v>2014</v>
      </c>
      <c r="W9" t="str">
        <f t="shared" si="1"/>
        <v>Jun</v>
      </c>
      <c r="X9" t="str">
        <f t="shared" si="2"/>
        <v>Q2</v>
      </c>
      <c r="Y9" t="str">
        <f t="shared" si="3"/>
        <v>Mon</v>
      </c>
      <c r="Z9" s="16">
        <f t="shared" si="4"/>
        <v>5</v>
      </c>
      <c r="AA9" s="13">
        <f t="shared" si="5"/>
        <v>151.19200000000001</v>
      </c>
      <c r="AB9" s="14">
        <f t="shared" si="6"/>
        <v>9.9999999999999992E-2</v>
      </c>
      <c r="AC9" t="str">
        <f t="shared" si="7"/>
        <v>Low (1-20%)</v>
      </c>
      <c r="AD9" t="str">
        <f t="shared" si="8"/>
        <v>Premium ($500+)</v>
      </c>
      <c r="AE9" t="str">
        <f t="shared" si="9"/>
        <v>Large (6+ units)</v>
      </c>
      <c r="AF9" t="str">
        <f t="shared" si="10"/>
        <v>Profitable</v>
      </c>
      <c r="AG9" t="str">
        <f t="shared" si="11"/>
        <v>Healthy Margin</v>
      </c>
      <c r="AH9" t="str">
        <f t="shared" si="12"/>
        <v>Repeat Customer</v>
      </c>
      <c r="AI9" t="str">
        <f t="shared" si="13"/>
        <v>Standard (3-5 days)</v>
      </c>
    </row>
    <row r="10" spans="1:35" ht="15" customHeight="1" x14ac:dyDescent="0.3">
      <c r="A10">
        <v>9</v>
      </c>
      <c r="B10" t="s">
        <v>244</v>
      </c>
      <c r="C10" s="12">
        <v>41799</v>
      </c>
      <c r="D10" s="12">
        <v>41804</v>
      </c>
      <c r="E10" t="s">
        <v>233</v>
      </c>
      <c r="F10" t="s">
        <v>245</v>
      </c>
      <c r="G10" t="s">
        <v>246</v>
      </c>
      <c r="H10" t="s">
        <v>209</v>
      </c>
      <c r="I10" t="s">
        <v>210</v>
      </c>
      <c r="J10" t="s">
        <v>225</v>
      </c>
      <c r="K10" t="s">
        <v>226</v>
      </c>
      <c r="L10">
        <v>90032</v>
      </c>
      <c r="M10" t="s">
        <v>227</v>
      </c>
      <c r="N10" t="s">
        <v>257</v>
      </c>
      <c r="O10" t="s">
        <v>229</v>
      </c>
      <c r="P10" t="s">
        <v>258</v>
      </c>
      <c r="Q10" t="s">
        <v>259</v>
      </c>
      <c r="R10" s="13">
        <v>18.504000000000001</v>
      </c>
      <c r="S10">
        <v>3</v>
      </c>
      <c r="T10" s="14">
        <v>0.2</v>
      </c>
      <c r="U10" s="13">
        <v>5.7824999999999998</v>
      </c>
      <c r="V10">
        <f t="shared" si="0"/>
        <v>2014</v>
      </c>
      <c r="W10" t="str">
        <f t="shared" si="1"/>
        <v>Jun</v>
      </c>
      <c r="X10" t="str">
        <f t="shared" si="2"/>
        <v>Q2</v>
      </c>
      <c r="Y10" t="str">
        <f t="shared" si="3"/>
        <v>Mon</v>
      </c>
      <c r="Z10" s="16">
        <f t="shared" si="4"/>
        <v>5</v>
      </c>
      <c r="AA10" s="13">
        <f t="shared" si="5"/>
        <v>6.1680000000000001</v>
      </c>
      <c r="AB10" s="14">
        <f t="shared" si="6"/>
        <v>0.31249999999999994</v>
      </c>
      <c r="AC10" t="str">
        <f t="shared" si="7"/>
        <v>Low (1-20%)</v>
      </c>
      <c r="AD10" t="str">
        <f t="shared" si="8"/>
        <v>Low (&lt;$50)</v>
      </c>
      <c r="AE10" t="str">
        <f t="shared" si="9"/>
        <v>Medium (3-5 units)</v>
      </c>
      <c r="AF10" t="str">
        <f t="shared" si="10"/>
        <v>Profitable</v>
      </c>
      <c r="AG10" t="str">
        <f t="shared" si="11"/>
        <v>High Margin</v>
      </c>
      <c r="AH10" t="str">
        <f t="shared" si="12"/>
        <v>Repeat Customer</v>
      </c>
      <c r="AI10" t="str">
        <f t="shared" si="13"/>
        <v>Standard (3-5 days)</v>
      </c>
    </row>
    <row r="11" spans="1:35" ht="15" customHeight="1" x14ac:dyDescent="0.3">
      <c r="A11">
        <v>10</v>
      </c>
      <c r="B11" t="s">
        <v>244</v>
      </c>
      <c r="C11" s="12">
        <v>41799</v>
      </c>
      <c r="D11" s="12">
        <v>41804</v>
      </c>
      <c r="E11" t="s">
        <v>233</v>
      </c>
      <c r="F11" t="s">
        <v>245</v>
      </c>
      <c r="G11" t="s">
        <v>246</v>
      </c>
      <c r="H11" t="s">
        <v>209</v>
      </c>
      <c r="I11" t="s">
        <v>210</v>
      </c>
      <c r="J11" t="s">
        <v>225</v>
      </c>
      <c r="K11" t="s">
        <v>226</v>
      </c>
      <c r="L11">
        <v>90032</v>
      </c>
      <c r="M11" t="s">
        <v>227</v>
      </c>
      <c r="N11" t="s">
        <v>260</v>
      </c>
      <c r="O11" t="s">
        <v>229</v>
      </c>
      <c r="P11" t="s">
        <v>261</v>
      </c>
      <c r="Q11" t="s">
        <v>262</v>
      </c>
      <c r="R11" s="13">
        <v>114.9</v>
      </c>
      <c r="S11">
        <v>5</v>
      </c>
      <c r="T11" s="14">
        <v>0</v>
      </c>
      <c r="U11" s="13">
        <v>34.47</v>
      </c>
      <c r="V11">
        <f t="shared" si="0"/>
        <v>2014</v>
      </c>
      <c r="W11" t="str">
        <f t="shared" si="1"/>
        <v>Jun</v>
      </c>
      <c r="X11" t="str">
        <f t="shared" si="2"/>
        <v>Q2</v>
      </c>
      <c r="Y11" t="str">
        <f t="shared" si="3"/>
        <v>Mon</v>
      </c>
      <c r="Z11" s="16">
        <f t="shared" si="4"/>
        <v>5</v>
      </c>
      <c r="AA11" s="13">
        <f t="shared" si="5"/>
        <v>22.98</v>
      </c>
      <c r="AB11" s="14">
        <f t="shared" si="6"/>
        <v>0.3</v>
      </c>
      <c r="AC11" t="str">
        <f t="shared" si="7"/>
        <v>No Discount</v>
      </c>
      <c r="AD11" t="str">
        <f t="shared" si="8"/>
        <v>Medium ($50-$200)</v>
      </c>
      <c r="AE11" t="str">
        <f t="shared" si="9"/>
        <v>Medium (3-5 units)</v>
      </c>
      <c r="AF11" t="str">
        <f t="shared" si="10"/>
        <v>Profitable</v>
      </c>
      <c r="AG11" t="str">
        <f t="shared" si="11"/>
        <v>High Margin</v>
      </c>
      <c r="AH11" t="str">
        <f t="shared" si="12"/>
        <v>Repeat Customer</v>
      </c>
      <c r="AI11" t="str">
        <f t="shared" si="13"/>
        <v>Standard (3-5 days)</v>
      </c>
    </row>
    <row r="12" spans="1:35" ht="15" customHeight="1" x14ac:dyDescent="0.3">
      <c r="A12">
        <v>11</v>
      </c>
      <c r="B12" t="s">
        <v>244</v>
      </c>
      <c r="C12" s="12">
        <v>41799</v>
      </c>
      <c r="D12" s="12">
        <v>41804</v>
      </c>
      <c r="E12" t="s">
        <v>233</v>
      </c>
      <c r="F12" t="s">
        <v>245</v>
      </c>
      <c r="G12" t="s">
        <v>246</v>
      </c>
      <c r="H12" t="s">
        <v>209</v>
      </c>
      <c r="I12" t="s">
        <v>210</v>
      </c>
      <c r="J12" t="s">
        <v>225</v>
      </c>
      <c r="K12" t="s">
        <v>226</v>
      </c>
      <c r="L12">
        <v>90032</v>
      </c>
      <c r="M12" t="s">
        <v>227</v>
      </c>
      <c r="N12" t="s">
        <v>263</v>
      </c>
      <c r="O12" t="s">
        <v>215</v>
      </c>
      <c r="P12" t="s">
        <v>239</v>
      </c>
      <c r="Q12" t="s">
        <v>264</v>
      </c>
      <c r="R12" s="13">
        <v>1706.184</v>
      </c>
      <c r="S12">
        <v>9</v>
      </c>
      <c r="T12" s="14">
        <v>0.2</v>
      </c>
      <c r="U12" s="13">
        <v>85.309199999999805</v>
      </c>
      <c r="V12">
        <f t="shared" si="0"/>
        <v>2014</v>
      </c>
      <c r="W12" t="str">
        <f t="shared" si="1"/>
        <v>Jun</v>
      </c>
      <c r="X12" t="str">
        <f t="shared" si="2"/>
        <v>Q2</v>
      </c>
      <c r="Y12" t="str">
        <f t="shared" si="3"/>
        <v>Mon</v>
      </c>
      <c r="Z12" s="16">
        <f t="shared" si="4"/>
        <v>5</v>
      </c>
      <c r="AA12" s="13">
        <f t="shared" si="5"/>
        <v>189.57599999999999</v>
      </c>
      <c r="AB12" s="14">
        <f t="shared" si="6"/>
        <v>4.9999999999999885E-2</v>
      </c>
      <c r="AC12" t="str">
        <f t="shared" si="7"/>
        <v>Low (1-20%)</v>
      </c>
      <c r="AD12" t="str">
        <f t="shared" si="8"/>
        <v>Premium ($500+)</v>
      </c>
      <c r="AE12" t="str">
        <f t="shared" si="9"/>
        <v>Large (6+ units)</v>
      </c>
      <c r="AF12" t="str">
        <f t="shared" si="10"/>
        <v>Profitable</v>
      </c>
      <c r="AG12" t="str">
        <f t="shared" si="11"/>
        <v>Low Margin</v>
      </c>
      <c r="AH12" t="str">
        <f t="shared" si="12"/>
        <v>Repeat Customer</v>
      </c>
      <c r="AI12" t="str">
        <f t="shared" si="13"/>
        <v>Standard (3-5 days)</v>
      </c>
    </row>
    <row r="13" spans="1:35" ht="15" customHeight="1" x14ac:dyDescent="0.3">
      <c r="A13">
        <v>12</v>
      </c>
      <c r="B13" t="s">
        <v>244</v>
      </c>
      <c r="C13" s="12">
        <v>41799</v>
      </c>
      <c r="D13" s="12">
        <v>41804</v>
      </c>
      <c r="E13" t="s">
        <v>233</v>
      </c>
      <c r="F13" t="s">
        <v>245</v>
      </c>
      <c r="G13" t="s">
        <v>246</v>
      </c>
      <c r="H13" t="s">
        <v>209</v>
      </c>
      <c r="I13" t="s">
        <v>210</v>
      </c>
      <c r="J13" t="s">
        <v>225</v>
      </c>
      <c r="K13" t="s">
        <v>226</v>
      </c>
      <c r="L13">
        <v>90032</v>
      </c>
      <c r="M13" t="s">
        <v>227</v>
      </c>
      <c r="N13" t="s">
        <v>265</v>
      </c>
      <c r="O13" t="s">
        <v>254</v>
      </c>
      <c r="P13" t="s">
        <v>255</v>
      </c>
      <c r="Q13" t="s">
        <v>266</v>
      </c>
      <c r="R13" s="13">
        <v>911.42399999999998</v>
      </c>
      <c r="S13">
        <v>4</v>
      </c>
      <c r="T13" s="14">
        <v>0.2</v>
      </c>
      <c r="U13" s="13">
        <v>68.356800000000007</v>
      </c>
      <c r="V13">
        <f t="shared" si="0"/>
        <v>2014</v>
      </c>
      <c r="W13" t="str">
        <f t="shared" si="1"/>
        <v>Jun</v>
      </c>
      <c r="X13" t="str">
        <f t="shared" si="2"/>
        <v>Q2</v>
      </c>
      <c r="Y13" t="str">
        <f t="shared" si="3"/>
        <v>Mon</v>
      </c>
      <c r="Z13" s="16">
        <f t="shared" si="4"/>
        <v>5</v>
      </c>
      <c r="AA13" s="13">
        <f t="shared" si="5"/>
        <v>227.85599999999999</v>
      </c>
      <c r="AB13" s="14">
        <f t="shared" si="6"/>
        <v>7.5000000000000011E-2</v>
      </c>
      <c r="AC13" t="str">
        <f t="shared" si="7"/>
        <v>Low (1-20%)</v>
      </c>
      <c r="AD13" t="str">
        <f t="shared" si="8"/>
        <v>Premium ($500+)</v>
      </c>
      <c r="AE13" t="str">
        <f t="shared" si="9"/>
        <v>Medium (3-5 units)</v>
      </c>
      <c r="AF13" t="str">
        <f t="shared" si="10"/>
        <v>Profitable</v>
      </c>
      <c r="AG13" t="str">
        <f t="shared" si="11"/>
        <v>Low Margin</v>
      </c>
      <c r="AH13" t="str">
        <f t="shared" si="12"/>
        <v>Repeat Customer</v>
      </c>
      <c r="AI13" t="str">
        <f t="shared" si="13"/>
        <v>Standard (3-5 days)</v>
      </c>
    </row>
    <row r="14" spans="1:35" ht="15" customHeight="1" x14ac:dyDescent="0.3">
      <c r="A14">
        <v>13</v>
      </c>
      <c r="B14" t="s">
        <v>267</v>
      </c>
      <c r="C14" s="12">
        <v>42840</v>
      </c>
      <c r="D14" s="12">
        <v>42845</v>
      </c>
      <c r="E14" t="s">
        <v>233</v>
      </c>
      <c r="F14" t="s">
        <v>268</v>
      </c>
      <c r="G14" t="s">
        <v>269</v>
      </c>
      <c r="H14" t="s">
        <v>209</v>
      </c>
      <c r="I14" t="s">
        <v>210</v>
      </c>
      <c r="J14" t="s">
        <v>270</v>
      </c>
      <c r="K14" t="s">
        <v>271</v>
      </c>
      <c r="L14">
        <v>28027</v>
      </c>
      <c r="M14" t="s">
        <v>213</v>
      </c>
      <c r="N14" t="s">
        <v>272</v>
      </c>
      <c r="O14" t="s">
        <v>229</v>
      </c>
      <c r="P14" t="s">
        <v>273</v>
      </c>
      <c r="Q14" t="s">
        <v>274</v>
      </c>
      <c r="R14" s="13">
        <v>15.552</v>
      </c>
      <c r="S14">
        <v>3</v>
      </c>
      <c r="T14" s="14">
        <v>0.2</v>
      </c>
      <c r="U14" s="13">
        <v>5.4432</v>
      </c>
      <c r="V14">
        <f t="shared" si="0"/>
        <v>2017</v>
      </c>
      <c r="W14" t="str">
        <f t="shared" si="1"/>
        <v>Apr</v>
      </c>
      <c r="X14" t="str">
        <f t="shared" si="2"/>
        <v>Q2</v>
      </c>
      <c r="Y14" t="str">
        <f t="shared" si="3"/>
        <v>Sat</v>
      </c>
      <c r="Z14" s="16">
        <f t="shared" si="4"/>
        <v>5</v>
      </c>
      <c r="AA14" s="13">
        <f t="shared" si="5"/>
        <v>5.1840000000000002</v>
      </c>
      <c r="AB14" s="14">
        <f t="shared" si="6"/>
        <v>0.35000000000000003</v>
      </c>
      <c r="AC14" t="str">
        <f t="shared" si="7"/>
        <v>Low (1-20%)</v>
      </c>
      <c r="AD14" t="str">
        <f t="shared" si="8"/>
        <v>Low (&lt;$50)</v>
      </c>
      <c r="AE14" t="str">
        <f t="shared" si="9"/>
        <v>Medium (3-5 units)</v>
      </c>
      <c r="AF14" t="str">
        <f t="shared" si="10"/>
        <v>Profitable</v>
      </c>
      <c r="AG14" t="str">
        <f t="shared" si="11"/>
        <v>High Margin</v>
      </c>
      <c r="AH14" t="str">
        <f t="shared" si="12"/>
        <v>Single Purchase</v>
      </c>
      <c r="AI14" t="str">
        <f t="shared" si="13"/>
        <v>Standard (3-5 days)</v>
      </c>
    </row>
    <row r="15" spans="1:35" ht="15" customHeight="1" x14ac:dyDescent="0.3">
      <c r="A15">
        <v>14</v>
      </c>
      <c r="B15" t="s">
        <v>275</v>
      </c>
      <c r="C15" s="12">
        <v>42709</v>
      </c>
      <c r="D15" s="12">
        <v>42714</v>
      </c>
      <c r="E15" t="s">
        <v>233</v>
      </c>
      <c r="F15" t="s">
        <v>276</v>
      </c>
      <c r="G15" t="s">
        <v>277</v>
      </c>
      <c r="H15" t="s">
        <v>209</v>
      </c>
      <c r="I15" t="s">
        <v>210</v>
      </c>
      <c r="J15" t="s">
        <v>278</v>
      </c>
      <c r="K15" t="s">
        <v>279</v>
      </c>
      <c r="L15">
        <v>98103</v>
      </c>
      <c r="M15" t="s">
        <v>227</v>
      </c>
      <c r="N15" t="s">
        <v>280</v>
      </c>
      <c r="O15" t="s">
        <v>229</v>
      </c>
      <c r="P15" t="s">
        <v>258</v>
      </c>
      <c r="Q15" t="s">
        <v>281</v>
      </c>
      <c r="R15" s="13">
        <v>407.976</v>
      </c>
      <c r="S15">
        <v>3</v>
      </c>
      <c r="T15" s="14">
        <v>0.2</v>
      </c>
      <c r="U15" s="13">
        <v>132.59219999999999</v>
      </c>
      <c r="V15">
        <f t="shared" si="0"/>
        <v>2016</v>
      </c>
      <c r="W15" t="str">
        <f t="shared" si="1"/>
        <v>Dec</v>
      </c>
      <c r="X15" t="str">
        <f t="shared" si="2"/>
        <v>Q4</v>
      </c>
      <c r="Y15" t="str">
        <f t="shared" si="3"/>
        <v>Mon</v>
      </c>
      <c r="Z15" s="16">
        <f t="shared" si="4"/>
        <v>5</v>
      </c>
      <c r="AA15" s="13">
        <f t="shared" si="5"/>
        <v>135.99199999999999</v>
      </c>
      <c r="AB15" s="14">
        <f t="shared" si="6"/>
        <v>0.32499999999999996</v>
      </c>
      <c r="AC15" t="str">
        <f t="shared" si="7"/>
        <v>Low (1-20%)</v>
      </c>
      <c r="AD15" t="str">
        <f t="shared" si="8"/>
        <v>High ($200-$500)</v>
      </c>
      <c r="AE15" t="str">
        <f t="shared" si="9"/>
        <v>Medium (3-5 units)</v>
      </c>
      <c r="AF15" t="str">
        <f t="shared" si="10"/>
        <v>Profitable</v>
      </c>
      <c r="AG15" t="str">
        <f t="shared" si="11"/>
        <v>High Margin</v>
      </c>
      <c r="AH15" t="str">
        <f t="shared" si="12"/>
        <v>Single Purchase</v>
      </c>
      <c r="AI15" t="str">
        <f t="shared" si="13"/>
        <v>Standard (3-5 days)</v>
      </c>
    </row>
    <row r="16" spans="1:35" ht="15" customHeight="1" x14ac:dyDescent="0.3">
      <c r="A16">
        <v>15</v>
      </c>
      <c r="B16" t="s">
        <v>282</v>
      </c>
      <c r="C16" s="12">
        <v>42330</v>
      </c>
      <c r="D16" s="12">
        <v>42334</v>
      </c>
      <c r="E16" t="s">
        <v>233</v>
      </c>
      <c r="F16" t="s">
        <v>283</v>
      </c>
      <c r="G16" t="s">
        <v>284</v>
      </c>
      <c r="H16" t="s">
        <v>285</v>
      </c>
      <c r="I16" t="s">
        <v>210</v>
      </c>
      <c r="J16" t="s">
        <v>286</v>
      </c>
      <c r="K16" t="s">
        <v>287</v>
      </c>
      <c r="L16">
        <v>76106</v>
      </c>
      <c r="M16" t="s">
        <v>288</v>
      </c>
      <c r="N16" t="s">
        <v>289</v>
      </c>
      <c r="O16" t="s">
        <v>229</v>
      </c>
      <c r="P16" t="s">
        <v>261</v>
      </c>
      <c r="Q16" t="s">
        <v>290</v>
      </c>
      <c r="R16" s="13">
        <v>68.81</v>
      </c>
      <c r="S16">
        <v>5</v>
      </c>
      <c r="T16" s="14">
        <v>0.8</v>
      </c>
      <c r="U16" s="13">
        <v>-123.858</v>
      </c>
      <c r="V16">
        <f t="shared" si="0"/>
        <v>2015</v>
      </c>
      <c r="W16" t="str">
        <f t="shared" si="1"/>
        <v>Nov</v>
      </c>
      <c r="X16" t="str">
        <f t="shared" si="2"/>
        <v>Q4</v>
      </c>
      <c r="Y16" t="str">
        <f t="shared" si="3"/>
        <v>Sun</v>
      </c>
      <c r="Z16" s="16">
        <f t="shared" si="4"/>
        <v>4</v>
      </c>
      <c r="AA16" s="13">
        <f t="shared" si="5"/>
        <v>13.762</v>
      </c>
      <c r="AB16" s="14">
        <f t="shared" si="6"/>
        <v>-1.8</v>
      </c>
      <c r="AC16" t="str">
        <f t="shared" si="7"/>
        <v>High (40%+)</v>
      </c>
      <c r="AD16" t="str">
        <f t="shared" si="8"/>
        <v>Medium ($50-$200)</v>
      </c>
      <c r="AE16" t="str">
        <f t="shared" si="9"/>
        <v>Medium (3-5 units)</v>
      </c>
      <c r="AF16" t="str">
        <f t="shared" si="10"/>
        <v>Loss-Making</v>
      </c>
      <c r="AG16" t="str">
        <f t="shared" si="11"/>
        <v>Underperforming</v>
      </c>
      <c r="AH16" t="str">
        <f t="shared" si="12"/>
        <v>Repeat Customer</v>
      </c>
      <c r="AI16" t="str">
        <f t="shared" si="13"/>
        <v>Standard (3-5 days)</v>
      </c>
    </row>
    <row r="17" spans="1:35" ht="15" customHeight="1" x14ac:dyDescent="0.3">
      <c r="A17">
        <v>16</v>
      </c>
      <c r="B17" t="s">
        <v>282</v>
      </c>
      <c r="C17" s="12">
        <v>42330</v>
      </c>
      <c r="D17" s="12">
        <v>42334</v>
      </c>
      <c r="E17" t="s">
        <v>233</v>
      </c>
      <c r="F17" t="s">
        <v>283</v>
      </c>
      <c r="G17" t="s">
        <v>284</v>
      </c>
      <c r="H17" t="s">
        <v>285</v>
      </c>
      <c r="I17" t="s">
        <v>210</v>
      </c>
      <c r="J17" t="s">
        <v>286</v>
      </c>
      <c r="K17" t="s">
        <v>287</v>
      </c>
      <c r="L17">
        <v>76106</v>
      </c>
      <c r="M17" t="s">
        <v>288</v>
      </c>
      <c r="N17" t="s">
        <v>291</v>
      </c>
      <c r="O17" t="s">
        <v>229</v>
      </c>
      <c r="P17" t="s">
        <v>258</v>
      </c>
      <c r="Q17" t="s">
        <v>292</v>
      </c>
      <c r="R17" s="13">
        <v>2.544</v>
      </c>
      <c r="S17">
        <v>3</v>
      </c>
      <c r="T17" s="14">
        <v>0.8</v>
      </c>
      <c r="U17" s="13">
        <v>-3.8159999999999998</v>
      </c>
      <c r="V17">
        <f t="shared" si="0"/>
        <v>2015</v>
      </c>
      <c r="W17" t="str">
        <f t="shared" si="1"/>
        <v>Nov</v>
      </c>
      <c r="X17" t="str">
        <f t="shared" si="2"/>
        <v>Q4</v>
      </c>
      <c r="Y17" t="str">
        <f t="shared" si="3"/>
        <v>Sun</v>
      </c>
      <c r="Z17" s="16">
        <f t="shared" si="4"/>
        <v>4</v>
      </c>
      <c r="AA17" s="13">
        <f t="shared" si="5"/>
        <v>0.84799999999999998</v>
      </c>
      <c r="AB17" s="14">
        <f t="shared" si="6"/>
        <v>-1.5</v>
      </c>
      <c r="AC17" t="str">
        <f t="shared" si="7"/>
        <v>High (40%+)</v>
      </c>
      <c r="AD17" t="str">
        <f t="shared" si="8"/>
        <v>Low (&lt;$50)</v>
      </c>
      <c r="AE17" t="str">
        <f t="shared" si="9"/>
        <v>Medium (3-5 units)</v>
      </c>
      <c r="AF17" t="str">
        <f t="shared" si="10"/>
        <v>Loss-Making</v>
      </c>
      <c r="AG17" t="str">
        <f t="shared" si="11"/>
        <v>Underperforming</v>
      </c>
      <c r="AH17" t="str">
        <f t="shared" si="12"/>
        <v>Repeat Customer</v>
      </c>
      <c r="AI17" t="str">
        <f t="shared" si="13"/>
        <v>Standard (3-5 days)</v>
      </c>
    </row>
    <row r="18" spans="1:35" ht="15" customHeight="1" x14ac:dyDescent="0.3">
      <c r="A18">
        <v>17</v>
      </c>
      <c r="B18" t="s">
        <v>293</v>
      </c>
      <c r="C18" s="12">
        <v>41954</v>
      </c>
      <c r="D18" s="12">
        <v>41961</v>
      </c>
      <c r="E18" t="s">
        <v>233</v>
      </c>
      <c r="F18" t="s">
        <v>294</v>
      </c>
      <c r="G18" t="s">
        <v>295</v>
      </c>
      <c r="H18" t="s">
        <v>209</v>
      </c>
      <c r="I18" t="s">
        <v>210</v>
      </c>
      <c r="J18" t="s">
        <v>296</v>
      </c>
      <c r="K18" t="s">
        <v>297</v>
      </c>
      <c r="L18">
        <v>53711</v>
      </c>
      <c r="M18" t="s">
        <v>288</v>
      </c>
      <c r="N18" t="s">
        <v>298</v>
      </c>
      <c r="O18" t="s">
        <v>229</v>
      </c>
      <c r="P18" t="s">
        <v>242</v>
      </c>
      <c r="Q18" t="s">
        <v>299</v>
      </c>
      <c r="R18" s="13">
        <v>665.88</v>
      </c>
      <c r="S18">
        <v>6</v>
      </c>
      <c r="T18" s="14">
        <v>0</v>
      </c>
      <c r="U18" s="13">
        <v>13.317600000000001</v>
      </c>
      <c r="V18">
        <f t="shared" si="0"/>
        <v>2014</v>
      </c>
      <c r="W18" t="str">
        <f t="shared" si="1"/>
        <v>Nov</v>
      </c>
      <c r="X18" t="str">
        <f t="shared" si="2"/>
        <v>Q4</v>
      </c>
      <c r="Y18" t="str">
        <f t="shared" si="3"/>
        <v>Tue</v>
      </c>
      <c r="Z18" s="16">
        <f t="shared" si="4"/>
        <v>7</v>
      </c>
      <c r="AA18" s="13">
        <f t="shared" si="5"/>
        <v>110.98</v>
      </c>
      <c r="AB18" s="14">
        <f t="shared" si="6"/>
        <v>0.02</v>
      </c>
      <c r="AC18" t="str">
        <f t="shared" si="7"/>
        <v>No Discount</v>
      </c>
      <c r="AD18" t="str">
        <f t="shared" si="8"/>
        <v>Premium ($500+)</v>
      </c>
      <c r="AE18" t="str">
        <f t="shared" si="9"/>
        <v>Large (6+ units)</v>
      </c>
      <c r="AF18" t="str">
        <f t="shared" si="10"/>
        <v>Profitable</v>
      </c>
      <c r="AG18" t="str">
        <f t="shared" si="11"/>
        <v>Low Margin</v>
      </c>
      <c r="AH18" t="str">
        <f t="shared" si="12"/>
        <v>Repeat Customer</v>
      </c>
      <c r="AI18" t="str">
        <f t="shared" si="13"/>
        <v>Slow (6+ days)</v>
      </c>
    </row>
    <row r="19" spans="1:35" ht="15" customHeight="1" x14ac:dyDescent="0.3">
      <c r="A19">
        <v>18</v>
      </c>
      <c r="B19" t="s">
        <v>300</v>
      </c>
      <c r="C19" s="12">
        <v>41772</v>
      </c>
      <c r="D19" s="12">
        <v>41774</v>
      </c>
      <c r="E19" t="s">
        <v>206</v>
      </c>
      <c r="F19" t="s">
        <v>301</v>
      </c>
      <c r="G19" t="s">
        <v>302</v>
      </c>
      <c r="H19" t="s">
        <v>209</v>
      </c>
      <c r="I19" t="s">
        <v>210</v>
      </c>
      <c r="J19" t="s">
        <v>303</v>
      </c>
      <c r="K19" t="s">
        <v>304</v>
      </c>
      <c r="L19">
        <v>84084</v>
      </c>
      <c r="M19" t="s">
        <v>227</v>
      </c>
      <c r="N19" t="s">
        <v>305</v>
      </c>
      <c r="O19" t="s">
        <v>229</v>
      </c>
      <c r="P19" t="s">
        <v>242</v>
      </c>
      <c r="Q19" t="s">
        <v>306</v>
      </c>
      <c r="R19" s="13">
        <v>55.5</v>
      </c>
      <c r="S19">
        <v>2</v>
      </c>
      <c r="T19" s="14">
        <v>0</v>
      </c>
      <c r="U19" s="13">
        <v>9.99</v>
      </c>
      <c r="V19">
        <f t="shared" si="0"/>
        <v>2014</v>
      </c>
      <c r="W19" t="str">
        <f t="shared" si="1"/>
        <v>May</v>
      </c>
      <c r="X19" t="str">
        <f t="shared" si="2"/>
        <v>Q2</v>
      </c>
      <c r="Y19" t="str">
        <f t="shared" si="3"/>
        <v>Tue</v>
      </c>
      <c r="Z19" s="16">
        <f t="shared" si="4"/>
        <v>2</v>
      </c>
      <c r="AA19" s="13">
        <f t="shared" si="5"/>
        <v>27.75</v>
      </c>
      <c r="AB19" s="14">
        <f t="shared" si="6"/>
        <v>0.18</v>
      </c>
      <c r="AC19" t="str">
        <f t="shared" si="7"/>
        <v>No Discount</v>
      </c>
      <c r="AD19" t="str">
        <f t="shared" si="8"/>
        <v>Medium ($50-$200)</v>
      </c>
      <c r="AE19" t="str">
        <f t="shared" si="9"/>
        <v>Small (1-2 units)</v>
      </c>
      <c r="AF19" t="str">
        <f t="shared" si="10"/>
        <v>Profitable</v>
      </c>
      <c r="AG19" t="str">
        <f t="shared" si="11"/>
        <v>Healthy Margin</v>
      </c>
      <c r="AH19" t="str">
        <f t="shared" si="12"/>
        <v>Single Purchase</v>
      </c>
      <c r="AI19" t="str">
        <f t="shared" si="13"/>
        <v>Fast (&lt;=2 days)</v>
      </c>
    </row>
    <row r="20" spans="1:35" ht="15" customHeight="1" x14ac:dyDescent="0.3">
      <c r="A20">
        <v>19</v>
      </c>
      <c r="B20" t="s">
        <v>307</v>
      </c>
      <c r="C20" s="12">
        <v>41878</v>
      </c>
      <c r="D20" s="12">
        <v>41883</v>
      </c>
      <c r="E20" t="s">
        <v>206</v>
      </c>
      <c r="F20" t="s">
        <v>308</v>
      </c>
      <c r="G20" t="s">
        <v>309</v>
      </c>
      <c r="H20" t="s">
        <v>209</v>
      </c>
      <c r="I20" t="s">
        <v>210</v>
      </c>
      <c r="J20" t="s">
        <v>310</v>
      </c>
      <c r="K20" t="s">
        <v>226</v>
      </c>
      <c r="L20">
        <v>94109</v>
      </c>
      <c r="M20" t="s">
        <v>227</v>
      </c>
      <c r="N20" t="s">
        <v>311</v>
      </c>
      <c r="O20" t="s">
        <v>229</v>
      </c>
      <c r="P20" t="s">
        <v>251</v>
      </c>
      <c r="Q20" t="s">
        <v>312</v>
      </c>
      <c r="R20" s="13">
        <v>8.56</v>
      </c>
      <c r="S20">
        <v>2</v>
      </c>
      <c r="T20" s="14">
        <v>0</v>
      </c>
      <c r="U20" s="13">
        <v>2.4824000000000002</v>
      </c>
      <c r="V20">
        <f t="shared" si="0"/>
        <v>2014</v>
      </c>
      <c r="W20" t="str">
        <f t="shared" si="1"/>
        <v>Aug</v>
      </c>
      <c r="X20" t="str">
        <f t="shared" si="2"/>
        <v>Q3</v>
      </c>
      <c r="Y20" t="str">
        <f t="shared" si="3"/>
        <v>Wed</v>
      </c>
      <c r="Z20" s="16">
        <f t="shared" si="4"/>
        <v>5</v>
      </c>
      <c r="AA20" s="13">
        <f t="shared" si="5"/>
        <v>4.28</v>
      </c>
      <c r="AB20" s="14">
        <f t="shared" si="6"/>
        <v>0.28999999999999998</v>
      </c>
      <c r="AC20" t="str">
        <f t="shared" si="7"/>
        <v>No Discount</v>
      </c>
      <c r="AD20" t="str">
        <f t="shared" si="8"/>
        <v>Low (&lt;$50)</v>
      </c>
      <c r="AE20" t="str">
        <f t="shared" si="9"/>
        <v>Small (1-2 units)</v>
      </c>
      <c r="AF20" t="str">
        <f t="shared" si="10"/>
        <v>Profitable</v>
      </c>
      <c r="AG20" t="str">
        <f t="shared" si="11"/>
        <v>High Margin</v>
      </c>
      <c r="AH20" t="str">
        <f t="shared" si="12"/>
        <v>Repeat Customer</v>
      </c>
      <c r="AI20" t="str">
        <f t="shared" si="13"/>
        <v>Standard (3-5 days)</v>
      </c>
    </row>
    <row r="21" spans="1:35" ht="15" customHeight="1" x14ac:dyDescent="0.3">
      <c r="A21">
        <v>20</v>
      </c>
      <c r="B21" t="s">
        <v>307</v>
      </c>
      <c r="C21" s="12">
        <v>41878</v>
      </c>
      <c r="D21" s="12">
        <v>41883</v>
      </c>
      <c r="E21" t="s">
        <v>206</v>
      </c>
      <c r="F21" t="s">
        <v>308</v>
      </c>
      <c r="G21" t="s">
        <v>309</v>
      </c>
      <c r="H21" t="s">
        <v>209</v>
      </c>
      <c r="I21" t="s">
        <v>210</v>
      </c>
      <c r="J21" t="s">
        <v>310</v>
      </c>
      <c r="K21" t="s">
        <v>226</v>
      </c>
      <c r="L21">
        <v>94109</v>
      </c>
      <c r="M21" t="s">
        <v>227</v>
      </c>
      <c r="N21" t="s">
        <v>313</v>
      </c>
      <c r="O21" t="s">
        <v>254</v>
      </c>
      <c r="P21" t="s">
        <v>255</v>
      </c>
      <c r="Q21" t="s">
        <v>314</v>
      </c>
      <c r="R21" s="13">
        <v>213.48</v>
      </c>
      <c r="S21">
        <v>3</v>
      </c>
      <c r="T21" s="14">
        <v>0.2</v>
      </c>
      <c r="U21" s="13">
        <v>16.010999999999999</v>
      </c>
      <c r="V21">
        <f t="shared" si="0"/>
        <v>2014</v>
      </c>
      <c r="W21" t="str">
        <f t="shared" si="1"/>
        <v>Aug</v>
      </c>
      <c r="X21" t="str">
        <f t="shared" si="2"/>
        <v>Q3</v>
      </c>
      <c r="Y21" t="str">
        <f t="shared" si="3"/>
        <v>Wed</v>
      </c>
      <c r="Z21" s="16">
        <f t="shared" si="4"/>
        <v>5</v>
      </c>
      <c r="AA21" s="13">
        <f t="shared" si="5"/>
        <v>71.16</v>
      </c>
      <c r="AB21" s="14">
        <f t="shared" si="6"/>
        <v>7.4999999999999997E-2</v>
      </c>
      <c r="AC21" t="str">
        <f t="shared" si="7"/>
        <v>Low (1-20%)</v>
      </c>
      <c r="AD21" t="str">
        <f t="shared" si="8"/>
        <v>High ($200-$500)</v>
      </c>
      <c r="AE21" t="str">
        <f t="shared" si="9"/>
        <v>Medium (3-5 units)</v>
      </c>
      <c r="AF21" t="str">
        <f t="shared" si="10"/>
        <v>Profitable</v>
      </c>
      <c r="AG21" t="str">
        <f t="shared" si="11"/>
        <v>Low Margin</v>
      </c>
      <c r="AH21" t="str">
        <f t="shared" si="12"/>
        <v>Repeat Customer</v>
      </c>
      <c r="AI21" t="str">
        <f t="shared" si="13"/>
        <v>Standard (3-5 days)</v>
      </c>
    </row>
    <row r="22" spans="1:35" ht="15" customHeight="1" x14ac:dyDescent="0.3">
      <c r="A22">
        <v>21</v>
      </c>
      <c r="B22" t="s">
        <v>307</v>
      </c>
      <c r="C22" s="12">
        <v>41878</v>
      </c>
      <c r="D22" s="12">
        <v>41883</v>
      </c>
      <c r="E22" t="s">
        <v>206</v>
      </c>
      <c r="F22" t="s">
        <v>308</v>
      </c>
      <c r="G22" t="s">
        <v>309</v>
      </c>
      <c r="H22" t="s">
        <v>209</v>
      </c>
      <c r="I22" t="s">
        <v>210</v>
      </c>
      <c r="J22" t="s">
        <v>310</v>
      </c>
      <c r="K22" t="s">
        <v>226</v>
      </c>
      <c r="L22">
        <v>94109</v>
      </c>
      <c r="M22" t="s">
        <v>227</v>
      </c>
      <c r="N22" t="s">
        <v>315</v>
      </c>
      <c r="O22" t="s">
        <v>229</v>
      </c>
      <c r="P22" t="s">
        <v>258</v>
      </c>
      <c r="Q22" t="s">
        <v>316</v>
      </c>
      <c r="R22" s="13">
        <v>22.72</v>
      </c>
      <c r="S22">
        <v>4</v>
      </c>
      <c r="T22" s="14">
        <v>0.2</v>
      </c>
      <c r="U22" s="13">
        <v>7.3840000000000003</v>
      </c>
      <c r="V22">
        <f t="shared" si="0"/>
        <v>2014</v>
      </c>
      <c r="W22" t="str">
        <f t="shared" si="1"/>
        <v>Aug</v>
      </c>
      <c r="X22" t="str">
        <f t="shared" si="2"/>
        <v>Q3</v>
      </c>
      <c r="Y22" t="str">
        <f t="shared" si="3"/>
        <v>Wed</v>
      </c>
      <c r="Z22" s="16">
        <f t="shared" si="4"/>
        <v>5</v>
      </c>
      <c r="AA22" s="13">
        <f t="shared" si="5"/>
        <v>5.68</v>
      </c>
      <c r="AB22" s="14">
        <f t="shared" si="6"/>
        <v>0.32500000000000001</v>
      </c>
      <c r="AC22" t="str">
        <f t="shared" si="7"/>
        <v>Low (1-20%)</v>
      </c>
      <c r="AD22" t="str">
        <f t="shared" si="8"/>
        <v>Low (&lt;$50)</v>
      </c>
      <c r="AE22" t="str">
        <f t="shared" si="9"/>
        <v>Medium (3-5 units)</v>
      </c>
      <c r="AF22" t="str">
        <f t="shared" si="10"/>
        <v>Profitable</v>
      </c>
      <c r="AG22" t="str">
        <f t="shared" si="11"/>
        <v>High Margin</v>
      </c>
      <c r="AH22" t="str">
        <f t="shared" si="12"/>
        <v>Repeat Customer</v>
      </c>
      <c r="AI22" t="str">
        <f t="shared" si="13"/>
        <v>Standard (3-5 days)</v>
      </c>
    </row>
    <row r="23" spans="1:35" ht="15" customHeight="1" x14ac:dyDescent="0.3">
      <c r="A23">
        <v>22</v>
      </c>
      <c r="B23" t="s">
        <v>317</v>
      </c>
      <c r="C23" s="12">
        <v>42713</v>
      </c>
      <c r="D23" s="12">
        <v>42717</v>
      </c>
      <c r="E23" t="s">
        <v>233</v>
      </c>
      <c r="F23" t="s">
        <v>318</v>
      </c>
      <c r="G23" t="s">
        <v>319</v>
      </c>
      <c r="H23" t="s">
        <v>224</v>
      </c>
      <c r="I23" t="s">
        <v>210</v>
      </c>
      <c r="J23" t="s">
        <v>320</v>
      </c>
      <c r="K23" t="s">
        <v>321</v>
      </c>
      <c r="L23">
        <v>68025</v>
      </c>
      <c r="M23" t="s">
        <v>288</v>
      </c>
      <c r="N23" t="s">
        <v>322</v>
      </c>
      <c r="O23" t="s">
        <v>229</v>
      </c>
      <c r="P23" t="s">
        <v>251</v>
      </c>
      <c r="Q23" t="s">
        <v>323</v>
      </c>
      <c r="R23" s="13">
        <v>19.46</v>
      </c>
      <c r="S23">
        <v>7</v>
      </c>
      <c r="T23" s="14">
        <v>0</v>
      </c>
      <c r="U23" s="13">
        <v>5.0595999999999997</v>
      </c>
      <c r="V23">
        <f t="shared" si="0"/>
        <v>2016</v>
      </c>
      <c r="W23" t="str">
        <f t="shared" si="1"/>
        <v>Dec</v>
      </c>
      <c r="X23" t="str">
        <f t="shared" si="2"/>
        <v>Q4</v>
      </c>
      <c r="Y23" t="str">
        <f t="shared" si="3"/>
        <v>Fri</v>
      </c>
      <c r="Z23" s="16">
        <f t="shared" si="4"/>
        <v>4</v>
      </c>
      <c r="AA23" s="13">
        <f t="shared" si="5"/>
        <v>2.7800000000000002</v>
      </c>
      <c r="AB23" s="14">
        <f t="shared" si="6"/>
        <v>0.25999999999999995</v>
      </c>
      <c r="AC23" t="str">
        <f t="shared" si="7"/>
        <v>No Discount</v>
      </c>
      <c r="AD23" t="str">
        <f t="shared" si="8"/>
        <v>Low (&lt;$50)</v>
      </c>
      <c r="AE23" t="str">
        <f t="shared" si="9"/>
        <v>Large (6+ units)</v>
      </c>
      <c r="AF23" t="str">
        <f t="shared" si="10"/>
        <v>Profitable</v>
      </c>
      <c r="AG23" t="str">
        <f t="shared" si="11"/>
        <v>High Margin</v>
      </c>
      <c r="AH23" t="str">
        <f t="shared" si="12"/>
        <v>Repeat Customer</v>
      </c>
      <c r="AI23" t="str">
        <f t="shared" si="13"/>
        <v>Standard (3-5 days)</v>
      </c>
    </row>
    <row r="24" spans="1:35" ht="15" customHeight="1" x14ac:dyDescent="0.3">
      <c r="A24">
        <v>23</v>
      </c>
      <c r="B24" t="s">
        <v>317</v>
      </c>
      <c r="C24" s="12">
        <v>42713</v>
      </c>
      <c r="D24" s="12">
        <v>42717</v>
      </c>
      <c r="E24" t="s">
        <v>233</v>
      </c>
      <c r="F24" t="s">
        <v>318</v>
      </c>
      <c r="G24" t="s">
        <v>319</v>
      </c>
      <c r="H24" t="s">
        <v>224</v>
      </c>
      <c r="I24" t="s">
        <v>210</v>
      </c>
      <c r="J24" t="s">
        <v>320</v>
      </c>
      <c r="K24" t="s">
        <v>321</v>
      </c>
      <c r="L24">
        <v>68025</v>
      </c>
      <c r="M24" t="s">
        <v>288</v>
      </c>
      <c r="N24" t="s">
        <v>324</v>
      </c>
      <c r="O24" t="s">
        <v>229</v>
      </c>
      <c r="P24" t="s">
        <v>261</v>
      </c>
      <c r="Q24" t="s">
        <v>325</v>
      </c>
      <c r="R24" s="13">
        <v>60.34</v>
      </c>
      <c r="S24">
        <v>7</v>
      </c>
      <c r="T24" s="14">
        <v>0</v>
      </c>
      <c r="U24" s="13">
        <v>15.6884</v>
      </c>
      <c r="V24">
        <f t="shared" si="0"/>
        <v>2016</v>
      </c>
      <c r="W24" t="str">
        <f t="shared" si="1"/>
        <v>Dec</v>
      </c>
      <c r="X24" t="str">
        <f t="shared" si="2"/>
        <v>Q4</v>
      </c>
      <c r="Y24" t="str">
        <f t="shared" si="3"/>
        <v>Fri</v>
      </c>
      <c r="Z24" s="16">
        <f t="shared" si="4"/>
        <v>4</v>
      </c>
      <c r="AA24" s="13">
        <f t="shared" si="5"/>
        <v>8.620000000000001</v>
      </c>
      <c r="AB24" s="14">
        <f t="shared" si="6"/>
        <v>0.25999999999999995</v>
      </c>
      <c r="AC24" t="str">
        <f t="shared" si="7"/>
        <v>No Discount</v>
      </c>
      <c r="AD24" t="str">
        <f t="shared" si="8"/>
        <v>Medium ($50-$200)</v>
      </c>
      <c r="AE24" t="str">
        <f t="shared" si="9"/>
        <v>Large (6+ units)</v>
      </c>
      <c r="AF24" t="str">
        <f t="shared" si="10"/>
        <v>Profitable</v>
      </c>
      <c r="AG24" t="str">
        <f t="shared" si="11"/>
        <v>High Margin</v>
      </c>
      <c r="AH24" t="str">
        <f t="shared" si="12"/>
        <v>Repeat Customer</v>
      </c>
      <c r="AI24" t="str">
        <f t="shared" si="13"/>
        <v>Standard (3-5 days)</v>
      </c>
    </row>
    <row r="25" spans="1:35" ht="15" customHeight="1" x14ac:dyDescent="0.3">
      <c r="A25">
        <v>24</v>
      </c>
      <c r="B25" t="s">
        <v>326</v>
      </c>
      <c r="C25" s="12">
        <v>42932</v>
      </c>
      <c r="D25" s="12">
        <v>42934</v>
      </c>
      <c r="E25" t="s">
        <v>206</v>
      </c>
      <c r="F25" t="s">
        <v>327</v>
      </c>
      <c r="G25" t="s">
        <v>328</v>
      </c>
      <c r="H25" t="s">
        <v>209</v>
      </c>
      <c r="I25" t="s">
        <v>210</v>
      </c>
      <c r="J25" t="s">
        <v>329</v>
      </c>
      <c r="K25" t="s">
        <v>330</v>
      </c>
      <c r="L25">
        <v>19140</v>
      </c>
      <c r="M25" t="s">
        <v>331</v>
      </c>
      <c r="N25" t="s">
        <v>332</v>
      </c>
      <c r="O25" t="s">
        <v>215</v>
      </c>
      <c r="P25" t="s">
        <v>219</v>
      </c>
      <c r="Q25" t="s">
        <v>333</v>
      </c>
      <c r="R25" s="13">
        <v>71.372</v>
      </c>
      <c r="S25">
        <v>2</v>
      </c>
      <c r="T25" s="14">
        <v>0.3</v>
      </c>
      <c r="U25" s="13">
        <v>-1.0196000000000001</v>
      </c>
      <c r="V25">
        <f t="shared" si="0"/>
        <v>2017</v>
      </c>
      <c r="W25" t="str">
        <f t="shared" si="1"/>
        <v>Jul</v>
      </c>
      <c r="X25" t="str">
        <f t="shared" si="2"/>
        <v>Q3</v>
      </c>
      <c r="Y25" t="str">
        <f t="shared" si="3"/>
        <v>Sun</v>
      </c>
      <c r="Z25" s="16">
        <f t="shared" si="4"/>
        <v>2</v>
      </c>
      <c r="AA25" s="13">
        <f t="shared" si="5"/>
        <v>35.686</v>
      </c>
      <c r="AB25" s="14">
        <f t="shared" si="6"/>
        <v>-1.4285714285714287E-2</v>
      </c>
      <c r="AC25" t="str">
        <f t="shared" si="7"/>
        <v>Medium (21-40%)</v>
      </c>
      <c r="AD25" t="str">
        <f t="shared" si="8"/>
        <v>Medium ($50-$200)</v>
      </c>
      <c r="AE25" t="str">
        <f t="shared" si="9"/>
        <v>Small (1-2 units)</v>
      </c>
      <c r="AF25" t="str">
        <f t="shared" si="10"/>
        <v>Loss-Making</v>
      </c>
      <c r="AG25" t="str">
        <f t="shared" si="11"/>
        <v>Underperforming</v>
      </c>
      <c r="AH25" t="str">
        <f t="shared" si="12"/>
        <v>Single Purchase</v>
      </c>
      <c r="AI25" t="str">
        <f t="shared" si="13"/>
        <v>Fast (&lt;=2 days)</v>
      </c>
    </row>
    <row r="26" spans="1:35" ht="15" customHeight="1" x14ac:dyDescent="0.3">
      <c r="A26">
        <v>25</v>
      </c>
      <c r="B26" t="s">
        <v>334</v>
      </c>
      <c r="C26" s="12">
        <v>42272</v>
      </c>
      <c r="D26" s="12">
        <v>42277</v>
      </c>
      <c r="E26" t="s">
        <v>233</v>
      </c>
      <c r="F26" t="s">
        <v>335</v>
      </c>
      <c r="G26" t="s">
        <v>336</v>
      </c>
      <c r="H26" t="s">
        <v>209</v>
      </c>
      <c r="I26" t="s">
        <v>210</v>
      </c>
      <c r="J26" t="s">
        <v>337</v>
      </c>
      <c r="K26" t="s">
        <v>304</v>
      </c>
      <c r="L26">
        <v>84057</v>
      </c>
      <c r="M26" t="s">
        <v>227</v>
      </c>
      <c r="N26" t="s">
        <v>238</v>
      </c>
      <c r="O26" t="s">
        <v>215</v>
      </c>
      <c r="P26" t="s">
        <v>239</v>
      </c>
      <c r="Q26" t="s">
        <v>240</v>
      </c>
      <c r="R26" s="13">
        <v>1044.6300000000001</v>
      </c>
      <c r="S26">
        <v>3</v>
      </c>
      <c r="T26" s="14">
        <v>0</v>
      </c>
      <c r="U26" s="13">
        <v>240.26490000000001</v>
      </c>
      <c r="V26">
        <f t="shared" si="0"/>
        <v>2015</v>
      </c>
      <c r="W26" t="str">
        <f t="shared" si="1"/>
        <v>Sep</v>
      </c>
      <c r="X26" t="str">
        <f t="shared" si="2"/>
        <v>Q3</v>
      </c>
      <c r="Y26" t="str">
        <f t="shared" si="3"/>
        <v>Fri</v>
      </c>
      <c r="Z26" s="16">
        <f t="shared" si="4"/>
        <v>5</v>
      </c>
      <c r="AA26" s="13">
        <f t="shared" si="5"/>
        <v>348.21000000000004</v>
      </c>
      <c r="AB26" s="14">
        <f t="shared" si="6"/>
        <v>0.22999999999999998</v>
      </c>
      <c r="AC26" t="str">
        <f t="shared" si="7"/>
        <v>No Discount</v>
      </c>
      <c r="AD26" t="str">
        <f t="shared" si="8"/>
        <v>Premium ($500+)</v>
      </c>
      <c r="AE26" t="str">
        <f t="shared" si="9"/>
        <v>Medium (3-5 units)</v>
      </c>
      <c r="AF26" t="str">
        <f t="shared" si="10"/>
        <v>Profitable</v>
      </c>
      <c r="AG26" t="str">
        <f t="shared" si="11"/>
        <v>Healthy Margin</v>
      </c>
      <c r="AH26" t="str">
        <f t="shared" si="12"/>
        <v>Repeat Customer</v>
      </c>
      <c r="AI26" t="str">
        <f t="shared" si="13"/>
        <v>Standard (3-5 days)</v>
      </c>
    </row>
    <row r="27" spans="1:35" ht="15" customHeight="1" x14ac:dyDescent="0.3">
      <c r="A27">
        <v>26</v>
      </c>
      <c r="B27" t="s">
        <v>338</v>
      </c>
      <c r="C27" s="12">
        <v>42385</v>
      </c>
      <c r="D27" s="12">
        <v>42389</v>
      </c>
      <c r="E27" t="s">
        <v>206</v>
      </c>
      <c r="F27" t="s">
        <v>339</v>
      </c>
      <c r="G27" t="s">
        <v>340</v>
      </c>
      <c r="H27" t="s">
        <v>209</v>
      </c>
      <c r="I27" t="s">
        <v>210</v>
      </c>
      <c r="J27" t="s">
        <v>225</v>
      </c>
      <c r="K27" t="s">
        <v>226</v>
      </c>
      <c r="L27">
        <v>90049</v>
      </c>
      <c r="M27" t="s">
        <v>227</v>
      </c>
      <c r="N27" t="s">
        <v>341</v>
      </c>
      <c r="O27" t="s">
        <v>229</v>
      </c>
      <c r="P27" t="s">
        <v>258</v>
      </c>
      <c r="Q27" t="s">
        <v>342</v>
      </c>
      <c r="R27" s="13">
        <v>11.648</v>
      </c>
      <c r="S27">
        <v>2</v>
      </c>
      <c r="T27" s="14">
        <v>0.2</v>
      </c>
      <c r="U27" s="13">
        <v>4.2224000000000004</v>
      </c>
      <c r="V27">
        <f t="shared" si="0"/>
        <v>2016</v>
      </c>
      <c r="W27" t="str">
        <f t="shared" si="1"/>
        <v>Jan</v>
      </c>
      <c r="X27" t="str">
        <f t="shared" si="2"/>
        <v>Q1</v>
      </c>
      <c r="Y27" t="str">
        <f t="shared" si="3"/>
        <v>Sat</v>
      </c>
      <c r="Z27" s="16">
        <f t="shared" si="4"/>
        <v>4</v>
      </c>
      <c r="AA27" s="13">
        <f t="shared" si="5"/>
        <v>5.8239999999999998</v>
      </c>
      <c r="AB27" s="14">
        <f t="shared" si="6"/>
        <v>0.36250000000000004</v>
      </c>
      <c r="AC27" t="str">
        <f t="shared" si="7"/>
        <v>Low (1-20%)</v>
      </c>
      <c r="AD27" t="str">
        <f t="shared" si="8"/>
        <v>Low (&lt;$50)</v>
      </c>
      <c r="AE27" t="str">
        <f t="shared" si="9"/>
        <v>Small (1-2 units)</v>
      </c>
      <c r="AF27" t="str">
        <f t="shared" si="10"/>
        <v>Profitable</v>
      </c>
      <c r="AG27" t="str">
        <f t="shared" si="11"/>
        <v>High Margin</v>
      </c>
      <c r="AH27" t="str">
        <f t="shared" si="12"/>
        <v>Repeat Customer</v>
      </c>
      <c r="AI27" t="str">
        <f t="shared" si="13"/>
        <v>Standard (3-5 days)</v>
      </c>
    </row>
    <row r="28" spans="1:35" ht="15" customHeight="1" x14ac:dyDescent="0.3">
      <c r="A28">
        <v>27</v>
      </c>
      <c r="B28" t="s">
        <v>338</v>
      </c>
      <c r="C28" s="12">
        <v>42385</v>
      </c>
      <c r="D28" s="12">
        <v>42389</v>
      </c>
      <c r="E28" t="s">
        <v>206</v>
      </c>
      <c r="F28" t="s">
        <v>339</v>
      </c>
      <c r="G28" t="s">
        <v>340</v>
      </c>
      <c r="H28" t="s">
        <v>209</v>
      </c>
      <c r="I28" t="s">
        <v>210</v>
      </c>
      <c r="J28" t="s">
        <v>225</v>
      </c>
      <c r="K28" t="s">
        <v>226</v>
      </c>
      <c r="L28">
        <v>90049</v>
      </c>
      <c r="M28" t="s">
        <v>227</v>
      </c>
      <c r="N28" t="s">
        <v>343</v>
      </c>
      <c r="O28" t="s">
        <v>254</v>
      </c>
      <c r="P28" t="s">
        <v>344</v>
      </c>
      <c r="Q28" t="s">
        <v>345</v>
      </c>
      <c r="R28" s="13">
        <v>90.57</v>
      </c>
      <c r="S28">
        <v>3</v>
      </c>
      <c r="T28" s="14">
        <v>0</v>
      </c>
      <c r="U28" s="13">
        <v>11.774100000000001</v>
      </c>
      <c r="V28">
        <f t="shared" si="0"/>
        <v>2016</v>
      </c>
      <c r="W28" t="str">
        <f t="shared" si="1"/>
        <v>Jan</v>
      </c>
      <c r="X28" t="str">
        <f t="shared" si="2"/>
        <v>Q1</v>
      </c>
      <c r="Y28" t="str">
        <f t="shared" si="3"/>
        <v>Sat</v>
      </c>
      <c r="Z28" s="16">
        <f t="shared" si="4"/>
        <v>4</v>
      </c>
      <c r="AA28" s="13">
        <f t="shared" si="5"/>
        <v>30.189999999999998</v>
      </c>
      <c r="AB28" s="14">
        <f t="shared" si="6"/>
        <v>0.13</v>
      </c>
      <c r="AC28" t="str">
        <f t="shared" si="7"/>
        <v>No Discount</v>
      </c>
      <c r="AD28" t="str">
        <f t="shared" si="8"/>
        <v>Medium ($50-$200)</v>
      </c>
      <c r="AE28" t="str">
        <f t="shared" si="9"/>
        <v>Medium (3-5 units)</v>
      </c>
      <c r="AF28" t="str">
        <f t="shared" si="10"/>
        <v>Profitable</v>
      </c>
      <c r="AG28" t="str">
        <f t="shared" si="11"/>
        <v>Healthy Margin</v>
      </c>
      <c r="AH28" t="str">
        <f t="shared" si="12"/>
        <v>Repeat Customer</v>
      </c>
      <c r="AI28" t="str">
        <f t="shared" si="13"/>
        <v>Standard (3-5 days)</v>
      </c>
    </row>
    <row r="29" spans="1:35" ht="15" customHeight="1" x14ac:dyDescent="0.3">
      <c r="A29">
        <v>28</v>
      </c>
      <c r="B29" t="s">
        <v>346</v>
      </c>
      <c r="C29" s="12">
        <v>42264</v>
      </c>
      <c r="D29" s="12">
        <v>42268</v>
      </c>
      <c r="E29" t="s">
        <v>233</v>
      </c>
      <c r="F29" t="s">
        <v>347</v>
      </c>
      <c r="G29" t="s">
        <v>348</v>
      </c>
      <c r="H29" t="s">
        <v>209</v>
      </c>
      <c r="I29" t="s">
        <v>210</v>
      </c>
      <c r="J29" t="s">
        <v>329</v>
      </c>
      <c r="K29" t="s">
        <v>330</v>
      </c>
      <c r="L29">
        <v>19140</v>
      </c>
      <c r="M29" t="s">
        <v>331</v>
      </c>
      <c r="N29" t="s">
        <v>349</v>
      </c>
      <c r="O29" t="s">
        <v>215</v>
      </c>
      <c r="P29" t="s">
        <v>216</v>
      </c>
      <c r="Q29" t="s">
        <v>350</v>
      </c>
      <c r="R29" s="13">
        <v>3083.43</v>
      </c>
      <c r="S29">
        <v>7</v>
      </c>
      <c r="T29" s="14">
        <v>0.5</v>
      </c>
      <c r="U29" s="13">
        <v>-1665.0522000000001</v>
      </c>
      <c r="V29">
        <f t="shared" si="0"/>
        <v>2015</v>
      </c>
      <c r="W29" t="str">
        <f t="shared" si="1"/>
        <v>Sep</v>
      </c>
      <c r="X29" t="str">
        <f t="shared" si="2"/>
        <v>Q3</v>
      </c>
      <c r="Y29" t="str">
        <f t="shared" si="3"/>
        <v>Thu</v>
      </c>
      <c r="Z29" s="16">
        <f t="shared" si="4"/>
        <v>4</v>
      </c>
      <c r="AA29" s="13">
        <f t="shared" si="5"/>
        <v>440.48999999999995</v>
      </c>
      <c r="AB29" s="14">
        <f t="shared" si="6"/>
        <v>-0.54</v>
      </c>
      <c r="AC29" t="str">
        <f t="shared" si="7"/>
        <v>High (40%+)</v>
      </c>
      <c r="AD29" t="str">
        <f t="shared" si="8"/>
        <v>Premium ($500+)</v>
      </c>
      <c r="AE29" t="str">
        <f t="shared" si="9"/>
        <v>Large (6+ units)</v>
      </c>
      <c r="AF29" t="str">
        <f t="shared" si="10"/>
        <v>Loss-Making</v>
      </c>
      <c r="AG29" t="str">
        <f t="shared" si="11"/>
        <v>Underperforming</v>
      </c>
      <c r="AH29" t="str">
        <f t="shared" si="12"/>
        <v>Repeat Customer</v>
      </c>
      <c r="AI29" t="str">
        <f t="shared" si="13"/>
        <v>Standard (3-5 days)</v>
      </c>
    </row>
    <row r="30" spans="1:35" ht="15" customHeight="1" x14ac:dyDescent="0.3">
      <c r="A30">
        <v>29</v>
      </c>
      <c r="B30" t="s">
        <v>346</v>
      </c>
      <c r="C30" s="12">
        <v>42264</v>
      </c>
      <c r="D30" s="12">
        <v>42268</v>
      </c>
      <c r="E30" t="s">
        <v>233</v>
      </c>
      <c r="F30" t="s">
        <v>347</v>
      </c>
      <c r="G30" t="s">
        <v>348</v>
      </c>
      <c r="H30" t="s">
        <v>209</v>
      </c>
      <c r="I30" t="s">
        <v>210</v>
      </c>
      <c r="J30" t="s">
        <v>329</v>
      </c>
      <c r="K30" t="s">
        <v>330</v>
      </c>
      <c r="L30">
        <v>19140</v>
      </c>
      <c r="M30" t="s">
        <v>331</v>
      </c>
      <c r="N30" t="s">
        <v>351</v>
      </c>
      <c r="O30" t="s">
        <v>229</v>
      </c>
      <c r="P30" t="s">
        <v>258</v>
      </c>
      <c r="Q30" t="s">
        <v>352</v>
      </c>
      <c r="R30" s="13">
        <v>9.6180000000000003</v>
      </c>
      <c r="S30">
        <v>2</v>
      </c>
      <c r="T30" s="14">
        <v>0.7</v>
      </c>
      <c r="U30" s="13">
        <v>-7.0532000000000004</v>
      </c>
      <c r="V30">
        <f t="shared" si="0"/>
        <v>2015</v>
      </c>
      <c r="W30" t="str">
        <f t="shared" si="1"/>
        <v>Sep</v>
      </c>
      <c r="X30" t="str">
        <f t="shared" si="2"/>
        <v>Q3</v>
      </c>
      <c r="Y30" t="str">
        <f t="shared" si="3"/>
        <v>Thu</v>
      </c>
      <c r="Z30" s="16">
        <f t="shared" si="4"/>
        <v>4</v>
      </c>
      <c r="AA30" s="13">
        <f t="shared" si="5"/>
        <v>4.8090000000000002</v>
      </c>
      <c r="AB30" s="14">
        <f t="shared" si="6"/>
        <v>-0.73333333333333339</v>
      </c>
      <c r="AC30" t="str">
        <f t="shared" si="7"/>
        <v>High (40%+)</v>
      </c>
      <c r="AD30" t="str">
        <f t="shared" si="8"/>
        <v>Low (&lt;$50)</v>
      </c>
      <c r="AE30" t="str">
        <f t="shared" si="9"/>
        <v>Small (1-2 units)</v>
      </c>
      <c r="AF30" t="str">
        <f t="shared" si="10"/>
        <v>Loss-Making</v>
      </c>
      <c r="AG30" t="str">
        <f t="shared" si="11"/>
        <v>Underperforming</v>
      </c>
      <c r="AH30" t="str">
        <f t="shared" si="12"/>
        <v>Repeat Customer</v>
      </c>
      <c r="AI30" t="str">
        <f t="shared" si="13"/>
        <v>Standard (3-5 days)</v>
      </c>
    </row>
    <row r="31" spans="1:35" ht="15" customHeight="1" x14ac:dyDescent="0.3">
      <c r="A31">
        <v>30</v>
      </c>
      <c r="B31" t="s">
        <v>346</v>
      </c>
      <c r="C31" s="12">
        <v>42264</v>
      </c>
      <c r="D31" s="12">
        <v>42268</v>
      </c>
      <c r="E31" t="s">
        <v>233</v>
      </c>
      <c r="F31" t="s">
        <v>347</v>
      </c>
      <c r="G31" t="s">
        <v>348</v>
      </c>
      <c r="H31" t="s">
        <v>209</v>
      </c>
      <c r="I31" t="s">
        <v>210</v>
      </c>
      <c r="J31" t="s">
        <v>329</v>
      </c>
      <c r="K31" t="s">
        <v>330</v>
      </c>
      <c r="L31">
        <v>19140</v>
      </c>
      <c r="M31" t="s">
        <v>331</v>
      </c>
      <c r="N31" t="s">
        <v>353</v>
      </c>
      <c r="O31" t="s">
        <v>215</v>
      </c>
      <c r="P31" t="s">
        <v>248</v>
      </c>
      <c r="Q31" t="s">
        <v>354</v>
      </c>
      <c r="R31" s="13">
        <v>124.2</v>
      </c>
      <c r="S31">
        <v>3</v>
      </c>
      <c r="T31" s="14">
        <v>0.2</v>
      </c>
      <c r="U31" s="13">
        <v>15.525</v>
      </c>
      <c r="V31">
        <f t="shared" si="0"/>
        <v>2015</v>
      </c>
      <c r="W31" t="str">
        <f t="shared" si="1"/>
        <v>Sep</v>
      </c>
      <c r="X31" t="str">
        <f t="shared" si="2"/>
        <v>Q3</v>
      </c>
      <c r="Y31" t="str">
        <f t="shared" si="3"/>
        <v>Thu</v>
      </c>
      <c r="Z31" s="16">
        <f t="shared" si="4"/>
        <v>4</v>
      </c>
      <c r="AA31" s="13">
        <f t="shared" si="5"/>
        <v>41.4</v>
      </c>
      <c r="AB31" s="14">
        <f t="shared" si="6"/>
        <v>0.125</v>
      </c>
      <c r="AC31" t="str">
        <f t="shared" si="7"/>
        <v>Low (1-20%)</v>
      </c>
      <c r="AD31" t="str">
        <f t="shared" si="8"/>
        <v>Medium ($50-$200)</v>
      </c>
      <c r="AE31" t="str">
        <f t="shared" si="9"/>
        <v>Medium (3-5 units)</v>
      </c>
      <c r="AF31" t="str">
        <f t="shared" si="10"/>
        <v>Profitable</v>
      </c>
      <c r="AG31" t="str">
        <f t="shared" si="11"/>
        <v>Healthy Margin</v>
      </c>
      <c r="AH31" t="str">
        <f t="shared" si="12"/>
        <v>Repeat Customer</v>
      </c>
      <c r="AI31" t="str">
        <f t="shared" si="13"/>
        <v>Standard (3-5 days)</v>
      </c>
    </row>
    <row r="32" spans="1:35" ht="15" customHeight="1" x14ac:dyDescent="0.3">
      <c r="A32">
        <v>31</v>
      </c>
      <c r="B32" t="s">
        <v>346</v>
      </c>
      <c r="C32" s="12">
        <v>42264</v>
      </c>
      <c r="D32" s="12">
        <v>42268</v>
      </c>
      <c r="E32" t="s">
        <v>233</v>
      </c>
      <c r="F32" t="s">
        <v>347</v>
      </c>
      <c r="G32" t="s">
        <v>348</v>
      </c>
      <c r="H32" t="s">
        <v>209</v>
      </c>
      <c r="I32" t="s">
        <v>210</v>
      </c>
      <c r="J32" t="s">
        <v>329</v>
      </c>
      <c r="K32" t="s">
        <v>330</v>
      </c>
      <c r="L32">
        <v>19140</v>
      </c>
      <c r="M32" t="s">
        <v>331</v>
      </c>
      <c r="N32" t="s">
        <v>355</v>
      </c>
      <c r="O32" t="s">
        <v>229</v>
      </c>
      <c r="P32" t="s">
        <v>356</v>
      </c>
      <c r="Q32" t="s">
        <v>357</v>
      </c>
      <c r="R32" s="13">
        <v>3.2639999999999998</v>
      </c>
      <c r="S32">
        <v>2</v>
      </c>
      <c r="T32" s="14">
        <v>0.2</v>
      </c>
      <c r="U32" s="13">
        <v>1.1015999999999999</v>
      </c>
      <c r="V32">
        <f t="shared" si="0"/>
        <v>2015</v>
      </c>
      <c r="W32" t="str">
        <f t="shared" si="1"/>
        <v>Sep</v>
      </c>
      <c r="X32" t="str">
        <f t="shared" si="2"/>
        <v>Q3</v>
      </c>
      <c r="Y32" t="str">
        <f t="shared" si="3"/>
        <v>Thu</v>
      </c>
      <c r="Z32" s="16">
        <f t="shared" si="4"/>
        <v>4</v>
      </c>
      <c r="AA32" s="13">
        <f t="shared" si="5"/>
        <v>1.6319999999999999</v>
      </c>
      <c r="AB32" s="14">
        <f t="shared" si="6"/>
        <v>0.33750000000000002</v>
      </c>
      <c r="AC32" t="str">
        <f t="shared" si="7"/>
        <v>Low (1-20%)</v>
      </c>
      <c r="AD32" t="str">
        <f t="shared" si="8"/>
        <v>Low (&lt;$50)</v>
      </c>
      <c r="AE32" t="str">
        <f t="shared" si="9"/>
        <v>Small (1-2 units)</v>
      </c>
      <c r="AF32" t="str">
        <f t="shared" si="10"/>
        <v>Profitable</v>
      </c>
      <c r="AG32" t="str">
        <f t="shared" si="11"/>
        <v>High Margin</v>
      </c>
      <c r="AH32" t="str">
        <f t="shared" si="12"/>
        <v>Repeat Customer</v>
      </c>
      <c r="AI32" t="str">
        <f t="shared" si="13"/>
        <v>Standard (3-5 days)</v>
      </c>
    </row>
    <row r="33" spans="1:35" ht="15" customHeight="1" x14ac:dyDescent="0.3">
      <c r="A33">
        <v>32</v>
      </c>
      <c r="B33" t="s">
        <v>346</v>
      </c>
      <c r="C33" s="12">
        <v>42264</v>
      </c>
      <c r="D33" s="12">
        <v>42268</v>
      </c>
      <c r="E33" t="s">
        <v>233</v>
      </c>
      <c r="F33" t="s">
        <v>347</v>
      </c>
      <c r="G33" t="s">
        <v>348</v>
      </c>
      <c r="H33" t="s">
        <v>209</v>
      </c>
      <c r="I33" t="s">
        <v>210</v>
      </c>
      <c r="J33" t="s">
        <v>329</v>
      </c>
      <c r="K33" t="s">
        <v>330</v>
      </c>
      <c r="L33">
        <v>19140</v>
      </c>
      <c r="M33" t="s">
        <v>331</v>
      </c>
      <c r="N33" t="s">
        <v>358</v>
      </c>
      <c r="O33" t="s">
        <v>229</v>
      </c>
      <c r="P33" t="s">
        <v>251</v>
      </c>
      <c r="Q33" t="s">
        <v>359</v>
      </c>
      <c r="R33" s="13">
        <v>86.304000000000002</v>
      </c>
      <c r="S33">
        <v>6</v>
      </c>
      <c r="T33" s="14">
        <v>0.2</v>
      </c>
      <c r="U33" s="13">
        <v>9.7091999999999903</v>
      </c>
      <c r="V33">
        <f t="shared" si="0"/>
        <v>2015</v>
      </c>
      <c r="W33" t="str">
        <f t="shared" si="1"/>
        <v>Sep</v>
      </c>
      <c r="X33" t="str">
        <f t="shared" si="2"/>
        <v>Q3</v>
      </c>
      <c r="Y33" t="str">
        <f t="shared" si="3"/>
        <v>Thu</v>
      </c>
      <c r="Z33" s="16">
        <f t="shared" si="4"/>
        <v>4</v>
      </c>
      <c r="AA33" s="13">
        <f t="shared" si="5"/>
        <v>14.384</v>
      </c>
      <c r="AB33" s="14">
        <f t="shared" si="6"/>
        <v>0.11249999999999988</v>
      </c>
      <c r="AC33" t="str">
        <f t="shared" si="7"/>
        <v>Low (1-20%)</v>
      </c>
      <c r="AD33" t="str">
        <f t="shared" si="8"/>
        <v>Medium ($50-$200)</v>
      </c>
      <c r="AE33" t="str">
        <f t="shared" si="9"/>
        <v>Large (6+ units)</v>
      </c>
      <c r="AF33" t="str">
        <f t="shared" si="10"/>
        <v>Profitable</v>
      </c>
      <c r="AG33" t="str">
        <f t="shared" si="11"/>
        <v>Healthy Margin</v>
      </c>
      <c r="AH33" t="str">
        <f t="shared" si="12"/>
        <v>Repeat Customer</v>
      </c>
      <c r="AI33" t="str">
        <f t="shared" si="13"/>
        <v>Standard (3-5 days)</v>
      </c>
    </row>
    <row r="34" spans="1:35" ht="15" customHeight="1" x14ac:dyDescent="0.3">
      <c r="A34">
        <v>33</v>
      </c>
      <c r="B34" t="s">
        <v>346</v>
      </c>
      <c r="C34" s="12">
        <v>42264</v>
      </c>
      <c r="D34" s="12">
        <v>42268</v>
      </c>
      <c r="E34" t="s">
        <v>233</v>
      </c>
      <c r="F34" t="s">
        <v>347</v>
      </c>
      <c r="G34" t="s">
        <v>348</v>
      </c>
      <c r="H34" t="s">
        <v>209</v>
      </c>
      <c r="I34" t="s">
        <v>210</v>
      </c>
      <c r="J34" t="s">
        <v>329</v>
      </c>
      <c r="K34" t="s">
        <v>330</v>
      </c>
      <c r="L34">
        <v>19140</v>
      </c>
      <c r="M34" t="s">
        <v>331</v>
      </c>
      <c r="N34" t="s">
        <v>360</v>
      </c>
      <c r="O34" t="s">
        <v>229</v>
      </c>
      <c r="P34" t="s">
        <v>258</v>
      </c>
      <c r="Q34" t="s">
        <v>361</v>
      </c>
      <c r="R34" s="13">
        <v>6.8579999999999997</v>
      </c>
      <c r="S34">
        <v>6</v>
      </c>
      <c r="T34" s="14">
        <v>0.7</v>
      </c>
      <c r="U34" s="13">
        <v>-5.7149999999999999</v>
      </c>
      <c r="V34">
        <f t="shared" si="0"/>
        <v>2015</v>
      </c>
      <c r="W34" t="str">
        <f t="shared" si="1"/>
        <v>Sep</v>
      </c>
      <c r="X34" t="str">
        <f t="shared" si="2"/>
        <v>Q3</v>
      </c>
      <c r="Y34" t="str">
        <f t="shared" si="3"/>
        <v>Thu</v>
      </c>
      <c r="Z34" s="16">
        <f t="shared" si="4"/>
        <v>4</v>
      </c>
      <c r="AA34" s="13">
        <f t="shared" si="5"/>
        <v>1.143</v>
      </c>
      <c r="AB34" s="14">
        <f t="shared" si="6"/>
        <v>-0.83333333333333337</v>
      </c>
      <c r="AC34" t="str">
        <f t="shared" si="7"/>
        <v>High (40%+)</v>
      </c>
      <c r="AD34" t="str">
        <f t="shared" si="8"/>
        <v>Low (&lt;$50)</v>
      </c>
      <c r="AE34" t="str">
        <f t="shared" si="9"/>
        <v>Large (6+ units)</v>
      </c>
      <c r="AF34" t="str">
        <f t="shared" si="10"/>
        <v>Loss-Making</v>
      </c>
      <c r="AG34" t="str">
        <f t="shared" si="11"/>
        <v>Underperforming</v>
      </c>
      <c r="AH34" t="str">
        <f t="shared" si="12"/>
        <v>Repeat Customer</v>
      </c>
      <c r="AI34" t="str">
        <f t="shared" si="13"/>
        <v>Standard (3-5 days)</v>
      </c>
    </row>
    <row r="35" spans="1:35" ht="15" customHeight="1" x14ac:dyDescent="0.3">
      <c r="A35">
        <v>34</v>
      </c>
      <c r="B35" t="s">
        <v>346</v>
      </c>
      <c r="C35" s="12">
        <v>42264</v>
      </c>
      <c r="D35" s="12">
        <v>42268</v>
      </c>
      <c r="E35" t="s">
        <v>233</v>
      </c>
      <c r="F35" t="s">
        <v>347</v>
      </c>
      <c r="G35" t="s">
        <v>348</v>
      </c>
      <c r="H35" t="s">
        <v>209</v>
      </c>
      <c r="I35" t="s">
        <v>210</v>
      </c>
      <c r="J35" t="s">
        <v>329</v>
      </c>
      <c r="K35" t="s">
        <v>330</v>
      </c>
      <c r="L35">
        <v>19140</v>
      </c>
      <c r="M35" t="s">
        <v>331</v>
      </c>
      <c r="N35" t="s">
        <v>362</v>
      </c>
      <c r="O35" t="s">
        <v>229</v>
      </c>
      <c r="P35" t="s">
        <v>251</v>
      </c>
      <c r="Q35" t="s">
        <v>363</v>
      </c>
      <c r="R35" s="13">
        <v>15.76</v>
      </c>
      <c r="S35">
        <v>2</v>
      </c>
      <c r="T35" s="14">
        <v>0.2</v>
      </c>
      <c r="U35" s="13">
        <v>3.5459999999999998</v>
      </c>
      <c r="V35">
        <f t="shared" si="0"/>
        <v>2015</v>
      </c>
      <c r="W35" t="str">
        <f t="shared" si="1"/>
        <v>Sep</v>
      </c>
      <c r="X35" t="str">
        <f t="shared" si="2"/>
        <v>Q3</v>
      </c>
      <c r="Y35" t="str">
        <f t="shared" si="3"/>
        <v>Thu</v>
      </c>
      <c r="Z35" s="16">
        <f t="shared" si="4"/>
        <v>4</v>
      </c>
      <c r="AA35" s="13">
        <f t="shared" si="5"/>
        <v>7.88</v>
      </c>
      <c r="AB35" s="14">
        <f t="shared" si="6"/>
        <v>0.22499999999999998</v>
      </c>
      <c r="AC35" t="str">
        <f t="shared" si="7"/>
        <v>Low (1-20%)</v>
      </c>
      <c r="AD35" t="str">
        <f t="shared" si="8"/>
        <v>Low (&lt;$50)</v>
      </c>
      <c r="AE35" t="str">
        <f t="shared" si="9"/>
        <v>Small (1-2 units)</v>
      </c>
      <c r="AF35" t="str">
        <f t="shared" si="10"/>
        <v>Profitable</v>
      </c>
      <c r="AG35" t="str">
        <f t="shared" si="11"/>
        <v>Healthy Margin</v>
      </c>
      <c r="AH35" t="str">
        <f t="shared" si="12"/>
        <v>Repeat Customer</v>
      </c>
      <c r="AI35" t="str">
        <f t="shared" si="13"/>
        <v>Standard (3-5 days)</v>
      </c>
    </row>
    <row r="36" spans="1:35" ht="15" customHeight="1" x14ac:dyDescent="0.3">
      <c r="A36">
        <v>35</v>
      </c>
      <c r="B36" t="s">
        <v>364</v>
      </c>
      <c r="C36" s="12">
        <v>43027</v>
      </c>
      <c r="D36" s="12">
        <v>43031</v>
      </c>
      <c r="E36" t="s">
        <v>206</v>
      </c>
      <c r="F36" t="s">
        <v>365</v>
      </c>
      <c r="G36" t="s">
        <v>366</v>
      </c>
      <c r="H36" t="s">
        <v>285</v>
      </c>
      <c r="I36" t="s">
        <v>210</v>
      </c>
      <c r="J36" t="s">
        <v>367</v>
      </c>
      <c r="K36" t="s">
        <v>287</v>
      </c>
      <c r="L36">
        <v>77095</v>
      </c>
      <c r="M36" t="s">
        <v>288</v>
      </c>
      <c r="N36" t="s">
        <v>368</v>
      </c>
      <c r="O36" t="s">
        <v>229</v>
      </c>
      <c r="P36" t="s">
        <v>273</v>
      </c>
      <c r="Q36" t="s">
        <v>369</v>
      </c>
      <c r="R36" s="13">
        <v>29.472000000000001</v>
      </c>
      <c r="S36">
        <v>3</v>
      </c>
      <c r="T36" s="14">
        <v>0.2</v>
      </c>
      <c r="U36" s="13">
        <v>9.9467999999999996</v>
      </c>
      <c r="V36">
        <f t="shared" si="0"/>
        <v>2017</v>
      </c>
      <c r="W36" t="str">
        <f t="shared" si="1"/>
        <v>Oct</v>
      </c>
      <c r="X36" t="str">
        <f t="shared" si="2"/>
        <v>Q4</v>
      </c>
      <c r="Y36" t="str">
        <f t="shared" si="3"/>
        <v>Thu</v>
      </c>
      <c r="Z36" s="16">
        <f t="shared" si="4"/>
        <v>4</v>
      </c>
      <c r="AA36" s="13">
        <f t="shared" si="5"/>
        <v>9.8239999999999998</v>
      </c>
      <c r="AB36" s="14">
        <f t="shared" si="6"/>
        <v>0.33749999999999997</v>
      </c>
      <c r="AC36" t="str">
        <f t="shared" si="7"/>
        <v>Low (1-20%)</v>
      </c>
      <c r="AD36" t="str">
        <f t="shared" si="8"/>
        <v>Low (&lt;$50)</v>
      </c>
      <c r="AE36" t="str">
        <f t="shared" si="9"/>
        <v>Medium (3-5 units)</v>
      </c>
      <c r="AF36" t="str">
        <f t="shared" si="10"/>
        <v>Profitable</v>
      </c>
      <c r="AG36" t="str">
        <f t="shared" si="11"/>
        <v>High Margin</v>
      </c>
      <c r="AH36" t="str">
        <f t="shared" si="12"/>
        <v>Single Purchase</v>
      </c>
      <c r="AI36" t="str">
        <f t="shared" si="13"/>
        <v>Standard (3-5 days)</v>
      </c>
    </row>
    <row r="37" spans="1:35" ht="15" customHeight="1" x14ac:dyDescent="0.3">
      <c r="A37">
        <v>36</v>
      </c>
      <c r="B37" t="s">
        <v>370</v>
      </c>
      <c r="C37" s="12">
        <v>42712</v>
      </c>
      <c r="D37" s="12">
        <v>42714</v>
      </c>
      <c r="E37" t="s">
        <v>371</v>
      </c>
      <c r="F37" t="s">
        <v>372</v>
      </c>
      <c r="G37" t="s">
        <v>373</v>
      </c>
      <c r="H37" t="s">
        <v>224</v>
      </c>
      <c r="I37" t="s">
        <v>210</v>
      </c>
      <c r="J37" t="s">
        <v>374</v>
      </c>
      <c r="K37" t="s">
        <v>287</v>
      </c>
      <c r="L37">
        <v>75080</v>
      </c>
      <c r="M37" t="s">
        <v>288</v>
      </c>
      <c r="N37" t="s">
        <v>375</v>
      </c>
      <c r="O37" t="s">
        <v>254</v>
      </c>
      <c r="P37" t="s">
        <v>255</v>
      </c>
      <c r="Q37" t="s">
        <v>376</v>
      </c>
      <c r="R37" s="13">
        <v>1097.5440000000001</v>
      </c>
      <c r="S37">
        <v>7</v>
      </c>
      <c r="T37" s="14">
        <v>0.2</v>
      </c>
      <c r="U37" s="13">
        <v>123.47369999999999</v>
      </c>
      <c r="V37">
        <f t="shared" si="0"/>
        <v>2016</v>
      </c>
      <c r="W37" t="str">
        <f t="shared" si="1"/>
        <v>Dec</v>
      </c>
      <c r="X37" t="str">
        <f t="shared" si="2"/>
        <v>Q4</v>
      </c>
      <c r="Y37" t="str">
        <f t="shared" si="3"/>
        <v>Thu</v>
      </c>
      <c r="Z37" s="16">
        <f t="shared" si="4"/>
        <v>2</v>
      </c>
      <c r="AA37" s="13">
        <f t="shared" si="5"/>
        <v>156.792</v>
      </c>
      <c r="AB37" s="14">
        <f t="shared" si="6"/>
        <v>0.11249999999999999</v>
      </c>
      <c r="AC37" t="str">
        <f t="shared" si="7"/>
        <v>Low (1-20%)</v>
      </c>
      <c r="AD37" t="str">
        <f t="shared" si="8"/>
        <v>Premium ($500+)</v>
      </c>
      <c r="AE37" t="str">
        <f t="shared" si="9"/>
        <v>Large (6+ units)</v>
      </c>
      <c r="AF37" t="str">
        <f t="shared" si="10"/>
        <v>Profitable</v>
      </c>
      <c r="AG37" t="str">
        <f t="shared" si="11"/>
        <v>Healthy Margin</v>
      </c>
      <c r="AH37" t="str">
        <f t="shared" si="12"/>
        <v>Repeat Customer</v>
      </c>
      <c r="AI37" t="str">
        <f t="shared" si="13"/>
        <v>Fast (&lt;=2 days)</v>
      </c>
    </row>
    <row r="38" spans="1:35" ht="15" customHeight="1" x14ac:dyDescent="0.3">
      <c r="A38">
        <v>37</v>
      </c>
      <c r="B38" t="s">
        <v>370</v>
      </c>
      <c r="C38" s="12">
        <v>42712</v>
      </c>
      <c r="D38" s="12">
        <v>42714</v>
      </c>
      <c r="E38" t="s">
        <v>371</v>
      </c>
      <c r="F38" t="s">
        <v>372</v>
      </c>
      <c r="G38" t="s">
        <v>373</v>
      </c>
      <c r="H38" t="s">
        <v>224</v>
      </c>
      <c r="I38" t="s">
        <v>210</v>
      </c>
      <c r="J38" t="s">
        <v>374</v>
      </c>
      <c r="K38" t="s">
        <v>287</v>
      </c>
      <c r="L38">
        <v>75080</v>
      </c>
      <c r="M38" t="s">
        <v>288</v>
      </c>
      <c r="N38" t="s">
        <v>377</v>
      </c>
      <c r="O38" t="s">
        <v>215</v>
      </c>
      <c r="P38" t="s">
        <v>248</v>
      </c>
      <c r="Q38" t="s">
        <v>378</v>
      </c>
      <c r="R38" s="13">
        <v>190.92</v>
      </c>
      <c r="S38">
        <v>5</v>
      </c>
      <c r="T38" s="14">
        <v>0.6</v>
      </c>
      <c r="U38" s="13">
        <v>-147.96299999999999</v>
      </c>
      <c r="V38">
        <f t="shared" si="0"/>
        <v>2016</v>
      </c>
      <c r="W38" t="str">
        <f t="shared" si="1"/>
        <v>Dec</v>
      </c>
      <c r="X38" t="str">
        <f t="shared" si="2"/>
        <v>Q4</v>
      </c>
      <c r="Y38" t="str">
        <f t="shared" si="3"/>
        <v>Thu</v>
      </c>
      <c r="Z38" s="16">
        <f t="shared" si="4"/>
        <v>2</v>
      </c>
      <c r="AA38" s="13">
        <f t="shared" si="5"/>
        <v>38.183999999999997</v>
      </c>
      <c r="AB38" s="14">
        <f t="shared" si="6"/>
        <v>-0.77500000000000002</v>
      </c>
      <c r="AC38" t="str">
        <f t="shared" si="7"/>
        <v>High (40%+)</v>
      </c>
      <c r="AD38" t="str">
        <f t="shared" si="8"/>
        <v>Medium ($50-$200)</v>
      </c>
      <c r="AE38" t="str">
        <f t="shared" si="9"/>
        <v>Medium (3-5 units)</v>
      </c>
      <c r="AF38" t="str">
        <f t="shared" si="10"/>
        <v>Loss-Making</v>
      </c>
      <c r="AG38" t="str">
        <f t="shared" si="11"/>
        <v>Underperforming</v>
      </c>
      <c r="AH38" t="str">
        <f t="shared" si="12"/>
        <v>Repeat Customer</v>
      </c>
      <c r="AI38" t="str">
        <f t="shared" si="13"/>
        <v>Fast (&lt;=2 days)</v>
      </c>
    </row>
    <row r="39" spans="1:35" ht="15" customHeight="1" x14ac:dyDescent="0.3">
      <c r="A39">
        <v>38</v>
      </c>
      <c r="B39" t="s">
        <v>379</v>
      </c>
      <c r="C39" s="12">
        <v>42365</v>
      </c>
      <c r="D39" s="12">
        <v>42369</v>
      </c>
      <c r="E39" t="s">
        <v>233</v>
      </c>
      <c r="F39" t="s">
        <v>380</v>
      </c>
      <c r="G39" t="s">
        <v>381</v>
      </c>
      <c r="H39" t="s">
        <v>285</v>
      </c>
      <c r="I39" t="s">
        <v>210</v>
      </c>
      <c r="J39" t="s">
        <v>367</v>
      </c>
      <c r="K39" t="s">
        <v>287</v>
      </c>
      <c r="L39">
        <v>77041</v>
      </c>
      <c r="M39" t="s">
        <v>288</v>
      </c>
      <c r="N39" t="s">
        <v>382</v>
      </c>
      <c r="O39" t="s">
        <v>229</v>
      </c>
      <c r="P39" t="s">
        <v>356</v>
      </c>
      <c r="Q39" t="s">
        <v>383</v>
      </c>
      <c r="R39" s="13">
        <v>113.328</v>
      </c>
      <c r="S39">
        <v>9</v>
      </c>
      <c r="T39" s="14">
        <v>0.2</v>
      </c>
      <c r="U39" s="13">
        <v>35.414999999999999</v>
      </c>
      <c r="V39">
        <f t="shared" si="0"/>
        <v>2015</v>
      </c>
      <c r="W39" t="str">
        <f t="shared" si="1"/>
        <v>Dec</v>
      </c>
      <c r="X39" t="str">
        <f t="shared" si="2"/>
        <v>Q4</v>
      </c>
      <c r="Y39" t="str">
        <f t="shared" si="3"/>
        <v>Sun</v>
      </c>
      <c r="Z39" s="16">
        <f t="shared" si="4"/>
        <v>4</v>
      </c>
      <c r="AA39" s="13">
        <f t="shared" si="5"/>
        <v>12.592000000000001</v>
      </c>
      <c r="AB39" s="14">
        <f t="shared" si="6"/>
        <v>0.3125</v>
      </c>
      <c r="AC39" t="str">
        <f t="shared" si="7"/>
        <v>Low (1-20%)</v>
      </c>
      <c r="AD39" t="str">
        <f t="shared" si="8"/>
        <v>Medium ($50-$200)</v>
      </c>
      <c r="AE39" t="str">
        <f t="shared" si="9"/>
        <v>Large (6+ units)</v>
      </c>
      <c r="AF39" t="str">
        <f t="shared" si="10"/>
        <v>Profitable</v>
      </c>
      <c r="AG39" t="str">
        <f t="shared" si="11"/>
        <v>High Margin</v>
      </c>
      <c r="AH39" t="str">
        <f t="shared" si="12"/>
        <v>Repeat Customer</v>
      </c>
      <c r="AI39" t="str">
        <f t="shared" si="13"/>
        <v>Standard (3-5 days)</v>
      </c>
    </row>
    <row r="40" spans="1:35" ht="15" customHeight="1" x14ac:dyDescent="0.3">
      <c r="A40">
        <v>39</v>
      </c>
      <c r="B40" t="s">
        <v>379</v>
      </c>
      <c r="C40" s="12">
        <v>42365</v>
      </c>
      <c r="D40" s="12">
        <v>42369</v>
      </c>
      <c r="E40" t="s">
        <v>233</v>
      </c>
      <c r="F40" t="s">
        <v>380</v>
      </c>
      <c r="G40" t="s">
        <v>381</v>
      </c>
      <c r="H40" t="s">
        <v>285</v>
      </c>
      <c r="I40" t="s">
        <v>210</v>
      </c>
      <c r="J40" t="s">
        <v>367</v>
      </c>
      <c r="K40" t="s">
        <v>287</v>
      </c>
      <c r="L40">
        <v>77041</v>
      </c>
      <c r="M40" t="s">
        <v>288</v>
      </c>
      <c r="N40" t="s">
        <v>384</v>
      </c>
      <c r="O40" t="s">
        <v>215</v>
      </c>
      <c r="P40" t="s">
        <v>216</v>
      </c>
      <c r="Q40" t="s">
        <v>385</v>
      </c>
      <c r="R40" s="13">
        <v>532.39919999999995</v>
      </c>
      <c r="S40">
        <v>3</v>
      </c>
      <c r="T40" s="14">
        <v>0.32</v>
      </c>
      <c r="U40" s="13">
        <v>-46.976399999999998</v>
      </c>
      <c r="V40">
        <f t="shared" si="0"/>
        <v>2015</v>
      </c>
      <c r="W40" t="str">
        <f t="shared" si="1"/>
        <v>Dec</v>
      </c>
      <c r="X40" t="str">
        <f t="shared" si="2"/>
        <v>Q4</v>
      </c>
      <c r="Y40" t="str">
        <f t="shared" si="3"/>
        <v>Sun</v>
      </c>
      <c r="Z40" s="16">
        <f t="shared" si="4"/>
        <v>4</v>
      </c>
      <c r="AA40" s="13">
        <f t="shared" si="5"/>
        <v>177.46639999999999</v>
      </c>
      <c r="AB40" s="14">
        <f t="shared" si="6"/>
        <v>-8.8235294117647065E-2</v>
      </c>
      <c r="AC40" t="str">
        <f t="shared" si="7"/>
        <v>Medium (21-40%)</v>
      </c>
      <c r="AD40" t="str">
        <f t="shared" si="8"/>
        <v>Premium ($500+)</v>
      </c>
      <c r="AE40" t="str">
        <f t="shared" si="9"/>
        <v>Medium (3-5 units)</v>
      </c>
      <c r="AF40" t="str">
        <f t="shared" si="10"/>
        <v>Loss-Making</v>
      </c>
      <c r="AG40" t="str">
        <f t="shared" si="11"/>
        <v>Underperforming</v>
      </c>
      <c r="AH40" t="str">
        <f t="shared" si="12"/>
        <v>Repeat Customer</v>
      </c>
      <c r="AI40" t="str">
        <f t="shared" si="13"/>
        <v>Standard (3-5 days)</v>
      </c>
    </row>
    <row r="41" spans="1:35" ht="15" customHeight="1" x14ac:dyDescent="0.3">
      <c r="A41">
        <v>40</v>
      </c>
      <c r="B41" t="s">
        <v>379</v>
      </c>
      <c r="C41" s="12">
        <v>42365</v>
      </c>
      <c r="D41" s="12">
        <v>42369</v>
      </c>
      <c r="E41" t="s">
        <v>233</v>
      </c>
      <c r="F41" t="s">
        <v>380</v>
      </c>
      <c r="G41" t="s">
        <v>381</v>
      </c>
      <c r="H41" t="s">
        <v>285</v>
      </c>
      <c r="I41" t="s">
        <v>210</v>
      </c>
      <c r="J41" t="s">
        <v>367</v>
      </c>
      <c r="K41" t="s">
        <v>287</v>
      </c>
      <c r="L41">
        <v>77041</v>
      </c>
      <c r="M41" t="s">
        <v>288</v>
      </c>
      <c r="N41" t="s">
        <v>386</v>
      </c>
      <c r="O41" t="s">
        <v>215</v>
      </c>
      <c r="P41" t="s">
        <v>219</v>
      </c>
      <c r="Q41" t="s">
        <v>387</v>
      </c>
      <c r="R41" s="13">
        <v>212.05799999999999</v>
      </c>
      <c r="S41">
        <v>3</v>
      </c>
      <c r="T41" s="14">
        <v>0.3</v>
      </c>
      <c r="U41" s="13">
        <v>-15.147</v>
      </c>
      <c r="V41">
        <f t="shared" si="0"/>
        <v>2015</v>
      </c>
      <c r="W41" t="str">
        <f t="shared" si="1"/>
        <v>Dec</v>
      </c>
      <c r="X41" t="str">
        <f t="shared" si="2"/>
        <v>Q4</v>
      </c>
      <c r="Y41" t="str">
        <f t="shared" si="3"/>
        <v>Sun</v>
      </c>
      <c r="Z41" s="16">
        <f t="shared" si="4"/>
        <v>4</v>
      </c>
      <c r="AA41" s="13">
        <f t="shared" si="5"/>
        <v>70.685999999999993</v>
      </c>
      <c r="AB41" s="14">
        <f t="shared" si="6"/>
        <v>-7.1428571428571438E-2</v>
      </c>
      <c r="AC41" t="str">
        <f t="shared" si="7"/>
        <v>Medium (21-40%)</v>
      </c>
      <c r="AD41" t="str">
        <f t="shared" si="8"/>
        <v>High ($200-$500)</v>
      </c>
      <c r="AE41" t="str">
        <f t="shared" si="9"/>
        <v>Medium (3-5 units)</v>
      </c>
      <c r="AF41" t="str">
        <f t="shared" si="10"/>
        <v>Loss-Making</v>
      </c>
      <c r="AG41" t="str">
        <f t="shared" si="11"/>
        <v>Underperforming</v>
      </c>
      <c r="AH41" t="str">
        <f t="shared" si="12"/>
        <v>Repeat Customer</v>
      </c>
      <c r="AI41" t="str">
        <f t="shared" si="13"/>
        <v>Standard (3-5 days)</v>
      </c>
    </row>
    <row r="42" spans="1:35" ht="15" customHeight="1" x14ac:dyDescent="0.3">
      <c r="A42">
        <v>41</v>
      </c>
      <c r="B42" t="s">
        <v>379</v>
      </c>
      <c r="C42" s="12">
        <v>42365</v>
      </c>
      <c r="D42" s="12">
        <v>42369</v>
      </c>
      <c r="E42" t="s">
        <v>233</v>
      </c>
      <c r="F42" t="s">
        <v>380</v>
      </c>
      <c r="G42" t="s">
        <v>381</v>
      </c>
      <c r="H42" t="s">
        <v>285</v>
      </c>
      <c r="I42" t="s">
        <v>210</v>
      </c>
      <c r="J42" t="s">
        <v>367</v>
      </c>
      <c r="K42" t="s">
        <v>287</v>
      </c>
      <c r="L42">
        <v>77041</v>
      </c>
      <c r="M42" t="s">
        <v>288</v>
      </c>
      <c r="N42" t="s">
        <v>388</v>
      </c>
      <c r="O42" t="s">
        <v>254</v>
      </c>
      <c r="P42" t="s">
        <v>255</v>
      </c>
      <c r="Q42" t="s">
        <v>389</v>
      </c>
      <c r="R42" s="13">
        <v>371.16800000000001</v>
      </c>
      <c r="S42">
        <v>4</v>
      </c>
      <c r="T42" s="14">
        <v>0.2</v>
      </c>
      <c r="U42" s="13">
        <v>41.756399999999999</v>
      </c>
      <c r="V42">
        <f t="shared" si="0"/>
        <v>2015</v>
      </c>
      <c r="W42" t="str">
        <f t="shared" si="1"/>
        <v>Dec</v>
      </c>
      <c r="X42" t="str">
        <f t="shared" si="2"/>
        <v>Q4</v>
      </c>
      <c r="Y42" t="str">
        <f t="shared" si="3"/>
        <v>Sun</v>
      </c>
      <c r="Z42" s="16">
        <f t="shared" si="4"/>
        <v>4</v>
      </c>
      <c r="AA42" s="13">
        <f t="shared" si="5"/>
        <v>92.792000000000002</v>
      </c>
      <c r="AB42" s="14">
        <f t="shared" si="6"/>
        <v>0.1125</v>
      </c>
      <c r="AC42" t="str">
        <f t="shared" si="7"/>
        <v>Low (1-20%)</v>
      </c>
      <c r="AD42" t="str">
        <f t="shared" si="8"/>
        <v>High ($200-$500)</v>
      </c>
      <c r="AE42" t="str">
        <f t="shared" si="9"/>
        <v>Medium (3-5 units)</v>
      </c>
      <c r="AF42" t="str">
        <f t="shared" si="10"/>
        <v>Profitable</v>
      </c>
      <c r="AG42" t="str">
        <f t="shared" si="11"/>
        <v>Healthy Margin</v>
      </c>
      <c r="AH42" t="str">
        <f t="shared" si="12"/>
        <v>Repeat Customer</v>
      </c>
      <c r="AI42" t="str">
        <f t="shared" si="13"/>
        <v>Standard (3-5 days)</v>
      </c>
    </row>
    <row r="43" spans="1:35" ht="15" customHeight="1" x14ac:dyDescent="0.3">
      <c r="A43">
        <v>42</v>
      </c>
      <c r="B43" t="s">
        <v>390</v>
      </c>
      <c r="C43" s="12">
        <v>42988</v>
      </c>
      <c r="D43" s="12">
        <v>42993</v>
      </c>
      <c r="E43" t="s">
        <v>233</v>
      </c>
      <c r="F43" t="s">
        <v>391</v>
      </c>
      <c r="G43" t="s">
        <v>392</v>
      </c>
      <c r="H43" t="s">
        <v>224</v>
      </c>
      <c r="I43" t="s">
        <v>210</v>
      </c>
      <c r="J43" t="s">
        <v>393</v>
      </c>
      <c r="K43" t="s">
        <v>394</v>
      </c>
      <c r="L43">
        <v>60540</v>
      </c>
      <c r="M43" t="s">
        <v>288</v>
      </c>
      <c r="N43" t="s">
        <v>395</v>
      </c>
      <c r="O43" t="s">
        <v>254</v>
      </c>
      <c r="P43" t="s">
        <v>255</v>
      </c>
      <c r="Q43" t="s">
        <v>396</v>
      </c>
      <c r="R43" s="13">
        <v>147.16800000000001</v>
      </c>
      <c r="S43">
        <v>4</v>
      </c>
      <c r="T43" s="14">
        <v>0.2</v>
      </c>
      <c r="U43" s="13">
        <v>16.5564</v>
      </c>
      <c r="V43">
        <f t="shared" si="0"/>
        <v>2017</v>
      </c>
      <c r="W43" t="str">
        <f t="shared" si="1"/>
        <v>Sep</v>
      </c>
      <c r="X43" t="str">
        <f t="shared" si="2"/>
        <v>Q3</v>
      </c>
      <c r="Y43" t="str">
        <f t="shared" si="3"/>
        <v>Sun</v>
      </c>
      <c r="Z43" s="16">
        <f t="shared" si="4"/>
        <v>5</v>
      </c>
      <c r="AA43" s="13">
        <f t="shared" si="5"/>
        <v>36.792000000000002</v>
      </c>
      <c r="AB43" s="14">
        <f t="shared" si="6"/>
        <v>0.11249999999999999</v>
      </c>
      <c r="AC43" t="str">
        <f t="shared" si="7"/>
        <v>Low (1-20%)</v>
      </c>
      <c r="AD43" t="str">
        <f t="shared" si="8"/>
        <v>Medium ($50-$200)</v>
      </c>
      <c r="AE43" t="str">
        <f t="shared" si="9"/>
        <v>Medium (3-5 units)</v>
      </c>
      <c r="AF43" t="str">
        <f t="shared" si="10"/>
        <v>Profitable</v>
      </c>
      <c r="AG43" t="str">
        <f t="shared" si="11"/>
        <v>Healthy Margin</v>
      </c>
      <c r="AH43" t="str">
        <f t="shared" si="12"/>
        <v>Single Purchase</v>
      </c>
      <c r="AI43" t="str">
        <f t="shared" si="13"/>
        <v>Standard (3-5 days)</v>
      </c>
    </row>
    <row r="44" spans="1:35" ht="15" customHeight="1" x14ac:dyDescent="0.3">
      <c r="A44">
        <v>43</v>
      </c>
      <c r="B44" t="s">
        <v>397</v>
      </c>
      <c r="C44" s="12">
        <v>42568</v>
      </c>
      <c r="D44" s="12">
        <v>42573</v>
      </c>
      <c r="E44" t="s">
        <v>233</v>
      </c>
      <c r="F44" t="s">
        <v>398</v>
      </c>
      <c r="G44" t="s">
        <v>399</v>
      </c>
      <c r="H44" t="s">
        <v>224</v>
      </c>
      <c r="I44" t="s">
        <v>210</v>
      </c>
      <c r="J44" t="s">
        <v>225</v>
      </c>
      <c r="K44" t="s">
        <v>226</v>
      </c>
      <c r="L44">
        <v>90049</v>
      </c>
      <c r="M44" t="s">
        <v>227</v>
      </c>
      <c r="N44" t="s">
        <v>400</v>
      </c>
      <c r="O44" t="s">
        <v>229</v>
      </c>
      <c r="P44" t="s">
        <v>242</v>
      </c>
      <c r="Q44" t="s">
        <v>401</v>
      </c>
      <c r="R44" s="13">
        <v>77.88</v>
      </c>
      <c r="S44">
        <v>2</v>
      </c>
      <c r="T44" s="14">
        <v>0</v>
      </c>
      <c r="U44" s="13">
        <v>3.8939999999999899</v>
      </c>
      <c r="V44">
        <f t="shared" si="0"/>
        <v>2016</v>
      </c>
      <c r="W44" t="str">
        <f t="shared" si="1"/>
        <v>Jul</v>
      </c>
      <c r="X44" t="str">
        <f t="shared" si="2"/>
        <v>Q3</v>
      </c>
      <c r="Y44" t="str">
        <f t="shared" si="3"/>
        <v>Sun</v>
      </c>
      <c r="Z44" s="16">
        <f t="shared" si="4"/>
        <v>5</v>
      </c>
      <c r="AA44" s="13">
        <f t="shared" si="5"/>
        <v>38.94</v>
      </c>
      <c r="AB44" s="14">
        <f t="shared" si="6"/>
        <v>4.9999999999999871E-2</v>
      </c>
      <c r="AC44" t="str">
        <f t="shared" si="7"/>
        <v>No Discount</v>
      </c>
      <c r="AD44" t="str">
        <f t="shared" si="8"/>
        <v>Medium ($50-$200)</v>
      </c>
      <c r="AE44" t="str">
        <f t="shared" si="9"/>
        <v>Small (1-2 units)</v>
      </c>
      <c r="AF44" t="str">
        <f t="shared" si="10"/>
        <v>Profitable</v>
      </c>
      <c r="AG44" t="str">
        <f t="shared" si="11"/>
        <v>Low Margin</v>
      </c>
      <c r="AH44" t="str">
        <f t="shared" si="12"/>
        <v>Repeat Customer</v>
      </c>
      <c r="AI44" t="str">
        <f t="shared" si="13"/>
        <v>Standard (3-5 days)</v>
      </c>
    </row>
    <row r="45" spans="1:35" ht="15" customHeight="1" x14ac:dyDescent="0.3">
      <c r="A45">
        <v>44</v>
      </c>
      <c r="B45" t="s">
        <v>402</v>
      </c>
      <c r="C45" s="12">
        <v>42997</v>
      </c>
      <c r="D45" s="12">
        <v>43001</v>
      </c>
      <c r="E45" t="s">
        <v>233</v>
      </c>
      <c r="F45" t="s">
        <v>403</v>
      </c>
      <c r="G45" t="s">
        <v>404</v>
      </c>
      <c r="H45" t="s">
        <v>224</v>
      </c>
      <c r="I45" t="s">
        <v>210</v>
      </c>
      <c r="J45" t="s">
        <v>405</v>
      </c>
      <c r="K45" t="s">
        <v>237</v>
      </c>
      <c r="L45">
        <v>32935</v>
      </c>
      <c r="M45" t="s">
        <v>213</v>
      </c>
      <c r="N45" t="s">
        <v>406</v>
      </c>
      <c r="O45" t="s">
        <v>229</v>
      </c>
      <c r="P45" t="s">
        <v>242</v>
      </c>
      <c r="Q45" t="s">
        <v>407</v>
      </c>
      <c r="R45" s="13">
        <v>95.616</v>
      </c>
      <c r="S45">
        <v>2</v>
      </c>
      <c r="T45" s="14">
        <v>0.2</v>
      </c>
      <c r="U45" s="13">
        <v>9.5616000000000092</v>
      </c>
      <c r="V45">
        <f t="shared" si="0"/>
        <v>2017</v>
      </c>
      <c r="W45" t="str">
        <f t="shared" si="1"/>
        <v>Sep</v>
      </c>
      <c r="X45" t="str">
        <f t="shared" si="2"/>
        <v>Q3</v>
      </c>
      <c r="Y45" t="str">
        <f t="shared" si="3"/>
        <v>Tue</v>
      </c>
      <c r="Z45" s="16">
        <f t="shared" si="4"/>
        <v>4</v>
      </c>
      <c r="AA45" s="13">
        <f t="shared" si="5"/>
        <v>47.808</v>
      </c>
      <c r="AB45" s="14">
        <f t="shared" si="6"/>
        <v>0.1000000000000001</v>
      </c>
      <c r="AC45" t="str">
        <f t="shared" si="7"/>
        <v>Low (1-20%)</v>
      </c>
      <c r="AD45" t="str">
        <f t="shared" si="8"/>
        <v>Medium ($50-$200)</v>
      </c>
      <c r="AE45" t="str">
        <f t="shared" si="9"/>
        <v>Small (1-2 units)</v>
      </c>
      <c r="AF45" t="str">
        <f t="shared" si="10"/>
        <v>Profitable</v>
      </c>
      <c r="AG45" t="str">
        <f t="shared" si="11"/>
        <v>Healthy Margin</v>
      </c>
      <c r="AH45" t="str">
        <f t="shared" si="12"/>
        <v>Repeat Customer</v>
      </c>
      <c r="AI45" t="str">
        <f t="shared" si="13"/>
        <v>Standard (3-5 days)</v>
      </c>
    </row>
    <row r="46" spans="1:35" ht="15" customHeight="1" x14ac:dyDescent="0.3">
      <c r="A46">
        <v>45</v>
      </c>
      <c r="B46" t="s">
        <v>408</v>
      </c>
      <c r="C46" s="12">
        <v>42440</v>
      </c>
      <c r="D46" s="12">
        <v>42442</v>
      </c>
      <c r="E46" t="s">
        <v>371</v>
      </c>
      <c r="F46" t="s">
        <v>409</v>
      </c>
      <c r="G46" t="s">
        <v>410</v>
      </c>
      <c r="H46" t="s">
        <v>224</v>
      </c>
      <c r="I46" t="s">
        <v>210</v>
      </c>
      <c r="J46" t="s">
        <v>411</v>
      </c>
      <c r="K46" t="s">
        <v>412</v>
      </c>
      <c r="L46">
        <v>55122</v>
      </c>
      <c r="M46" t="s">
        <v>288</v>
      </c>
      <c r="N46" t="s">
        <v>413</v>
      </c>
      <c r="O46" t="s">
        <v>254</v>
      </c>
      <c r="P46" t="s">
        <v>344</v>
      </c>
      <c r="Q46" t="s">
        <v>414</v>
      </c>
      <c r="R46" s="13">
        <v>45.98</v>
      </c>
      <c r="S46">
        <v>2</v>
      </c>
      <c r="T46" s="14">
        <v>0</v>
      </c>
      <c r="U46" s="13">
        <v>19.7714</v>
      </c>
      <c r="V46">
        <f t="shared" si="0"/>
        <v>2016</v>
      </c>
      <c r="W46" t="str">
        <f t="shared" si="1"/>
        <v>Mar</v>
      </c>
      <c r="X46" t="str">
        <f t="shared" si="2"/>
        <v>Q1</v>
      </c>
      <c r="Y46" t="str">
        <f t="shared" si="3"/>
        <v>Fri</v>
      </c>
      <c r="Z46" s="16">
        <f t="shared" si="4"/>
        <v>2</v>
      </c>
      <c r="AA46" s="13">
        <f t="shared" si="5"/>
        <v>22.99</v>
      </c>
      <c r="AB46" s="14">
        <f t="shared" si="6"/>
        <v>0.43000000000000005</v>
      </c>
      <c r="AC46" t="str">
        <f t="shared" si="7"/>
        <v>No Discount</v>
      </c>
      <c r="AD46" t="str">
        <f t="shared" si="8"/>
        <v>Low (&lt;$50)</v>
      </c>
      <c r="AE46" t="str">
        <f t="shared" si="9"/>
        <v>Small (1-2 units)</v>
      </c>
      <c r="AF46" t="str">
        <f t="shared" si="10"/>
        <v>Profitable</v>
      </c>
      <c r="AG46" t="str">
        <f t="shared" si="11"/>
        <v>High Margin</v>
      </c>
      <c r="AH46" t="str">
        <f t="shared" si="12"/>
        <v>Repeat Customer</v>
      </c>
      <c r="AI46" t="str">
        <f t="shared" si="13"/>
        <v>Fast (&lt;=2 days)</v>
      </c>
    </row>
    <row r="47" spans="1:35" ht="15" customHeight="1" x14ac:dyDescent="0.3">
      <c r="A47">
        <v>46</v>
      </c>
      <c r="B47" t="s">
        <v>408</v>
      </c>
      <c r="C47" s="12">
        <v>42440</v>
      </c>
      <c r="D47" s="12">
        <v>42442</v>
      </c>
      <c r="E47" t="s">
        <v>371</v>
      </c>
      <c r="F47" t="s">
        <v>409</v>
      </c>
      <c r="G47" t="s">
        <v>410</v>
      </c>
      <c r="H47" t="s">
        <v>224</v>
      </c>
      <c r="I47" t="s">
        <v>210</v>
      </c>
      <c r="J47" t="s">
        <v>411</v>
      </c>
      <c r="K47" t="s">
        <v>412</v>
      </c>
      <c r="L47">
        <v>55122</v>
      </c>
      <c r="M47" t="s">
        <v>288</v>
      </c>
      <c r="N47" t="s">
        <v>415</v>
      </c>
      <c r="O47" t="s">
        <v>229</v>
      </c>
      <c r="P47" t="s">
        <v>258</v>
      </c>
      <c r="Q47" t="s">
        <v>416</v>
      </c>
      <c r="R47" s="13">
        <v>17.46</v>
      </c>
      <c r="S47">
        <v>2</v>
      </c>
      <c r="T47" s="14">
        <v>0</v>
      </c>
      <c r="U47" s="13">
        <v>8.2062000000000008</v>
      </c>
      <c r="V47">
        <f t="shared" si="0"/>
        <v>2016</v>
      </c>
      <c r="W47" t="str">
        <f t="shared" si="1"/>
        <v>Mar</v>
      </c>
      <c r="X47" t="str">
        <f t="shared" si="2"/>
        <v>Q1</v>
      </c>
      <c r="Y47" t="str">
        <f t="shared" si="3"/>
        <v>Fri</v>
      </c>
      <c r="Z47" s="16">
        <f t="shared" si="4"/>
        <v>2</v>
      </c>
      <c r="AA47" s="13">
        <f t="shared" si="5"/>
        <v>8.73</v>
      </c>
      <c r="AB47" s="14">
        <f t="shared" si="6"/>
        <v>0.47000000000000003</v>
      </c>
      <c r="AC47" t="str">
        <f t="shared" si="7"/>
        <v>No Discount</v>
      </c>
      <c r="AD47" t="str">
        <f t="shared" si="8"/>
        <v>Low (&lt;$50)</v>
      </c>
      <c r="AE47" t="str">
        <f t="shared" si="9"/>
        <v>Small (1-2 units)</v>
      </c>
      <c r="AF47" t="str">
        <f t="shared" si="10"/>
        <v>Profitable</v>
      </c>
      <c r="AG47" t="str">
        <f t="shared" si="11"/>
        <v>High Margin</v>
      </c>
      <c r="AH47" t="str">
        <f t="shared" si="12"/>
        <v>Repeat Customer</v>
      </c>
      <c r="AI47" t="str">
        <f t="shared" si="13"/>
        <v>Fast (&lt;=2 days)</v>
      </c>
    </row>
    <row r="48" spans="1:35" ht="15" customHeight="1" x14ac:dyDescent="0.3">
      <c r="A48">
        <v>47</v>
      </c>
      <c r="B48" t="s">
        <v>417</v>
      </c>
      <c r="C48" s="12">
        <v>41932</v>
      </c>
      <c r="D48" s="12">
        <v>41937</v>
      </c>
      <c r="E48" t="s">
        <v>206</v>
      </c>
      <c r="F48" t="s">
        <v>418</v>
      </c>
      <c r="G48" t="s">
        <v>419</v>
      </c>
      <c r="H48" t="s">
        <v>209</v>
      </c>
      <c r="I48" t="s">
        <v>210</v>
      </c>
      <c r="J48" t="s">
        <v>420</v>
      </c>
      <c r="K48" t="s">
        <v>421</v>
      </c>
      <c r="L48">
        <v>48185</v>
      </c>
      <c r="M48" t="s">
        <v>288</v>
      </c>
      <c r="N48" t="s">
        <v>422</v>
      </c>
      <c r="O48" t="s">
        <v>229</v>
      </c>
      <c r="P48" t="s">
        <v>242</v>
      </c>
      <c r="Q48" t="s">
        <v>423</v>
      </c>
      <c r="R48" s="13">
        <v>211.96</v>
      </c>
      <c r="S48">
        <v>4</v>
      </c>
      <c r="T48" s="14">
        <v>0</v>
      </c>
      <c r="U48" s="13">
        <v>8.4783999999999899</v>
      </c>
      <c r="V48">
        <f t="shared" si="0"/>
        <v>2014</v>
      </c>
      <c r="W48" t="str">
        <f t="shared" si="1"/>
        <v>Oct</v>
      </c>
      <c r="X48" t="str">
        <f t="shared" si="2"/>
        <v>Q4</v>
      </c>
      <c r="Y48" t="str">
        <f t="shared" si="3"/>
        <v>Mon</v>
      </c>
      <c r="Z48" s="16">
        <f t="shared" si="4"/>
        <v>5</v>
      </c>
      <c r="AA48" s="13">
        <f t="shared" si="5"/>
        <v>52.99</v>
      </c>
      <c r="AB48" s="14">
        <f t="shared" si="6"/>
        <v>3.9999999999999952E-2</v>
      </c>
      <c r="AC48" t="str">
        <f t="shared" si="7"/>
        <v>No Discount</v>
      </c>
      <c r="AD48" t="str">
        <f t="shared" si="8"/>
        <v>High ($200-$500)</v>
      </c>
      <c r="AE48" t="str">
        <f t="shared" si="9"/>
        <v>Medium (3-5 units)</v>
      </c>
      <c r="AF48" t="str">
        <f t="shared" si="10"/>
        <v>Profitable</v>
      </c>
      <c r="AG48" t="str">
        <f t="shared" si="11"/>
        <v>Low Margin</v>
      </c>
      <c r="AH48" t="str">
        <f t="shared" si="12"/>
        <v>Repeat Customer</v>
      </c>
      <c r="AI48" t="str">
        <f t="shared" si="13"/>
        <v>Standard (3-5 days)</v>
      </c>
    </row>
    <row r="49" spans="1:35" ht="15" customHeight="1" x14ac:dyDescent="0.3">
      <c r="A49">
        <v>48</v>
      </c>
      <c r="B49" t="s">
        <v>424</v>
      </c>
      <c r="C49" s="12">
        <v>42541</v>
      </c>
      <c r="D49" s="12">
        <v>42546</v>
      </c>
      <c r="E49" t="s">
        <v>233</v>
      </c>
      <c r="F49" t="s">
        <v>425</v>
      </c>
      <c r="G49" t="s">
        <v>426</v>
      </c>
      <c r="H49" t="s">
        <v>209</v>
      </c>
      <c r="I49" t="s">
        <v>210</v>
      </c>
      <c r="J49" t="s">
        <v>427</v>
      </c>
      <c r="K49" t="s">
        <v>428</v>
      </c>
      <c r="L49">
        <v>19901</v>
      </c>
      <c r="M49" t="s">
        <v>331</v>
      </c>
      <c r="N49" t="s">
        <v>429</v>
      </c>
      <c r="O49" t="s">
        <v>254</v>
      </c>
      <c r="P49" t="s">
        <v>344</v>
      </c>
      <c r="Q49" t="s">
        <v>430</v>
      </c>
      <c r="R49" s="13">
        <v>45</v>
      </c>
      <c r="S49">
        <v>3</v>
      </c>
      <c r="T49" s="14">
        <v>0</v>
      </c>
      <c r="U49" s="13">
        <v>4.95</v>
      </c>
      <c r="V49">
        <f t="shared" si="0"/>
        <v>2016</v>
      </c>
      <c r="W49" t="str">
        <f t="shared" si="1"/>
        <v>Jun</v>
      </c>
      <c r="X49" t="str">
        <f t="shared" si="2"/>
        <v>Q2</v>
      </c>
      <c r="Y49" t="str">
        <f t="shared" si="3"/>
        <v>Mon</v>
      </c>
      <c r="Z49" s="16">
        <f t="shared" si="4"/>
        <v>5</v>
      </c>
      <c r="AA49" s="13">
        <f t="shared" si="5"/>
        <v>15</v>
      </c>
      <c r="AB49" s="14">
        <f t="shared" si="6"/>
        <v>0.11</v>
      </c>
      <c r="AC49" t="str">
        <f t="shared" si="7"/>
        <v>No Discount</v>
      </c>
      <c r="AD49" t="str">
        <f t="shared" si="8"/>
        <v>Low (&lt;$50)</v>
      </c>
      <c r="AE49" t="str">
        <f t="shared" si="9"/>
        <v>Medium (3-5 units)</v>
      </c>
      <c r="AF49" t="str">
        <f t="shared" si="10"/>
        <v>Profitable</v>
      </c>
      <c r="AG49" t="str">
        <f t="shared" si="11"/>
        <v>Healthy Margin</v>
      </c>
      <c r="AH49" t="str">
        <f t="shared" si="12"/>
        <v>Repeat Customer</v>
      </c>
      <c r="AI49" t="str">
        <f t="shared" si="13"/>
        <v>Standard (3-5 days)</v>
      </c>
    </row>
    <row r="50" spans="1:35" ht="15" customHeight="1" x14ac:dyDescent="0.3">
      <c r="A50">
        <v>49</v>
      </c>
      <c r="B50" t="s">
        <v>424</v>
      </c>
      <c r="C50" s="12">
        <v>42541</v>
      </c>
      <c r="D50" s="12">
        <v>42546</v>
      </c>
      <c r="E50" t="s">
        <v>233</v>
      </c>
      <c r="F50" t="s">
        <v>425</v>
      </c>
      <c r="G50" t="s">
        <v>426</v>
      </c>
      <c r="H50" t="s">
        <v>209</v>
      </c>
      <c r="I50" t="s">
        <v>210</v>
      </c>
      <c r="J50" t="s">
        <v>427</v>
      </c>
      <c r="K50" t="s">
        <v>428</v>
      </c>
      <c r="L50">
        <v>19901</v>
      </c>
      <c r="M50" t="s">
        <v>331</v>
      </c>
      <c r="N50" t="s">
        <v>431</v>
      </c>
      <c r="O50" t="s">
        <v>254</v>
      </c>
      <c r="P50" t="s">
        <v>255</v>
      </c>
      <c r="Q50" t="s">
        <v>432</v>
      </c>
      <c r="R50" s="13">
        <v>21.8</v>
      </c>
      <c r="S50">
        <v>2</v>
      </c>
      <c r="T50" s="14">
        <v>0</v>
      </c>
      <c r="U50" s="13">
        <v>6.1040000000000001</v>
      </c>
      <c r="V50">
        <f t="shared" si="0"/>
        <v>2016</v>
      </c>
      <c r="W50" t="str">
        <f t="shared" si="1"/>
        <v>Jun</v>
      </c>
      <c r="X50" t="str">
        <f t="shared" si="2"/>
        <v>Q2</v>
      </c>
      <c r="Y50" t="str">
        <f t="shared" si="3"/>
        <v>Mon</v>
      </c>
      <c r="Z50" s="16">
        <f t="shared" si="4"/>
        <v>5</v>
      </c>
      <c r="AA50" s="13">
        <f t="shared" si="5"/>
        <v>10.9</v>
      </c>
      <c r="AB50" s="14">
        <f t="shared" si="6"/>
        <v>0.27999999999999997</v>
      </c>
      <c r="AC50" t="str">
        <f t="shared" si="7"/>
        <v>No Discount</v>
      </c>
      <c r="AD50" t="str">
        <f t="shared" si="8"/>
        <v>Low (&lt;$50)</v>
      </c>
      <c r="AE50" t="str">
        <f t="shared" si="9"/>
        <v>Small (1-2 units)</v>
      </c>
      <c r="AF50" t="str">
        <f t="shared" si="10"/>
        <v>Profitable</v>
      </c>
      <c r="AG50" t="str">
        <f t="shared" si="11"/>
        <v>High Margin</v>
      </c>
      <c r="AH50" t="str">
        <f t="shared" si="12"/>
        <v>Repeat Customer</v>
      </c>
      <c r="AI50" t="str">
        <f t="shared" si="13"/>
        <v>Standard (3-5 days)</v>
      </c>
    </row>
    <row r="51" spans="1:35" ht="15" customHeight="1" x14ac:dyDescent="0.3">
      <c r="A51">
        <v>50</v>
      </c>
      <c r="B51" t="s">
        <v>433</v>
      </c>
      <c r="C51" s="12">
        <v>42112</v>
      </c>
      <c r="D51" s="12">
        <v>42116</v>
      </c>
      <c r="E51" t="s">
        <v>233</v>
      </c>
      <c r="F51" t="s">
        <v>434</v>
      </c>
      <c r="G51" t="s">
        <v>435</v>
      </c>
      <c r="H51" t="s">
        <v>209</v>
      </c>
      <c r="I51" t="s">
        <v>210</v>
      </c>
      <c r="J51" t="s">
        <v>436</v>
      </c>
      <c r="K51" t="s">
        <v>437</v>
      </c>
      <c r="L51">
        <v>47150</v>
      </c>
      <c r="M51" t="s">
        <v>288</v>
      </c>
      <c r="N51" t="s">
        <v>438</v>
      </c>
      <c r="O51" t="s">
        <v>229</v>
      </c>
      <c r="P51" t="s">
        <v>258</v>
      </c>
      <c r="Q51" t="s">
        <v>439</v>
      </c>
      <c r="R51" s="13">
        <v>38.22</v>
      </c>
      <c r="S51">
        <v>6</v>
      </c>
      <c r="T51" s="14">
        <v>0</v>
      </c>
      <c r="U51" s="13">
        <v>17.9634</v>
      </c>
      <c r="V51">
        <f t="shared" si="0"/>
        <v>2015</v>
      </c>
      <c r="W51" t="str">
        <f t="shared" si="1"/>
        <v>Apr</v>
      </c>
      <c r="X51" t="str">
        <f t="shared" si="2"/>
        <v>Q2</v>
      </c>
      <c r="Y51" t="str">
        <f t="shared" si="3"/>
        <v>Sat</v>
      </c>
      <c r="Z51" s="16">
        <f t="shared" si="4"/>
        <v>4</v>
      </c>
      <c r="AA51" s="13">
        <f t="shared" si="5"/>
        <v>6.37</v>
      </c>
      <c r="AB51" s="14">
        <f t="shared" si="6"/>
        <v>0.47000000000000003</v>
      </c>
      <c r="AC51" t="str">
        <f t="shared" si="7"/>
        <v>No Discount</v>
      </c>
      <c r="AD51" t="str">
        <f t="shared" si="8"/>
        <v>Low (&lt;$50)</v>
      </c>
      <c r="AE51" t="str">
        <f t="shared" si="9"/>
        <v>Large (6+ units)</v>
      </c>
      <c r="AF51" t="str">
        <f t="shared" si="10"/>
        <v>Profitable</v>
      </c>
      <c r="AG51" t="str">
        <f t="shared" si="11"/>
        <v>High Margin</v>
      </c>
      <c r="AH51" t="str">
        <f t="shared" si="12"/>
        <v>Repeat Customer</v>
      </c>
      <c r="AI51" t="str">
        <f t="shared" si="13"/>
        <v>Standard (3-5 days)</v>
      </c>
    </row>
    <row r="52" spans="1:35" ht="15" customHeight="1" x14ac:dyDescent="0.3">
      <c r="A52">
        <v>51</v>
      </c>
      <c r="B52" t="s">
        <v>433</v>
      </c>
      <c r="C52" s="12">
        <v>42112</v>
      </c>
      <c r="D52" s="12">
        <v>42116</v>
      </c>
      <c r="E52" t="s">
        <v>233</v>
      </c>
      <c r="F52" t="s">
        <v>434</v>
      </c>
      <c r="G52" t="s">
        <v>435</v>
      </c>
      <c r="H52" t="s">
        <v>209</v>
      </c>
      <c r="I52" t="s">
        <v>210</v>
      </c>
      <c r="J52" t="s">
        <v>436</v>
      </c>
      <c r="K52" t="s">
        <v>437</v>
      </c>
      <c r="L52">
        <v>47150</v>
      </c>
      <c r="M52" t="s">
        <v>288</v>
      </c>
      <c r="N52" t="s">
        <v>440</v>
      </c>
      <c r="O52" t="s">
        <v>229</v>
      </c>
      <c r="P52" t="s">
        <v>230</v>
      </c>
      <c r="Q52" t="s">
        <v>441</v>
      </c>
      <c r="R52" s="13">
        <v>75.180000000000007</v>
      </c>
      <c r="S52">
        <v>6</v>
      </c>
      <c r="T52" s="14">
        <v>0</v>
      </c>
      <c r="U52" s="13">
        <v>35.334600000000002</v>
      </c>
      <c r="V52">
        <f t="shared" si="0"/>
        <v>2015</v>
      </c>
      <c r="W52" t="str">
        <f t="shared" si="1"/>
        <v>Apr</v>
      </c>
      <c r="X52" t="str">
        <f t="shared" si="2"/>
        <v>Q2</v>
      </c>
      <c r="Y52" t="str">
        <f t="shared" si="3"/>
        <v>Sat</v>
      </c>
      <c r="Z52" s="16">
        <f t="shared" si="4"/>
        <v>4</v>
      </c>
      <c r="AA52" s="13">
        <f t="shared" si="5"/>
        <v>12.530000000000001</v>
      </c>
      <c r="AB52" s="14">
        <f t="shared" si="6"/>
        <v>0.47</v>
      </c>
      <c r="AC52" t="str">
        <f t="shared" si="7"/>
        <v>No Discount</v>
      </c>
      <c r="AD52" t="str">
        <f t="shared" si="8"/>
        <v>Medium ($50-$200)</v>
      </c>
      <c r="AE52" t="str">
        <f t="shared" si="9"/>
        <v>Large (6+ units)</v>
      </c>
      <c r="AF52" t="str">
        <f t="shared" si="10"/>
        <v>Profitable</v>
      </c>
      <c r="AG52" t="str">
        <f t="shared" si="11"/>
        <v>High Margin</v>
      </c>
      <c r="AH52" t="str">
        <f t="shared" si="12"/>
        <v>Repeat Customer</v>
      </c>
      <c r="AI52" t="str">
        <f t="shared" si="13"/>
        <v>Standard (3-5 days)</v>
      </c>
    </row>
    <row r="53" spans="1:35" ht="15" customHeight="1" x14ac:dyDescent="0.3">
      <c r="A53">
        <v>52</v>
      </c>
      <c r="B53" t="s">
        <v>433</v>
      </c>
      <c r="C53" s="12">
        <v>42112</v>
      </c>
      <c r="D53" s="12">
        <v>42116</v>
      </c>
      <c r="E53" t="s">
        <v>233</v>
      </c>
      <c r="F53" t="s">
        <v>434</v>
      </c>
      <c r="G53" t="s">
        <v>435</v>
      </c>
      <c r="H53" t="s">
        <v>209</v>
      </c>
      <c r="I53" t="s">
        <v>210</v>
      </c>
      <c r="J53" t="s">
        <v>436</v>
      </c>
      <c r="K53" t="s">
        <v>437</v>
      </c>
      <c r="L53">
        <v>47150</v>
      </c>
      <c r="M53" t="s">
        <v>288</v>
      </c>
      <c r="N53" t="s">
        <v>442</v>
      </c>
      <c r="O53" t="s">
        <v>215</v>
      </c>
      <c r="P53" t="s">
        <v>248</v>
      </c>
      <c r="Q53" t="s">
        <v>443</v>
      </c>
      <c r="R53" s="13">
        <v>6.16</v>
      </c>
      <c r="S53">
        <v>2</v>
      </c>
      <c r="T53" s="14">
        <v>0</v>
      </c>
      <c r="U53" s="13">
        <v>2.9567999999999999</v>
      </c>
      <c r="V53">
        <f t="shared" si="0"/>
        <v>2015</v>
      </c>
      <c r="W53" t="str">
        <f t="shared" si="1"/>
        <v>Apr</v>
      </c>
      <c r="X53" t="str">
        <f t="shared" si="2"/>
        <v>Q2</v>
      </c>
      <c r="Y53" t="str">
        <f t="shared" si="3"/>
        <v>Sat</v>
      </c>
      <c r="Z53" s="16">
        <f t="shared" si="4"/>
        <v>4</v>
      </c>
      <c r="AA53" s="13">
        <f t="shared" si="5"/>
        <v>3.08</v>
      </c>
      <c r="AB53" s="14">
        <f t="shared" si="6"/>
        <v>0.48</v>
      </c>
      <c r="AC53" t="str">
        <f t="shared" si="7"/>
        <v>No Discount</v>
      </c>
      <c r="AD53" t="str">
        <f t="shared" si="8"/>
        <v>Low (&lt;$50)</v>
      </c>
      <c r="AE53" t="str">
        <f t="shared" si="9"/>
        <v>Small (1-2 units)</v>
      </c>
      <c r="AF53" t="str">
        <f t="shared" si="10"/>
        <v>Profitable</v>
      </c>
      <c r="AG53" t="str">
        <f t="shared" si="11"/>
        <v>High Margin</v>
      </c>
      <c r="AH53" t="str">
        <f t="shared" si="12"/>
        <v>Repeat Customer</v>
      </c>
      <c r="AI53" t="str">
        <f t="shared" si="13"/>
        <v>Standard (3-5 days)</v>
      </c>
    </row>
    <row r="54" spans="1:35" ht="15" customHeight="1" x14ac:dyDescent="0.3">
      <c r="A54">
        <v>53</v>
      </c>
      <c r="B54" t="s">
        <v>433</v>
      </c>
      <c r="C54" s="12">
        <v>42112</v>
      </c>
      <c r="D54" s="12">
        <v>42116</v>
      </c>
      <c r="E54" t="s">
        <v>233</v>
      </c>
      <c r="F54" t="s">
        <v>434</v>
      </c>
      <c r="G54" t="s">
        <v>435</v>
      </c>
      <c r="H54" t="s">
        <v>209</v>
      </c>
      <c r="I54" t="s">
        <v>210</v>
      </c>
      <c r="J54" t="s">
        <v>436</v>
      </c>
      <c r="K54" t="s">
        <v>437</v>
      </c>
      <c r="L54">
        <v>47150</v>
      </c>
      <c r="M54" t="s">
        <v>288</v>
      </c>
      <c r="N54" t="s">
        <v>444</v>
      </c>
      <c r="O54" t="s">
        <v>215</v>
      </c>
      <c r="P54" t="s">
        <v>219</v>
      </c>
      <c r="Q54" t="s">
        <v>445</v>
      </c>
      <c r="R54" s="13">
        <v>89.99</v>
      </c>
      <c r="S54">
        <v>1</v>
      </c>
      <c r="T54" s="14">
        <v>0</v>
      </c>
      <c r="U54" s="13">
        <v>17.098099999999999</v>
      </c>
      <c r="V54">
        <f t="shared" si="0"/>
        <v>2015</v>
      </c>
      <c r="W54" t="str">
        <f t="shared" si="1"/>
        <v>Apr</v>
      </c>
      <c r="X54" t="str">
        <f t="shared" si="2"/>
        <v>Q2</v>
      </c>
      <c r="Y54" t="str">
        <f t="shared" si="3"/>
        <v>Sat</v>
      </c>
      <c r="Z54" s="16">
        <f t="shared" si="4"/>
        <v>4</v>
      </c>
      <c r="AA54" s="13">
        <f t="shared" si="5"/>
        <v>89.99</v>
      </c>
      <c r="AB54" s="14">
        <f t="shared" si="6"/>
        <v>0.19</v>
      </c>
      <c r="AC54" t="str">
        <f t="shared" si="7"/>
        <v>No Discount</v>
      </c>
      <c r="AD54" t="str">
        <f t="shared" si="8"/>
        <v>Medium ($50-$200)</v>
      </c>
      <c r="AE54" t="str">
        <f t="shared" si="9"/>
        <v>Small (1-2 units)</v>
      </c>
      <c r="AF54" t="str">
        <f t="shared" si="10"/>
        <v>Profitable</v>
      </c>
      <c r="AG54" t="str">
        <f t="shared" si="11"/>
        <v>Healthy Margin</v>
      </c>
      <c r="AH54" t="str">
        <f t="shared" si="12"/>
        <v>Repeat Customer</v>
      </c>
      <c r="AI54" t="str">
        <f t="shared" si="13"/>
        <v>Standard (3-5 days)</v>
      </c>
    </row>
    <row r="55" spans="1:35" ht="15" customHeight="1" x14ac:dyDescent="0.3">
      <c r="A55">
        <v>54</v>
      </c>
      <c r="B55" t="s">
        <v>446</v>
      </c>
      <c r="C55" s="12">
        <v>42715</v>
      </c>
      <c r="D55" s="12">
        <v>42721</v>
      </c>
      <c r="E55" t="s">
        <v>233</v>
      </c>
      <c r="F55" t="s">
        <v>447</v>
      </c>
      <c r="G55" t="s">
        <v>448</v>
      </c>
      <c r="H55" t="s">
        <v>224</v>
      </c>
      <c r="I55" t="s">
        <v>210</v>
      </c>
      <c r="J55" t="s">
        <v>449</v>
      </c>
      <c r="K55" t="s">
        <v>450</v>
      </c>
      <c r="L55">
        <v>10024</v>
      </c>
      <c r="M55" t="s">
        <v>331</v>
      </c>
      <c r="N55" t="s">
        <v>451</v>
      </c>
      <c r="O55" t="s">
        <v>229</v>
      </c>
      <c r="P55" t="s">
        <v>452</v>
      </c>
      <c r="Q55" t="s">
        <v>453</v>
      </c>
      <c r="R55" s="13">
        <v>15.26</v>
      </c>
      <c r="S55">
        <v>7</v>
      </c>
      <c r="T55" s="14">
        <v>0</v>
      </c>
      <c r="U55" s="13">
        <v>6.2565999999999997</v>
      </c>
      <c r="V55">
        <f t="shared" si="0"/>
        <v>2016</v>
      </c>
      <c r="W55" t="str">
        <f t="shared" si="1"/>
        <v>Dec</v>
      </c>
      <c r="X55" t="str">
        <f t="shared" si="2"/>
        <v>Q4</v>
      </c>
      <c r="Y55" t="str">
        <f t="shared" si="3"/>
        <v>Sun</v>
      </c>
      <c r="Z55" s="16">
        <f t="shared" si="4"/>
        <v>6</v>
      </c>
      <c r="AA55" s="13">
        <f t="shared" si="5"/>
        <v>2.1800000000000002</v>
      </c>
      <c r="AB55" s="14">
        <f t="shared" si="6"/>
        <v>0.41</v>
      </c>
      <c r="AC55" t="str">
        <f t="shared" si="7"/>
        <v>No Discount</v>
      </c>
      <c r="AD55" t="str">
        <f t="shared" si="8"/>
        <v>Low (&lt;$50)</v>
      </c>
      <c r="AE55" t="str">
        <f t="shared" si="9"/>
        <v>Large (6+ units)</v>
      </c>
      <c r="AF55" t="str">
        <f t="shared" si="10"/>
        <v>Profitable</v>
      </c>
      <c r="AG55" t="str">
        <f t="shared" si="11"/>
        <v>High Margin</v>
      </c>
      <c r="AH55" t="str">
        <f t="shared" si="12"/>
        <v>Repeat Customer</v>
      </c>
      <c r="AI55" t="str">
        <f t="shared" si="13"/>
        <v>Slow (6+ days)</v>
      </c>
    </row>
    <row r="56" spans="1:35" ht="15" customHeight="1" x14ac:dyDescent="0.3">
      <c r="A56">
        <v>55</v>
      </c>
      <c r="B56" t="s">
        <v>446</v>
      </c>
      <c r="C56" s="12">
        <v>42715</v>
      </c>
      <c r="D56" s="12">
        <v>42721</v>
      </c>
      <c r="E56" t="s">
        <v>233</v>
      </c>
      <c r="F56" t="s">
        <v>447</v>
      </c>
      <c r="G56" t="s">
        <v>448</v>
      </c>
      <c r="H56" t="s">
        <v>224</v>
      </c>
      <c r="I56" t="s">
        <v>210</v>
      </c>
      <c r="J56" t="s">
        <v>449</v>
      </c>
      <c r="K56" t="s">
        <v>450</v>
      </c>
      <c r="L56">
        <v>10024</v>
      </c>
      <c r="M56" t="s">
        <v>331</v>
      </c>
      <c r="N56" t="s">
        <v>454</v>
      </c>
      <c r="O56" t="s">
        <v>254</v>
      </c>
      <c r="P56" t="s">
        <v>255</v>
      </c>
      <c r="Q56" t="s">
        <v>455</v>
      </c>
      <c r="R56" s="13">
        <v>1029.95</v>
      </c>
      <c r="S56">
        <v>5</v>
      </c>
      <c r="T56" s="14">
        <v>0</v>
      </c>
      <c r="U56" s="13">
        <v>298.68549999999999</v>
      </c>
      <c r="V56">
        <f t="shared" si="0"/>
        <v>2016</v>
      </c>
      <c r="W56" t="str">
        <f t="shared" si="1"/>
        <v>Dec</v>
      </c>
      <c r="X56" t="str">
        <f t="shared" si="2"/>
        <v>Q4</v>
      </c>
      <c r="Y56" t="str">
        <f t="shared" si="3"/>
        <v>Sun</v>
      </c>
      <c r="Z56" s="16">
        <f t="shared" si="4"/>
        <v>6</v>
      </c>
      <c r="AA56" s="13">
        <f t="shared" si="5"/>
        <v>205.99</v>
      </c>
      <c r="AB56" s="14">
        <f t="shared" si="6"/>
        <v>0.28999999999999998</v>
      </c>
      <c r="AC56" t="str">
        <f t="shared" si="7"/>
        <v>No Discount</v>
      </c>
      <c r="AD56" t="str">
        <f t="shared" si="8"/>
        <v>Premium ($500+)</v>
      </c>
      <c r="AE56" t="str">
        <f t="shared" si="9"/>
        <v>Medium (3-5 units)</v>
      </c>
      <c r="AF56" t="str">
        <f t="shared" si="10"/>
        <v>Profitable</v>
      </c>
      <c r="AG56" t="str">
        <f t="shared" si="11"/>
        <v>High Margin</v>
      </c>
      <c r="AH56" t="str">
        <f t="shared" si="12"/>
        <v>Repeat Customer</v>
      </c>
      <c r="AI56" t="str">
        <f t="shared" si="13"/>
        <v>Slow (6+ days)</v>
      </c>
    </row>
    <row r="57" spans="1:35" ht="15" customHeight="1" x14ac:dyDescent="0.3">
      <c r="A57">
        <v>56</v>
      </c>
      <c r="B57" t="s">
        <v>456</v>
      </c>
      <c r="C57" s="12">
        <v>42538</v>
      </c>
      <c r="D57" s="12">
        <v>42539</v>
      </c>
      <c r="E57" t="s">
        <v>371</v>
      </c>
      <c r="F57" t="s">
        <v>457</v>
      </c>
      <c r="G57" t="s">
        <v>458</v>
      </c>
      <c r="H57" t="s">
        <v>209</v>
      </c>
      <c r="I57" t="s">
        <v>210</v>
      </c>
      <c r="J57" t="s">
        <v>459</v>
      </c>
      <c r="K57" t="s">
        <v>450</v>
      </c>
      <c r="L57">
        <v>12180</v>
      </c>
      <c r="M57" t="s">
        <v>331</v>
      </c>
      <c r="N57" t="s">
        <v>460</v>
      </c>
      <c r="O57" t="s">
        <v>229</v>
      </c>
      <c r="P57" t="s">
        <v>242</v>
      </c>
      <c r="Q57" t="s">
        <v>461</v>
      </c>
      <c r="R57" s="13">
        <v>208.56</v>
      </c>
      <c r="S57">
        <v>6</v>
      </c>
      <c r="T57" s="14">
        <v>0</v>
      </c>
      <c r="U57" s="13">
        <v>52.14</v>
      </c>
      <c r="V57">
        <f t="shared" si="0"/>
        <v>2016</v>
      </c>
      <c r="W57" t="str">
        <f t="shared" si="1"/>
        <v>Jun</v>
      </c>
      <c r="X57" t="str">
        <f t="shared" si="2"/>
        <v>Q2</v>
      </c>
      <c r="Y57" t="str">
        <f t="shared" si="3"/>
        <v>Fri</v>
      </c>
      <c r="Z57" s="16">
        <f t="shared" si="4"/>
        <v>1</v>
      </c>
      <c r="AA57" s="13">
        <f t="shared" si="5"/>
        <v>34.76</v>
      </c>
      <c r="AB57" s="14">
        <f t="shared" si="6"/>
        <v>0.25</v>
      </c>
      <c r="AC57" t="str">
        <f t="shared" si="7"/>
        <v>No Discount</v>
      </c>
      <c r="AD57" t="str">
        <f t="shared" si="8"/>
        <v>High ($200-$500)</v>
      </c>
      <c r="AE57" t="str">
        <f t="shared" si="9"/>
        <v>Large (6+ units)</v>
      </c>
      <c r="AF57" t="str">
        <f t="shared" si="10"/>
        <v>Profitable</v>
      </c>
      <c r="AG57" t="str">
        <f t="shared" si="11"/>
        <v>High Margin</v>
      </c>
      <c r="AH57" t="str">
        <f t="shared" si="12"/>
        <v>Repeat Customer</v>
      </c>
      <c r="AI57" t="str">
        <f t="shared" si="13"/>
        <v>Fast (&lt;=2 days)</v>
      </c>
    </row>
    <row r="58" spans="1:35" ht="15" customHeight="1" x14ac:dyDescent="0.3">
      <c r="A58">
        <v>57</v>
      </c>
      <c r="B58" t="s">
        <v>456</v>
      </c>
      <c r="C58" s="12">
        <v>42538</v>
      </c>
      <c r="D58" s="12">
        <v>42539</v>
      </c>
      <c r="E58" t="s">
        <v>371</v>
      </c>
      <c r="F58" t="s">
        <v>457</v>
      </c>
      <c r="G58" t="s">
        <v>458</v>
      </c>
      <c r="H58" t="s">
        <v>209</v>
      </c>
      <c r="I58" t="s">
        <v>210</v>
      </c>
      <c r="J58" t="s">
        <v>459</v>
      </c>
      <c r="K58" t="s">
        <v>450</v>
      </c>
      <c r="L58">
        <v>12180</v>
      </c>
      <c r="M58" t="s">
        <v>331</v>
      </c>
      <c r="N58" t="s">
        <v>462</v>
      </c>
      <c r="O58" t="s">
        <v>229</v>
      </c>
      <c r="P58" t="s">
        <v>273</v>
      </c>
      <c r="Q58" t="s">
        <v>463</v>
      </c>
      <c r="R58" s="13">
        <v>32.4</v>
      </c>
      <c r="S58">
        <v>5</v>
      </c>
      <c r="T58" s="14">
        <v>0</v>
      </c>
      <c r="U58" s="13">
        <v>15.552</v>
      </c>
      <c r="V58">
        <f t="shared" si="0"/>
        <v>2016</v>
      </c>
      <c r="W58" t="str">
        <f t="shared" si="1"/>
        <v>Jun</v>
      </c>
      <c r="X58" t="str">
        <f t="shared" si="2"/>
        <v>Q2</v>
      </c>
      <c r="Y58" t="str">
        <f t="shared" si="3"/>
        <v>Fri</v>
      </c>
      <c r="Z58" s="16">
        <f t="shared" si="4"/>
        <v>1</v>
      </c>
      <c r="AA58" s="13">
        <f t="shared" si="5"/>
        <v>6.4799999999999995</v>
      </c>
      <c r="AB58" s="14">
        <f t="shared" si="6"/>
        <v>0.48</v>
      </c>
      <c r="AC58" t="str">
        <f t="shared" si="7"/>
        <v>No Discount</v>
      </c>
      <c r="AD58" t="str">
        <f t="shared" si="8"/>
        <v>Low (&lt;$50)</v>
      </c>
      <c r="AE58" t="str">
        <f t="shared" si="9"/>
        <v>Medium (3-5 units)</v>
      </c>
      <c r="AF58" t="str">
        <f t="shared" si="10"/>
        <v>Profitable</v>
      </c>
      <c r="AG58" t="str">
        <f t="shared" si="11"/>
        <v>High Margin</v>
      </c>
      <c r="AH58" t="str">
        <f t="shared" si="12"/>
        <v>Repeat Customer</v>
      </c>
      <c r="AI58" t="str">
        <f t="shared" si="13"/>
        <v>Fast (&lt;=2 days)</v>
      </c>
    </row>
    <row r="59" spans="1:35" ht="15" customHeight="1" x14ac:dyDescent="0.3">
      <c r="A59">
        <v>58</v>
      </c>
      <c r="B59" t="s">
        <v>456</v>
      </c>
      <c r="C59" s="12">
        <v>42538</v>
      </c>
      <c r="D59" s="12">
        <v>42539</v>
      </c>
      <c r="E59" t="s">
        <v>371</v>
      </c>
      <c r="F59" t="s">
        <v>457</v>
      </c>
      <c r="G59" t="s">
        <v>458</v>
      </c>
      <c r="H59" t="s">
        <v>209</v>
      </c>
      <c r="I59" t="s">
        <v>210</v>
      </c>
      <c r="J59" t="s">
        <v>459</v>
      </c>
      <c r="K59" t="s">
        <v>450</v>
      </c>
      <c r="L59">
        <v>12180</v>
      </c>
      <c r="M59" t="s">
        <v>331</v>
      </c>
      <c r="N59" t="s">
        <v>464</v>
      </c>
      <c r="O59" t="s">
        <v>215</v>
      </c>
      <c r="P59" t="s">
        <v>219</v>
      </c>
      <c r="Q59" t="s">
        <v>465</v>
      </c>
      <c r="R59" s="13">
        <v>319.41000000000003</v>
      </c>
      <c r="S59">
        <v>5</v>
      </c>
      <c r="T59" s="14">
        <v>0.1</v>
      </c>
      <c r="U59" s="13">
        <v>7.0980000000000096</v>
      </c>
      <c r="V59">
        <f t="shared" si="0"/>
        <v>2016</v>
      </c>
      <c r="W59" t="str">
        <f t="shared" si="1"/>
        <v>Jun</v>
      </c>
      <c r="X59" t="str">
        <f t="shared" si="2"/>
        <v>Q2</v>
      </c>
      <c r="Y59" t="str">
        <f t="shared" si="3"/>
        <v>Fri</v>
      </c>
      <c r="Z59" s="16">
        <f t="shared" si="4"/>
        <v>1</v>
      </c>
      <c r="AA59" s="13">
        <f t="shared" si="5"/>
        <v>63.882000000000005</v>
      </c>
      <c r="AB59" s="14">
        <f t="shared" si="6"/>
        <v>2.2222222222222251E-2</v>
      </c>
      <c r="AC59" t="str">
        <f t="shared" si="7"/>
        <v>Low (1-20%)</v>
      </c>
      <c r="AD59" t="str">
        <f t="shared" si="8"/>
        <v>High ($200-$500)</v>
      </c>
      <c r="AE59" t="str">
        <f t="shared" si="9"/>
        <v>Medium (3-5 units)</v>
      </c>
      <c r="AF59" t="str">
        <f t="shared" si="10"/>
        <v>Profitable</v>
      </c>
      <c r="AG59" t="str">
        <f t="shared" si="11"/>
        <v>Low Margin</v>
      </c>
      <c r="AH59" t="str">
        <f t="shared" si="12"/>
        <v>Repeat Customer</v>
      </c>
      <c r="AI59" t="str">
        <f t="shared" si="13"/>
        <v>Fast (&lt;=2 days)</v>
      </c>
    </row>
    <row r="60" spans="1:35" ht="15" customHeight="1" x14ac:dyDescent="0.3">
      <c r="A60">
        <v>59</v>
      </c>
      <c r="B60" t="s">
        <v>456</v>
      </c>
      <c r="C60" s="12">
        <v>42538</v>
      </c>
      <c r="D60" s="12">
        <v>42539</v>
      </c>
      <c r="E60" t="s">
        <v>371</v>
      </c>
      <c r="F60" t="s">
        <v>457</v>
      </c>
      <c r="G60" t="s">
        <v>458</v>
      </c>
      <c r="H60" t="s">
        <v>209</v>
      </c>
      <c r="I60" t="s">
        <v>210</v>
      </c>
      <c r="J60" t="s">
        <v>459</v>
      </c>
      <c r="K60" t="s">
        <v>450</v>
      </c>
      <c r="L60">
        <v>12180</v>
      </c>
      <c r="M60" t="s">
        <v>331</v>
      </c>
      <c r="N60" t="s">
        <v>466</v>
      </c>
      <c r="O60" t="s">
        <v>229</v>
      </c>
      <c r="P60" t="s">
        <v>273</v>
      </c>
      <c r="Q60" t="s">
        <v>467</v>
      </c>
      <c r="R60" s="13">
        <v>14.56</v>
      </c>
      <c r="S60">
        <v>2</v>
      </c>
      <c r="T60" s="14">
        <v>0</v>
      </c>
      <c r="U60" s="13">
        <v>6.9888000000000003</v>
      </c>
      <c r="V60">
        <f t="shared" si="0"/>
        <v>2016</v>
      </c>
      <c r="W60" t="str">
        <f t="shared" si="1"/>
        <v>Jun</v>
      </c>
      <c r="X60" t="str">
        <f t="shared" si="2"/>
        <v>Q2</v>
      </c>
      <c r="Y60" t="str">
        <f t="shared" si="3"/>
        <v>Fri</v>
      </c>
      <c r="Z60" s="16">
        <f t="shared" si="4"/>
        <v>1</v>
      </c>
      <c r="AA60" s="13">
        <f t="shared" si="5"/>
        <v>7.28</v>
      </c>
      <c r="AB60" s="14">
        <f t="shared" si="6"/>
        <v>0.48</v>
      </c>
      <c r="AC60" t="str">
        <f t="shared" si="7"/>
        <v>No Discount</v>
      </c>
      <c r="AD60" t="str">
        <f t="shared" si="8"/>
        <v>Low (&lt;$50)</v>
      </c>
      <c r="AE60" t="str">
        <f t="shared" si="9"/>
        <v>Small (1-2 units)</v>
      </c>
      <c r="AF60" t="str">
        <f t="shared" si="10"/>
        <v>Profitable</v>
      </c>
      <c r="AG60" t="str">
        <f t="shared" si="11"/>
        <v>High Margin</v>
      </c>
      <c r="AH60" t="str">
        <f t="shared" si="12"/>
        <v>Repeat Customer</v>
      </c>
      <c r="AI60" t="str">
        <f t="shared" si="13"/>
        <v>Fast (&lt;=2 days)</v>
      </c>
    </row>
    <row r="61" spans="1:35" ht="15" customHeight="1" x14ac:dyDescent="0.3">
      <c r="A61">
        <v>60</v>
      </c>
      <c r="B61" t="s">
        <v>456</v>
      </c>
      <c r="C61" s="12">
        <v>42538</v>
      </c>
      <c r="D61" s="12">
        <v>42539</v>
      </c>
      <c r="E61" t="s">
        <v>371</v>
      </c>
      <c r="F61" t="s">
        <v>457</v>
      </c>
      <c r="G61" t="s">
        <v>458</v>
      </c>
      <c r="H61" t="s">
        <v>209</v>
      </c>
      <c r="I61" t="s">
        <v>210</v>
      </c>
      <c r="J61" t="s">
        <v>459</v>
      </c>
      <c r="K61" t="s">
        <v>450</v>
      </c>
      <c r="L61">
        <v>12180</v>
      </c>
      <c r="M61" t="s">
        <v>331</v>
      </c>
      <c r="N61" t="s">
        <v>429</v>
      </c>
      <c r="O61" t="s">
        <v>254</v>
      </c>
      <c r="P61" t="s">
        <v>344</v>
      </c>
      <c r="Q61" t="s">
        <v>430</v>
      </c>
      <c r="R61" s="13">
        <v>30</v>
      </c>
      <c r="S61">
        <v>2</v>
      </c>
      <c r="T61" s="14">
        <v>0</v>
      </c>
      <c r="U61" s="13">
        <v>3.3</v>
      </c>
      <c r="V61">
        <f t="shared" si="0"/>
        <v>2016</v>
      </c>
      <c r="W61" t="str">
        <f t="shared" si="1"/>
        <v>Jun</v>
      </c>
      <c r="X61" t="str">
        <f t="shared" si="2"/>
        <v>Q2</v>
      </c>
      <c r="Y61" t="str">
        <f t="shared" si="3"/>
        <v>Fri</v>
      </c>
      <c r="Z61" s="16">
        <f t="shared" si="4"/>
        <v>1</v>
      </c>
      <c r="AA61" s="13">
        <f t="shared" si="5"/>
        <v>15</v>
      </c>
      <c r="AB61" s="14">
        <f t="shared" si="6"/>
        <v>0.11</v>
      </c>
      <c r="AC61" t="str">
        <f t="shared" si="7"/>
        <v>No Discount</v>
      </c>
      <c r="AD61" t="str">
        <f t="shared" si="8"/>
        <v>Low (&lt;$50)</v>
      </c>
      <c r="AE61" t="str">
        <f t="shared" si="9"/>
        <v>Small (1-2 units)</v>
      </c>
      <c r="AF61" t="str">
        <f t="shared" si="10"/>
        <v>Profitable</v>
      </c>
      <c r="AG61" t="str">
        <f t="shared" si="11"/>
        <v>Healthy Margin</v>
      </c>
      <c r="AH61" t="str">
        <f t="shared" si="12"/>
        <v>Repeat Customer</v>
      </c>
      <c r="AI61" t="str">
        <f t="shared" si="13"/>
        <v>Fast (&lt;=2 days)</v>
      </c>
    </row>
    <row r="62" spans="1:35" ht="15" customHeight="1" x14ac:dyDescent="0.3">
      <c r="A62">
        <v>61</v>
      </c>
      <c r="B62" t="s">
        <v>456</v>
      </c>
      <c r="C62" s="12">
        <v>42538</v>
      </c>
      <c r="D62" s="12">
        <v>42539</v>
      </c>
      <c r="E62" t="s">
        <v>371</v>
      </c>
      <c r="F62" t="s">
        <v>457</v>
      </c>
      <c r="G62" t="s">
        <v>458</v>
      </c>
      <c r="H62" t="s">
        <v>209</v>
      </c>
      <c r="I62" t="s">
        <v>210</v>
      </c>
      <c r="J62" t="s">
        <v>459</v>
      </c>
      <c r="K62" t="s">
        <v>450</v>
      </c>
      <c r="L62">
        <v>12180</v>
      </c>
      <c r="M62" t="s">
        <v>331</v>
      </c>
      <c r="N62" t="s">
        <v>468</v>
      </c>
      <c r="O62" t="s">
        <v>229</v>
      </c>
      <c r="P62" t="s">
        <v>258</v>
      </c>
      <c r="Q62" t="s">
        <v>469</v>
      </c>
      <c r="R62" s="13">
        <v>48.48</v>
      </c>
      <c r="S62">
        <v>4</v>
      </c>
      <c r="T62" s="14">
        <v>0.2</v>
      </c>
      <c r="U62" s="13">
        <v>16.361999999999998</v>
      </c>
      <c r="V62">
        <f t="shared" si="0"/>
        <v>2016</v>
      </c>
      <c r="W62" t="str">
        <f t="shared" si="1"/>
        <v>Jun</v>
      </c>
      <c r="X62" t="str">
        <f t="shared" si="2"/>
        <v>Q2</v>
      </c>
      <c r="Y62" t="str">
        <f t="shared" si="3"/>
        <v>Fri</v>
      </c>
      <c r="Z62" s="16">
        <f t="shared" si="4"/>
        <v>1</v>
      </c>
      <c r="AA62" s="13">
        <f t="shared" si="5"/>
        <v>12.12</v>
      </c>
      <c r="AB62" s="14">
        <f t="shared" si="6"/>
        <v>0.33749999999999997</v>
      </c>
      <c r="AC62" t="str">
        <f t="shared" si="7"/>
        <v>Low (1-20%)</v>
      </c>
      <c r="AD62" t="str">
        <f t="shared" si="8"/>
        <v>Low (&lt;$50)</v>
      </c>
      <c r="AE62" t="str">
        <f t="shared" si="9"/>
        <v>Medium (3-5 units)</v>
      </c>
      <c r="AF62" t="str">
        <f t="shared" si="10"/>
        <v>Profitable</v>
      </c>
      <c r="AG62" t="str">
        <f t="shared" si="11"/>
        <v>High Margin</v>
      </c>
      <c r="AH62" t="str">
        <f t="shared" si="12"/>
        <v>Repeat Customer</v>
      </c>
      <c r="AI62" t="str">
        <f t="shared" si="13"/>
        <v>Fast (&lt;=2 days)</v>
      </c>
    </row>
    <row r="63" spans="1:35" ht="15" customHeight="1" x14ac:dyDescent="0.3">
      <c r="A63">
        <v>62</v>
      </c>
      <c r="B63" t="s">
        <v>456</v>
      </c>
      <c r="C63" s="12">
        <v>42538</v>
      </c>
      <c r="D63" s="12">
        <v>42539</v>
      </c>
      <c r="E63" t="s">
        <v>371</v>
      </c>
      <c r="F63" t="s">
        <v>457</v>
      </c>
      <c r="G63" t="s">
        <v>458</v>
      </c>
      <c r="H63" t="s">
        <v>209</v>
      </c>
      <c r="I63" t="s">
        <v>210</v>
      </c>
      <c r="J63" t="s">
        <v>459</v>
      </c>
      <c r="K63" t="s">
        <v>450</v>
      </c>
      <c r="L63">
        <v>12180</v>
      </c>
      <c r="M63" t="s">
        <v>331</v>
      </c>
      <c r="N63" t="s">
        <v>470</v>
      </c>
      <c r="O63" t="s">
        <v>229</v>
      </c>
      <c r="P63" t="s">
        <v>251</v>
      </c>
      <c r="Q63" t="s">
        <v>471</v>
      </c>
      <c r="R63" s="13">
        <v>1.68</v>
      </c>
      <c r="S63">
        <v>1</v>
      </c>
      <c r="T63" s="14">
        <v>0</v>
      </c>
      <c r="U63" s="13">
        <v>0.84</v>
      </c>
      <c r="V63">
        <f t="shared" si="0"/>
        <v>2016</v>
      </c>
      <c r="W63" t="str">
        <f t="shared" si="1"/>
        <v>Jun</v>
      </c>
      <c r="X63" t="str">
        <f t="shared" si="2"/>
        <v>Q2</v>
      </c>
      <c r="Y63" t="str">
        <f t="shared" si="3"/>
        <v>Fri</v>
      </c>
      <c r="Z63" s="16">
        <f t="shared" si="4"/>
        <v>1</v>
      </c>
      <c r="AA63" s="13">
        <f t="shared" si="5"/>
        <v>1.68</v>
      </c>
      <c r="AB63" s="14">
        <f t="shared" si="6"/>
        <v>0.5</v>
      </c>
      <c r="AC63" t="str">
        <f t="shared" si="7"/>
        <v>No Discount</v>
      </c>
      <c r="AD63" t="str">
        <f t="shared" si="8"/>
        <v>Low (&lt;$50)</v>
      </c>
      <c r="AE63" t="str">
        <f t="shared" si="9"/>
        <v>Small (1-2 units)</v>
      </c>
      <c r="AF63" t="str">
        <f t="shared" si="10"/>
        <v>Profitable</v>
      </c>
      <c r="AG63" t="str">
        <f t="shared" si="11"/>
        <v>High Margin</v>
      </c>
      <c r="AH63" t="str">
        <f t="shared" si="12"/>
        <v>Repeat Customer</v>
      </c>
      <c r="AI63" t="str">
        <f t="shared" si="13"/>
        <v>Fast (&lt;=2 days)</v>
      </c>
    </row>
    <row r="64" spans="1:35" ht="15" customHeight="1" x14ac:dyDescent="0.3">
      <c r="A64">
        <v>63</v>
      </c>
      <c r="B64" t="s">
        <v>472</v>
      </c>
      <c r="C64" s="12">
        <v>42332</v>
      </c>
      <c r="D64" s="12">
        <v>42338</v>
      </c>
      <c r="E64" t="s">
        <v>233</v>
      </c>
      <c r="F64" t="s">
        <v>473</v>
      </c>
      <c r="G64" t="s">
        <v>474</v>
      </c>
      <c r="H64" t="s">
        <v>209</v>
      </c>
      <c r="I64" t="s">
        <v>210</v>
      </c>
      <c r="J64" t="s">
        <v>225</v>
      </c>
      <c r="K64" t="s">
        <v>226</v>
      </c>
      <c r="L64">
        <v>90004</v>
      </c>
      <c r="M64" t="s">
        <v>227</v>
      </c>
      <c r="N64" t="s">
        <v>475</v>
      </c>
      <c r="O64" t="s">
        <v>254</v>
      </c>
      <c r="P64" t="s">
        <v>344</v>
      </c>
      <c r="Q64" t="s">
        <v>476</v>
      </c>
      <c r="R64" s="13">
        <v>13.98</v>
      </c>
      <c r="S64">
        <v>2</v>
      </c>
      <c r="T64" s="14">
        <v>0</v>
      </c>
      <c r="U64" s="13">
        <v>6.1512000000000002</v>
      </c>
      <c r="V64">
        <f t="shared" si="0"/>
        <v>2015</v>
      </c>
      <c r="W64" t="str">
        <f t="shared" si="1"/>
        <v>Nov</v>
      </c>
      <c r="X64" t="str">
        <f t="shared" si="2"/>
        <v>Q4</v>
      </c>
      <c r="Y64" t="str">
        <f t="shared" si="3"/>
        <v>Tue</v>
      </c>
      <c r="Z64" s="16">
        <f t="shared" si="4"/>
        <v>6</v>
      </c>
      <c r="AA64" s="13">
        <f t="shared" si="5"/>
        <v>6.99</v>
      </c>
      <c r="AB64" s="14">
        <f t="shared" si="6"/>
        <v>0.44</v>
      </c>
      <c r="AC64" t="str">
        <f t="shared" si="7"/>
        <v>No Discount</v>
      </c>
      <c r="AD64" t="str">
        <f t="shared" si="8"/>
        <v>Low (&lt;$50)</v>
      </c>
      <c r="AE64" t="str">
        <f t="shared" si="9"/>
        <v>Small (1-2 units)</v>
      </c>
      <c r="AF64" t="str">
        <f t="shared" si="10"/>
        <v>Profitable</v>
      </c>
      <c r="AG64" t="str">
        <f t="shared" si="11"/>
        <v>High Margin</v>
      </c>
      <c r="AH64" t="str">
        <f t="shared" si="12"/>
        <v>Repeat Customer</v>
      </c>
      <c r="AI64" t="str">
        <f t="shared" si="13"/>
        <v>Slow (6+ days)</v>
      </c>
    </row>
    <row r="65" spans="1:35" ht="15" customHeight="1" x14ac:dyDescent="0.3">
      <c r="A65">
        <v>64</v>
      </c>
      <c r="B65" t="s">
        <v>472</v>
      </c>
      <c r="C65" s="12">
        <v>42332</v>
      </c>
      <c r="D65" s="12">
        <v>42338</v>
      </c>
      <c r="E65" t="s">
        <v>233</v>
      </c>
      <c r="F65" t="s">
        <v>473</v>
      </c>
      <c r="G65" t="s">
        <v>474</v>
      </c>
      <c r="H65" t="s">
        <v>209</v>
      </c>
      <c r="I65" t="s">
        <v>210</v>
      </c>
      <c r="J65" t="s">
        <v>225</v>
      </c>
      <c r="K65" t="s">
        <v>226</v>
      </c>
      <c r="L65">
        <v>90004</v>
      </c>
      <c r="M65" t="s">
        <v>227</v>
      </c>
      <c r="N65" t="s">
        <v>477</v>
      </c>
      <c r="O65" t="s">
        <v>229</v>
      </c>
      <c r="P65" t="s">
        <v>258</v>
      </c>
      <c r="Q65" t="s">
        <v>478</v>
      </c>
      <c r="R65" s="13">
        <v>25.824000000000002</v>
      </c>
      <c r="S65">
        <v>6</v>
      </c>
      <c r="T65" s="14">
        <v>0.2</v>
      </c>
      <c r="U65" s="13">
        <v>9.3612000000000002</v>
      </c>
      <c r="V65">
        <f t="shared" si="0"/>
        <v>2015</v>
      </c>
      <c r="W65" t="str">
        <f t="shared" si="1"/>
        <v>Nov</v>
      </c>
      <c r="X65" t="str">
        <f t="shared" si="2"/>
        <v>Q4</v>
      </c>
      <c r="Y65" t="str">
        <f t="shared" si="3"/>
        <v>Tue</v>
      </c>
      <c r="Z65" s="16">
        <f t="shared" si="4"/>
        <v>6</v>
      </c>
      <c r="AA65" s="13">
        <f t="shared" si="5"/>
        <v>4.3040000000000003</v>
      </c>
      <c r="AB65" s="14">
        <f t="shared" si="6"/>
        <v>0.36249999999999999</v>
      </c>
      <c r="AC65" t="str">
        <f t="shared" si="7"/>
        <v>Low (1-20%)</v>
      </c>
      <c r="AD65" t="str">
        <f t="shared" si="8"/>
        <v>Low (&lt;$50)</v>
      </c>
      <c r="AE65" t="str">
        <f t="shared" si="9"/>
        <v>Large (6+ units)</v>
      </c>
      <c r="AF65" t="str">
        <f t="shared" si="10"/>
        <v>Profitable</v>
      </c>
      <c r="AG65" t="str">
        <f t="shared" si="11"/>
        <v>High Margin</v>
      </c>
      <c r="AH65" t="str">
        <f t="shared" si="12"/>
        <v>Repeat Customer</v>
      </c>
      <c r="AI65" t="str">
        <f t="shared" si="13"/>
        <v>Slow (6+ days)</v>
      </c>
    </row>
    <row r="66" spans="1:35" ht="15" customHeight="1" x14ac:dyDescent="0.3">
      <c r="A66">
        <v>65</v>
      </c>
      <c r="B66" t="s">
        <v>472</v>
      </c>
      <c r="C66" s="12">
        <v>42332</v>
      </c>
      <c r="D66" s="12">
        <v>42338</v>
      </c>
      <c r="E66" t="s">
        <v>233</v>
      </c>
      <c r="F66" t="s">
        <v>473</v>
      </c>
      <c r="G66" t="s">
        <v>474</v>
      </c>
      <c r="H66" t="s">
        <v>209</v>
      </c>
      <c r="I66" t="s">
        <v>210</v>
      </c>
      <c r="J66" t="s">
        <v>225</v>
      </c>
      <c r="K66" t="s">
        <v>226</v>
      </c>
      <c r="L66">
        <v>90004</v>
      </c>
      <c r="M66" t="s">
        <v>227</v>
      </c>
      <c r="N66" t="s">
        <v>479</v>
      </c>
      <c r="O66" t="s">
        <v>229</v>
      </c>
      <c r="P66" t="s">
        <v>273</v>
      </c>
      <c r="Q66" t="s">
        <v>480</v>
      </c>
      <c r="R66" s="13">
        <v>146.72999999999999</v>
      </c>
      <c r="S66">
        <v>3</v>
      </c>
      <c r="T66" s="14">
        <v>0</v>
      </c>
      <c r="U66" s="13">
        <v>68.963099999999997</v>
      </c>
      <c r="V66">
        <f t="shared" ref="V66:V129" si="14">YEAR(C66)</f>
        <v>2015</v>
      </c>
      <c r="W66" t="str">
        <f t="shared" ref="W66:W129" si="15">TEXT(C66,"mmm")</f>
        <v>Nov</v>
      </c>
      <c r="X66" t="str">
        <f t="shared" ref="X66:X129" si="16">"Q"&amp;ROUNDUP(MONTH(C66)/3,0)</f>
        <v>Q4</v>
      </c>
      <c r="Y66" t="str">
        <f t="shared" ref="Y66:Y129" si="17">TEXT(C66,"ddd")</f>
        <v>Tue</v>
      </c>
      <c r="Z66" s="16">
        <f t="shared" ref="Z66:Z129" si="18">D66-C66</f>
        <v>6</v>
      </c>
      <c r="AA66" s="13">
        <f t="shared" ref="AA66:AA129" si="19">IFERROR(R66/S66,0)</f>
        <v>48.91</v>
      </c>
      <c r="AB66" s="14">
        <f t="shared" ref="AB66:AB129" si="20">IFERROR(U66/R66,0)</f>
        <v>0.47000000000000003</v>
      </c>
      <c r="AC66" t="str">
        <f t="shared" ref="AC66:AC129" si="21">IF(T66=0,"No Discount",IF(T66&lt;=0.2,"Low (1-20%)",IF(T66&lt;=0.4,"Medium (21-40%)","High (40%+)")))</f>
        <v>No Discount</v>
      </c>
      <c r="AD66" t="str">
        <f t="shared" ref="AD66:AD129" si="22">IF(R66&lt;50,"Low (&lt;$50)",IF(R66&lt;200,"Medium ($50-$200)",IF(R66&lt;500,"High ($200-$500)","Premium ($500+)")))</f>
        <v>Medium ($50-$200)</v>
      </c>
      <c r="AE66" t="str">
        <f t="shared" ref="AE66:AE129" si="23">IF(S66&lt;=2,"Small (1-2 units)",IF(S66&lt;=5,"Medium (3-5 units)","Large (6+ units)"))</f>
        <v>Medium (3-5 units)</v>
      </c>
      <c r="AF66" t="str">
        <f t="shared" ref="AF66:AF129" si="24">IF(U66&lt;0,"Loss-Making","Profitable")</f>
        <v>Profitable</v>
      </c>
      <c r="AG66" t="str">
        <f t="shared" ref="AG66:AG129" si="25">IF(AB66&lt;0,"Underperforming",IF(AB66&lt;0.1,"Low Margin",IF(AB66&lt;0.25,"Healthy Margin","High Margin")))</f>
        <v>High Margin</v>
      </c>
      <c r="AH66" t="str">
        <f t="shared" ref="AH66:AH129" si="26">IF(COUNTIF($F$2:$F$1001,F66)&gt;1,"Repeat Customer","Single Purchase")</f>
        <v>Repeat Customer</v>
      </c>
      <c r="AI66" t="str">
        <f t="shared" ref="AI66:AI129" si="27">IF(Z66&lt;=2,"Fast (&lt;=2 days)",IF(Z66&lt;=5,"Standard (3-5 days)","Slow (6+ days)"))</f>
        <v>Slow (6+ days)</v>
      </c>
    </row>
    <row r="67" spans="1:35" ht="15" customHeight="1" x14ac:dyDescent="0.3">
      <c r="A67">
        <v>66</v>
      </c>
      <c r="B67" t="s">
        <v>472</v>
      </c>
      <c r="C67" s="12">
        <v>42332</v>
      </c>
      <c r="D67" s="12">
        <v>42338</v>
      </c>
      <c r="E67" t="s">
        <v>233</v>
      </c>
      <c r="F67" t="s">
        <v>473</v>
      </c>
      <c r="G67" t="s">
        <v>474</v>
      </c>
      <c r="H67" t="s">
        <v>209</v>
      </c>
      <c r="I67" t="s">
        <v>210</v>
      </c>
      <c r="J67" t="s">
        <v>225</v>
      </c>
      <c r="K67" t="s">
        <v>226</v>
      </c>
      <c r="L67">
        <v>90004</v>
      </c>
      <c r="M67" t="s">
        <v>227</v>
      </c>
      <c r="N67" t="s">
        <v>481</v>
      </c>
      <c r="O67" t="s">
        <v>215</v>
      </c>
      <c r="P67" t="s">
        <v>248</v>
      </c>
      <c r="Q67" t="s">
        <v>482</v>
      </c>
      <c r="R67" s="13">
        <v>79.760000000000005</v>
      </c>
      <c r="S67">
        <v>4</v>
      </c>
      <c r="T67" s="14">
        <v>0</v>
      </c>
      <c r="U67" s="13">
        <v>22.332799999999999</v>
      </c>
      <c r="V67">
        <f t="shared" si="14"/>
        <v>2015</v>
      </c>
      <c r="W67" t="str">
        <f t="shared" si="15"/>
        <v>Nov</v>
      </c>
      <c r="X67" t="str">
        <f t="shared" si="16"/>
        <v>Q4</v>
      </c>
      <c r="Y67" t="str">
        <f t="shared" si="17"/>
        <v>Tue</v>
      </c>
      <c r="Z67" s="16">
        <f t="shared" si="18"/>
        <v>6</v>
      </c>
      <c r="AA67" s="13">
        <f t="shared" si="19"/>
        <v>19.940000000000001</v>
      </c>
      <c r="AB67" s="14">
        <f t="shared" si="20"/>
        <v>0.27999999999999997</v>
      </c>
      <c r="AC67" t="str">
        <f t="shared" si="21"/>
        <v>No Discount</v>
      </c>
      <c r="AD67" t="str">
        <f t="shared" si="22"/>
        <v>Medium ($50-$200)</v>
      </c>
      <c r="AE67" t="str">
        <f t="shared" si="23"/>
        <v>Medium (3-5 units)</v>
      </c>
      <c r="AF67" t="str">
        <f t="shared" si="24"/>
        <v>Profitable</v>
      </c>
      <c r="AG67" t="str">
        <f t="shared" si="25"/>
        <v>High Margin</v>
      </c>
      <c r="AH67" t="str">
        <f t="shared" si="26"/>
        <v>Repeat Customer</v>
      </c>
      <c r="AI67" t="str">
        <f t="shared" si="27"/>
        <v>Slow (6+ days)</v>
      </c>
    </row>
    <row r="68" spans="1:35" ht="15" customHeight="1" x14ac:dyDescent="0.3">
      <c r="A68">
        <v>67</v>
      </c>
      <c r="B68" t="s">
        <v>483</v>
      </c>
      <c r="C68" s="12">
        <v>42124</v>
      </c>
      <c r="D68" s="12">
        <v>42129</v>
      </c>
      <c r="E68" t="s">
        <v>233</v>
      </c>
      <c r="F68" t="s">
        <v>484</v>
      </c>
      <c r="G68" t="s">
        <v>485</v>
      </c>
      <c r="H68" t="s">
        <v>285</v>
      </c>
      <c r="I68" t="s">
        <v>210</v>
      </c>
      <c r="J68" t="s">
        <v>486</v>
      </c>
      <c r="K68" t="s">
        <v>394</v>
      </c>
      <c r="L68">
        <v>60610</v>
      </c>
      <c r="M68" t="s">
        <v>288</v>
      </c>
      <c r="N68" t="s">
        <v>487</v>
      </c>
      <c r="O68" t="s">
        <v>215</v>
      </c>
      <c r="P68" t="s">
        <v>219</v>
      </c>
      <c r="Q68" t="s">
        <v>488</v>
      </c>
      <c r="R68" s="13">
        <v>213.11500000000001</v>
      </c>
      <c r="S68">
        <v>5</v>
      </c>
      <c r="T68" s="14">
        <v>0.3</v>
      </c>
      <c r="U68" s="13">
        <v>-15.2225</v>
      </c>
      <c r="V68">
        <f t="shared" si="14"/>
        <v>2015</v>
      </c>
      <c r="W68" t="str">
        <f t="shared" si="15"/>
        <v>Apr</v>
      </c>
      <c r="X68" t="str">
        <f t="shared" si="16"/>
        <v>Q2</v>
      </c>
      <c r="Y68" t="str">
        <f t="shared" si="17"/>
        <v>Thu</v>
      </c>
      <c r="Z68" s="16">
        <f t="shared" si="18"/>
        <v>5</v>
      </c>
      <c r="AA68" s="13">
        <f t="shared" si="19"/>
        <v>42.623000000000005</v>
      </c>
      <c r="AB68" s="14">
        <f t="shared" si="20"/>
        <v>-7.1428571428571425E-2</v>
      </c>
      <c r="AC68" t="str">
        <f t="shared" si="21"/>
        <v>Medium (21-40%)</v>
      </c>
      <c r="AD68" t="str">
        <f t="shared" si="22"/>
        <v>High ($200-$500)</v>
      </c>
      <c r="AE68" t="str">
        <f t="shared" si="23"/>
        <v>Medium (3-5 units)</v>
      </c>
      <c r="AF68" t="str">
        <f t="shared" si="24"/>
        <v>Loss-Making</v>
      </c>
      <c r="AG68" t="str">
        <f t="shared" si="25"/>
        <v>Underperforming</v>
      </c>
      <c r="AH68" t="str">
        <f t="shared" si="26"/>
        <v>Single Purchase</v>
      </c>
      <c r="AI68" t="str">
        <f t="shared" si="27"/>
        <v>Standard (3-5 days)</v>
      </c>
    </row>
    <row r="69" spans="1:35" ht="15" customHeight="1" x14ac:dyDescent="0.3">
      <c r="A69">
        <v>68</v>
      </c>
      <c r="B69" t="s">
        <v>489</v>
      </c>
      <c r="C69" s="12">
        <v>41978</v>
      </c>
      <c r="D69" s="12">
        <v>41983</v>
      </c>
      <c r="E69" t="s">
        <v>233</v>
      </c>
      <c r="F69" t="s">
        <v>490</v>
      </c>
      <c r="G69" t="s">
        <v>491</v>
      </c>
      <c r="H69" t="s">
        <v>224</v>
      </c>
      <c r="I69" t="s">
        <v>210</v>
      </c>
      <c r="J69" t="s">
        <v>492</v>
      </c>
      <c r="K69" t="s">
        <v>493</v>
      </c>
      <c r="L69">
        <v>85234</v>
      </c>
      <c r="M69" t="s">
        <v>227</v>
      </c>
      <c r="N69" t="s">
        <v>494</v>
      </c>
      <c r="O69" t="s">
        <v>229</v>
      </c>
      <c r="P69" t="s">
        <v>251</v>
      </c>
      <c r="Q69" t="s">
        <v>495</v>
      </c>
      <c r="R69" s="13">
        <v>1113.0239999999999</v>
      </c>
      <c r="S69">
        <v>8</v>
      </c>
      <c r="T69" s="14">
        <v>0.2</v>
      </c>
      <c r="U69" s="13">
        <v>111.30240000000001</v>
      </c>
      <c r="V69">
        <f t="shared" si="14"/>
        <v>2014</v>
      </c>
      <c r="W69" t="str">
        <f t="shared" si="15"/>
        <v>Dec</v>
      </c>
      <c r="X69" t="str">
        <f t="shared" si="16"/>
        <v>Q4</v>
      </c>
      <c r="Y69" t="str">
        <f t="shared" si="17"/>
        <v>Fri</v>
      </c>
      <c r="Z69" s="16">
        <f t="shared" si="18"/>
        <v>5</v>
      </c>
      <c r="AA69" s="13">
        <f t="shared" si="19"/>
        <v>139.12799999999999</v>
      </c>
      <c r="AB69" s="14">
        <f t="shared" si="20"/>
        <v>0.10000000000000002</v>
      </c>
      <c r="AC69" t="str">
        <f t="shared" si="21"/>
        <v>Low (1-20%)</v>
      </c>
      <c r="AD69" t="str">
        <f t="shared" si="22"/>
        <v>Premium ($500+)</v>
      </c>
      <c r="AE69" t="str">
        <f t="shared" si="23"/>
        <v>Large (6+ units)</v>
      </c>
      <c r="AF69" t="str">
        <f t="shared" si="24"/>
        <v>Profitable</v>
      </c>
      <c r="AG69" t="str">
        <f t="shared" si="25"/>
        <v>Healthy Margin</v>
      </c>
      <c r="AH69" t="str">
        <f t="shared" si="26"/>
        <v>Repeat Customer</v>
      </c>
      <c r="AI69" t="str">
        <f t="shared" si="27"/>
        <v>Standard (3-5 days)</v>
      </c>
    </row>
    <row r="70" spans="1:35" ht="15" customHeight="1" x14ac:dyDescent="0.3">
      <c r="A70">
        <v>69</v>
      </c>
      <c r="B70" t="s">
        <v>489</v>
      </c>
      <c r="C70" s="12">
        <v>41978</v>
      </c>
      <c r="D70" s="12">
        <v>41983</v>
      </c>
      <c r="E70" t="s">
        <v>233</v>
      </c>
      <c r="F70" t="s">
        <v>490</v>
      </c>
      <c r="G70" t="s">
        <v>491</v>
      </c>
      <c r="H70" t="s">
        <v>224</v>
      </c>
      <c r="I70" t="s">
        <v>210</v>
      </c>
      <c r="J70" t="s">
        <v>492</v>
      </c>
      <c r="K70" t="s">
        <v>493</v>
      </c>
      <c r="L70">
        <v>85234</v>
      </c>
      <c r="M70" t="s">
        <v>227</v>
      </c>
      <c r="N70" t="s">
        <v>496</v>
      </c>
      <c r="O70" t="s">
        <v>254</v>
      </c>
      <c r="P70" t="s">
        <v>255</v>
      </c>
      <c r="Q70" t="s">
        <v>497</v>
      </c>
      <c r="R70" s="13">
        <v>167.96799999999999</v>
      </c>
      <c r="S70">
        <v>4</v>
      </c>
      <c r="T70" s="14">
        <v>0.2</v>
      </c>
      <c r="U70" s="13">
        <v>62.988</v>
      </c>
      <c r="V70">
        <f t="shared" si="14"/>
        <v>2014</v>
      </c>
      <c r="W70" t="str">
        <f t="shared" si="15"/>
        <v>Dec</v>
      </c>
      <c r="X70" t="str">
        <f t="shared" si="16"/>
        <v>Q4</v>
      </c>
      <c r="Y70" t="str">
        <f t="shared" si="17"/>
        <v>Fri</v>
      </c>
      <c r="Z70" s="16">
        <f t="shared" si="18"/>
        <v>5</v>
      </c>
      <c r="AA70" s="13">
        <f t="shared" si="19"/>
        <v>41.991999999999997</v>
      </c>
      <c r="AB70" s="14">
        <f t="shared" si="20"/>
        <v>0.375</v>
      </c>
      <c r="AC70" t="str">
        <f t="shared" si="21"/>
        <v>Low (1-20%)</v>
      </c>
      <c r="AD70" t="str">
        <f t="shared" si="22"/>
        <v>Medium ($50-$200)</v>
      </c>
      <c r="AE70" t="str">
        <f t="shared" si="23"/>
        <v>Medium (3-5 units)</v>
      </c>
      <c r="AF70" t="str">
        <f t="shared" si="24"/>
        <v>Profitable</v>
      </c>
      <c r="AG70" t="str">
        <f t="shared" si="25"/>
        <v>High Margin</v>
      </c>
      <c r="AH70" t="str">
        <f t="shared" si="26"/>
        <v>Repeat Customer</v>
      </c>
      <c r="AI70" t="str">
        <f t="shared" si="27"/>
        <v>Standard (3-5 days)</v>
      </c>
    </row>
    <row r="71" spans="1:35" ht="15" customHeight="1" x14ac:dyDescent="0.3">
      <c r="A71">
        <v>70</v>
      </c>
      <c r="B71" t="s">
        <v>498</v>
      </c>
      <c r="C71" s="12">
        <v>42525</v>
      </c>
      <c r="D71" s="12">
        <v>42527</v>
      </c>
      <c r="E71" t="s">
        <v>371</v>
      </c>
      <c r="F71" t="s">
        <v>499</v>
      </c>
      <c r="G71" t="s">
        <v>500</v>
      </c>
      <c r="H71" t="s">
        <v>209</v>
      </c>
      <c r="I71" t="s">
        <v>210</v>
      </c>
      <c r="J71" t="s">
        <v>501</v>
      </c>
      <c r="K71" t="s">
        <v>502</v>
      </c>
      <c r="L71">
        <v>22153</v>
      </c>
      <c r="M71" t="s">
        <v>213</v>
      </c>
      <c r="N71" t="s">
        <v>503</v>
      </c>
      <c r="O71" t="s">
        <v>229</v>
      </c>
      <c r="P71" t="s">
        <v>273</v>
      </c>
      <c r="Q71" t="s">
        <v>504</v>
      </c>
      <c r="R71" s="13">
        <v>75.88</v>
      </c>
      <c r="S71">
        <v>2</v>
      </c>
      <c r="T71" s="14">
        <v>0</v>
      </c>
      <c r="U71" s="13">
        <v>35.663600000000002</v>
      </c>
      <c r="V71">
        <f t="shared" si="14"/>
        <v>2016</v>
      </c>
      <c r="W71" t="str">
        <f t="shared" si="15"/>
        <v>Jun</v>
      </c>
      <c r="X71" t="str">
        <f t="shared" si="16"/>
        <v>Q2</v>
      </c>
      <c r="Y71" t="str">
        <f t="shared" si="17"/>
        <v>Sat</v>
      </c>
      <c r="Z71" s="16">
        <f t="shared" si="18"/>
        <v>2</v>
      </c>
      <c r="AA71" s="13">
        <f t="shared" si="19"/>
        <v>37.94</v>
      </c>
      <c r="AB71" s="14">
        <f t="shared" si="20"/>
        <v>0.47000000000000008</v>
      </c>
      <c r="AC71" t="str">
        <f t="shared" si="21"/>
        <v>No Discount</v>
      </c>
      <c r="AD71" t="str">
        <f t="shared" si="22"/>
        <v>Medium ($50-$200)</v>
      </c>
      <c r="AE71" t="str">
        <f t="shared" si="23"/>
        <v>Small (1-2 units)</v>
      </c>
      <c r="AF71" t="str">
        <f t="shared" si="24"/>
        <v>Profitable</v>
      </c>
      <c r="AG71" t="str">
        <f t="shared" si="25"/>
        <v>High Margin</v>
      </c>
      <c r="AH71" t="str">
        <f t="shared" si="26"/>
        <v>Single Purchase</v>
      </c>
      <c r="AI71" t="str">
        <f t="shared" si="27"/>
        <v>Fast (&lt;=2 days)</v>
      </c>
    </row>
    <row r="72" spans="1:35" ht="15" customHeight="1" x14ac:dyDescent="0.3">
      <c r="A72">
        <v>71</v>
      </c>
      <c r="B72" t="s">
        <v>505</v>
      </c>
      <c r="C72" s="12">
        <v>42631</v>
      </c>
      <c r="D72" s="12">
        <v>42636</v>
      </c>
      <c r="E72" t="s">
        <v>233</v>
      </c>
      <c r="F72" t="s">
        <v>506</v>
      </c>
      <c r="G72" t="s">
        <v>507</v>
      </c>
      <c r="H72" t="s">
        <v>209</v>
      </c>
      <c r="I72" t="s">
        <v>210</v>
      </c>
      <c r="J72" t="s">
        <v>449</v>
      </c>
      <c r="K72" t="s">
        <v>450</v>
      </c>
      <c r="L72">
        <v>10009</v>
      </c>
      <c r="M72" t="s">
        <v>331</v>
      </c>
      <c r="N72" t="s">
        <v>508</v>
      </c>
      <c r="O72" t="s">
        <v>229</v>
      </c>
      <c r="P72" t="s">
        <v>258</v>
      </c>
      <c r="Q72" t="s">
        <v>509</v>
      </c>
      <c r="R72" s="13">
        <v>4.6159999999999997</v>
      </c>
      <c r="S72">
        <v>1</v>
      </c>
      <c r="T72" s="14">
        <v>0.2</v>
      </c>
      <c r="U72" s="13">
        <v>1.7310000000000001</v>
      </c>
      <c r="V72">
        <f t="shared" si="14"/>
        <v>2016</v>
      </c>
      <c r="W72" t="str">
        <f t="shared" si="15"/>
        <v>Sep</v>
      </c>
      <c r="X72" t="str">
        <f t="shared" si="16"/>
        <v>Q3</v>
      </c>
      <c r="Y72" t="str">
        <f t="shared" si="17"/>
        <v>Sun</v>
      </c>
      <c r="Z72" s="16">
        <f t="shared" si="18"/>
        <v>5</v>
      </c>
      <c r="AA72" s="13">
        <f t="shared" si="19"/>
        <v>4.6159999999999997</v>
      </c>
      <c r="AB72" s="14">
        <f t="shared" si="20"/>
        <v>0.37500000000000006</v>
      </c>
      <c r="AC72" t="str">
        <f t="shared" si="21"/>
        <v>Low (1-20%)</v>
      </c>
      <c r="AD72" t="str">
        <f t="shared" si="22"/>
        <v>Low (&lt;$50)</v>
      </c>
      <c r="AE72" t="str">
        <f t="shared" si="23"/>
        <v>Small (1-2 units)</v>
      </c>
      <c r="AF72" t="str">
        <f t="shared" si="24"/>
        <v>Profitable</v>
      </c>
      <c r="AG72" t="str">
        <f t="shared" si="25"/>
        <v>High Margin</v>
      </c>
      <c r="AH72" t="str">
        <f t="shared" si="26"/>
        <v>Single Purchase</v>
      </c>
      <c r="AI72" t="str">
        <f t="shared" si="27"/>
        <v>Standard (3-5 days)</v>
      </c>
    </row>
    <row r="73" spans="1:35" ht="15" customHeight="1" x14ac:dyDescent="0.3">
      <c r="A73">
        <v>72</v>
      </c>
      <c r="B73" t="s">
        <v>510</v>
      </c>
      <c r="C73" s="12">
        <v>42992</v>
      </c>
      <c r="D73" s="12">
        <v>42995</v>
      </c>
      <c r="E73" t="s">
        <v>206</v>
      </c>
      <c r="F73" t="s">
        <v>347</v>
      </c>
      <c r="G73" t="s">
        <v>348</v>
      </c>
      <c r="H73" t="s">
        <v>209</v>
      </c>
      <c r="I73" t="s">
        <v>210</v>
      </c>
      <c r="J73" t="s">
        <v>511</v>
      </c>
      <c r="K73" t="s">
        <v>421</v>
      </c>
      <c r="L73">
        <v>49201</v>
      </c>
      <c r="M73" t="s">
        <v>288</v>
      </c>
      <c r="N73" t="s">
        <v>512</v>
      </c>
      <c r="O73" t="s">
        <v>229</v>
      </c>
      <c r="P73" t="s">
        <v>273</v>
      </c>
      <c r="Q73" t="s">
        <v>513</v>
      </c>
      <c r="R73" s="13">
        <v>19.05</v>
      </c>
      <c r="S73">
        <v>3</v>
      </c>
      <c r="T73" s="14">
        <v>0</v>
      </c>
      <c r="U73" s="13">
        <v>8.7629999999999999</v>
      </c>
      <c r="V73">
        <f t="shared" si="14"/>
        <v>2017</v>
      </c>
      <c r="W73" t="str">
        <f t="shared" si="15"/>
        <v>Sep</v>
      </c>
      <c r="X73" t="str">
        <f t="shared" si="16"/>
        <v>Q3</v>
      </c>
      <c r="Y73" t="str">
        <f t="shared" si="17"/>
        <v>Thu</v>
      </c>
      <c r="Z73" s="16">
        <f t="shared" si="18"/>
        <v>3</v>
      </c>
      <c r="AA73" s="13">
        <f t="shared" si="19"/>
        <v>6.3500000000000005</v>
      </c>
      <c r="AB73" s="14">
        <f t="shared" si="20"/>
        <v>0.45999999999999996</v>
      </c>
      <c r="AC73" t="str">
        <f t="shared" si="21"/>
        <v>No Discount</v>
      </c>
      <c r="AD73" t="str">
        <f t="shared" si="22"/>
        <v>Low (&lt;$50)</v>
      </c>
      <c r="AE73" t="str">
        <f t="shared" si="23"/>
        <v>Medium (3-5 units)</v>
      </c>
      <c r="AF73" t="str">
        <f t="shared" si="24"/>
        <v>Profitable</v>
      </c>
      <c r="AG73" t="str">
        <f t="shared" si="25"/>
        <v>High Margin</v>
      </c>
      <c r="AH73" t="str">
        <f t="shared" si="26"/>
        <v>Repeat Customer</v>
      </c>
      <c r="AI73" t="str">
        <f t="shared" si="27"/>
        <v>Standard (3-5 days)</v>
      </c>
    </row>
    <row r="74" spans="1:35" ht="15" customHeight="1" x14ac:dyDescent="0.3">
      <c r="A74">
        <v>73</v>
      </c>
      <c r="B74" t="s">
        <v>514</v>
      </c>
      <c r="C74" s="12">
        <v>42120</v>
      </c>
      <c r="D74" s="12">
        <v>42126</v>
      </c>
      <c r="E74" t="s">
        <v>233</v>
      </c>
      <c r="F74" t="s">
        <v>515</v>
      </c>
      <c r="G74" t="s">
        <v>516</v>
      </c>
      <c r="H74" t="s">
        <v>209</v>
      </c>
      <c r="I74" t="s">
        <v>210</v>
      </c>
      <c r="J74" t="s">
        <v>517</v>
      </c>
      <c r="K74" t="s">
        <v>518</v>
      </c>
      <c r="L74">
        <v>38109</v>
      </c>
      <c r="M74" t="s">
        <v>213</v>
      </c>
      <c r="N74" t="s">
        <v>519</v>
      </c>
      <c r="O74" t="s">
        <v>215</v>
      </c>
      <c r="P74" t="s">
        <v>219</v>
      </c>
      <c r="Q74" t="s">
        <v>520</v>
      </c>
      <c r="R74" s="13">
        <v>831.93600000000004</v>
      </c>
      <c r="S74">
        <v>8</v>
      </c>
      <c r="T74" s="14">
        <v>0.2</v>
      </c>
      <c r="U74" s="13">
        <v>-114.3912</v>
      </c>
      <c r="V74">
        <f t="shared" si="14"/>
        <v>2015</v>
      </c>
      <c r="W74" t="str">
        <f t="shared" si="15"/>
        <v>Apr</v>
      </c>
      <c r="X74" t="str">
        <f t="shared" si="16"/>
        <v>Q2</v>
      </c>
      <c r="Y74" t="str">
        <f t="shared" si="17"/>
        <v>Sun</v>
      </c>
      <c r="Z74" s="16">
        <f t="shared" si="18"/>
        <v>6</v>
      </c>
      <c r="AA74" s="13">
        <f t="shared" si="19"/>
        <v>103.992</v>
      </c>
      <c r="AB74" s="14">
        <f t="shared" si="20"/>
        <v>-0.13749999999999998</v>
      </c>
      <c r="AC74" t="str">
        <f t="shared" si="21"/>
        <v>Low (1-20%)</v>
      </c>
      <c r="AD74" t="str">
        <f t="shared" si="22"/>
        <v>Premium ($500+)</v>
      </c>
      <c r="AE74" t="str">
        <f t="shared" si="23"/>
        <v>Large (6+ units)</v>
      </c>
      <c r="AF74" t="str">
        <f t="shared" si="24"/>
        <v>Loss-Making</v>
      </c>
      <c r="AG74" t="str">
        <f t="shared" si="25"/>
        <v>Underperforming</v>
      </c>
      <c r="AH74" t="str">
        <f t="shared" si="26"/>
        <v>Repeat Customer</v>
      </c>
      <c r="AI74" t="str">
        <f t="shared" si="27"/>
        <v>Slow (6+ days)</v>
      </c>
    </row>
    <row r="75" spans="1:35" ht="15" customHeight="1" x14ac:dyDescent="0.3">
      <c r="A75">
        <v>74</v>
      </c>
      <c r="B75" t="s">
        <v>514</v>
      </c>
      <c r="C75" s="12">
        <v>42120</v>
      </c>
      <c r="D75" s="12">
        <v>42126</v>
      </c>
      <c r="E75" t="s">
        <v>233</v>
      </c>
      <c r="F75" t="s">
        <v>515</v>
      </c>
      <c r="G75" t="s">
        <v>516</v>
      </c>
      <c r="H75" t="s">
        <v>209</v>
      </c>
      <c r="I75" t="s">
        <v>210</v>
      </c>
      <c r="J75" t="s">
        <v>517</v>
      </c>
      <c r="K75" t="s">
        <v>518</v>
      </c>
      <c r="L75">
        <v>38109</v>
      </c>
      <c r="M75" t="s">
        <v>213</v>
      </c>
      <c r="N75" t="s">
        <v>521</v>
      </c>
      <c r="O75" t="s">
        <v>215</v>
      </c>
      <c r="P75" t="s">
        <v>248</v>
      </c>
      <c r="Q75" t="s">
        <v>522</v>
      </c>
      <c r="R75" s="13">
        <v>97.04</v>
      </c>
      <c r="S75">
        <v>2</v>
      </c>
      <c r="T75" s="14">
        <v>0.2</v>
      </c>
      <c r="U75" s="13">
        <v>1.2130000000000001</v>
      </c>
      <c r="V75">
        <f t="shared" si="14"/>
        <v>2015</v>
      </c>
      <c r="W75" t="str">
        <f t="shared" si="15"/>
        <v>Apr</v>
      </c>
      <c r="X75" t="str">
        <f t="shared" si="16"/>
        <v>Q2</v>
      </c>
      <c r="Y75" t="str">
        <f t="shared" si="17"/>
        <v>Sun</v>
      </c>
      <c r="Z75" s="16">
        <f t="shared" si="18"/>
        <v>6</v>
      </c>
      <c r="AA75" s="13">
        <f t="shared" si="19"/>
        <v>48.52</v>
      </c>
      <c r="AB75" s="14">
        <f t="shared" si="20"/>
        <v>1.2500000000000001E-2</v>
      </c>
      <c r="AC75" t="str">
        <f t="shared" si="21"/>
        <v>Low (1-20%)</v>
      </c>
      <c r="AD75" t="str">
        <f t="shared" si="22"/>
        <v>Medium ($50-$200)</v>
      </c>
      <c r="AE75" t="str">
        <f t="shared" si="23"/>
        <v>Small (1-2 units)</v>
      </c>
      <c r="AF75" t="str">
        <f t="shared" si="24"/>
        <v>Profitable</v>
      </c>
      <c r="AG75" t="str">
        <f t="shared" si="25"/>
        <v>Low Margin</v>
      </c>
      <c r="AH75" t="str">
        <f t="shared" si="26"/>
        <v>Repeat Customer</v>
      </c>
      <c r="AI75" t="str">
        <f t="shared" si="27"/>
        <v>Slow (6+ days)</v>
      </c>
    </row>
    <row r="76" spans="1:35" ht="15" customHeight="1" x14ac:dyDescent="0.3">
      <c r="A76">
        <v>75</v>
      </c>
      <c r="B76" t="s">
        <v>514</v>
      </c>
      <c r="C76" s="12">
        <v>42120</v>
      </c>
      <c r="D76" s="12">
        <v>42126</v>
      </c>
      <c r="E76" t="s">
        <v>233</v>
      </c>
      <c r="F76" t="s">
        <v>515</v>
      </c>
      <c r="G76" t="s">
        <v>516</v>
      </c>
      <c r="H76" t="s">
        <v>209</v>
      </c>
      <c r="I76" t="s">
        <v>210</v>
      </c>
      <c r="J76" t="s">
        <v>517</v>
      </c>
      <c r="K76" t="s">
        <v>518</v>
      </c>
      <c r="L76">
        <v>38109</v>
      </c>
      <c r="M76" t="s">
        <v>213</v>
      </c>
      <c r="N76" t="s">
        <v>523</v>
      </c>
      <c r="O76" t="s">
        <v>229</v>
      </c>
      <c r="P76" t="s">
        <v>242</v>
      </c>
      <c r="Q76" t="s">
        <v>524</v>
      </c>
      <c r="R76" s="13">
        <v>72.784000000000006</v>
      </c>
      <c r="S76">
        <v>1</v>
      </c>
      <c r="T76" s="14">
        <v>0.2</v>
      </c>
      <c r="U76" s="13">
        <v>-18.196000000000002</v>
      </c>
      <c r="V76">
        <f t="shared" si="14"/>
        <v>2015</v>
      </c>
      <c r="W76" t="str">
        <f t="shared" si="15"/>
        <v>Apr</v>
      </c>
      <c r="X76" t="str">
        <f t="shared" si="16"/>
        <v>Q2</v>
      </c>
      <c r="Y76" t="str">
        <f t="shared" si="17"/>
        <v>Sun</v>
      </c>
      <c r="Z76" s="16">
        <f t="shared" si="18"/>
        <v>6</v>
      </c>
      <c r="AA76" s="13">
        <f t="shared" si="19"/>
        <v>72.784000000000006</v>
      </c>
      <c r="AB76" s="14">
        <f t="shared" si="20"/>
        <v>-0.25</v>
      </c>
      <c r="AC76" t="str">
        <f t="shared" si="21"/>
        <v>Low (1-20%)</v>
      </c>
      <c r="AD76" t="str">
        <f t="shared" si="22"/>
        <v>Medium ($50-$200)</v>
      </c>
      <c r="AE76" t="str">
        <f t="shared" si="23"/>
        <v>Small (1-2 units)</v>
      </c>
      <c r="AF76" t="str">
        <f t="shared" si="24"/>
        <v>Loss-Making</v>
      </c>
      <c r="AG76" t="str">
        <f t="shared" si="25"/>
        <v>Underperforming</v>
      </c>
      <c r="AH76" t="str">
        <f t="shared" si="26"/>
        <v>Repeat Customer</v>
      </c>
      <c r="AI76" t="str">
        <f t="shared" si="27"/>
        <v>Slow (6+ days)</v>
      </c>
    </row>
    <row r="77" spans="1:35" ht="15" customHeight="1" x14ac:dyDescent="0.3">
      <c r="A77">
        <v>76</v>
      </c>
      <c r="B77" t="s">
        <v>525</v>
      </c>
      <c r="C77" s="12">
        <v>43078</v>
      </c>
      <c r="D77" s="12">
        <v>43080</v>
      </c>
      <c r="E77" t="s">
        <v>371</v>
      </c>
      <c r="F77" t="s">
        <v>526</v>
      </c>
      <c r="G77" t="s">
        <v>527</v>
      </c>
      <c r="H77" t="s">
        <v>224</v>
      </c>
      <c r="I77" t="s">
        <v>210</v>
      </c>
      <c r="J77" t="s">
        <v>367</v>
      </c>
      <c r="K77" t="s">
        <v>287</v>
      </c>
      <c r="L77">
        <v>77041</v>
      </c>
      <c r="M77" t="s">
        <v>288</v>
      </c>
      <c r="N77" t="s">
        <v>528</v>
      </c>
      <c r="O77" t="s">
        <v>229</v>
      </c>
      <c r="P77" t="s">
        <v>258</v>
      </c>
      <c r="Q77" t="s">
        <v>529</v>
      </c>
      <c r="R77" s="13">
        <v>1.248</v>
      </c>
      <c r="S77">
        <v>3</v>
      </c>
      <c r="T77" s="14">
        <v>0.8</v>
      </c>
      <c r="U77" s="13">
        <v>-1.9343999999999999</v>
      </c>
      <c r="V77">
        <f t="shared" si="14"/>
        <v>2017</v>
      </c>
      <c r="W77" t="str">
        <f t="shared" si="15"/>
        <v>Dec</v>
      </c>
      <c r="X77" t="str">
        <f t="shared" si="16"/>
        <v>Q4</v>
      </c>
      <c r="Y77" t="str">
        <f t="shared" si="17"/>
        <v>Sat</v>
      </c>
      <c r="Z77" s="16">
        <f t="shared" si="18"/>
        <v>2</v>
      </c>
      <c r="AA77" s="13">
        <f t="shared" si="19"/>
        <v>0.41599999999999998</v>
      </c>
      <c r="AB77" s="14">
        <f t="shared" si="20"/>
        <v>-1.5499999999999998</v>
      </c>
      <c r="AC77" t="str">
        <f t="shared" si="21"/>
        <v>High (40%+)</v>
      </c>
      <c r="AD77" t="str">
        <f t="shared" si="22"/>
        <v>Low (&lt;$50)</v>
      </c>
      <c r="AE77" t="str">
        <f t="shared" si="23"/>
        <v>Medium (3-5 units)</v>
      </c>
      <c r="AF77" t="str">
        <f t="shared" si="24"/>
        <v>Loss-Making</v>
      </c>
      <c r="AG77" t="str">
        <f t="shared" si="25"/>
        <v>Underperforming</v>
      </c>
      <c r="AH77" t="str">
        <f t="shared" si="26"/>
        <v>Repeat Customer</v>
      </c>
      <c r="AI77" t="str">
        <f t="shared" si="27"/>
        <v>Fast (&lt;=2 days)</v>
      </c>
    </row>
    <row r="78" spans="1:35" ht="15" customHeight="1" x14ac:dyDescent="0.3">
      <c r="A78">
        <v>77</v>
      </c>
      <c r="B78" t="s">
        <v>525</v>
      </c>
      <c r="C78" s="12">
        <v>43078</v>
      </c>
      <c r="D78" s="12">
        <v>43080</v>
      </c>
      <c r="E78" t="s">
        <v>371</v>
      </c>
      <c r="F78" t="s">
        <v>526</v>
      </c>
      <c r="G78" t="s">
        <v>527</v>
      </c>
      <c r="H78" t="s">
        <v>224</v>
      </c>
      <c r="I78" t="s">
        <v>210</v>
      </c>
      <c r="J78" t="s">
        <v>367</v>
      </c>
      <c r="K78" t="s">
        <v>287</v>
      </c>
      <c r="L78">
        <v>77041</v>
      </c>
      <c r="M78" t="s">
        <v>288</v>
      </c>
      <c r="N78" t="s">
        <v>530</v>
      </c>
      <c r="O78" t="s">
        <v>215</v>
      </c>
      <c r="P78" t="s">
        <v>248</v>
      </c>
      <c r="Q78" t="s">
        <v>531</v>
      </c>
      <c r="R78" s="13">
        <v>9.7080000000000002</v>
      </c>
      <c r="S78">
        <v>3</v>
      </c>
      <c r="T78" s="14">
        <v>0.6</v>
      </c>
      <c r="U78" s="13">
        <v>-5.8247999999999998</v>
      </c>
      <c r="V78">
        <f t="shared" si="14"/>
        <v>2017</v>
      </c>
      <c r="W78" t="str">
        <f t="shared" si="15"/>
        <v>Dec</v>
      </c>
      <c r="X78" t="str">
        <f t="shared" si="16"/>
        <v>Q4</v>
      </c>
      <c r="Y78" t="str">
        <f t="shared" si="17"/>
        <v>Sat</v>
      </c>
      <c r="Z78" s="16">
        <f t="shared" si="18"/>
        <v>2</v>
      </c>
      <c r="AA78" s="13">
        <f t="shared" si="19"/>
        <v>3.2360000000000002</v>
      </c>
      <c r="AB78" s="14">
        <f t="shared" si="20"/>
        <v>-0.6</v>
      </c>
      <c r="AC78" t="str">
        <f t="shared" si="21"/>
        <v>High (40%+)</v>
      </c>
      <c r="AD78" t="str">
        <f t="shared" si="22"/>
        <v>Low (&lt;$50)</v>
      </c>
      <c r="AE78" t="str">
        <f t="shared" si="23"/>
        <v>Medium (3-5 units)</v>
      </c>
      <c r="AF78" t="str">
        <f t="shared" si="24"/>
        <v>Loss-Making</v>
      </c>
      <c r="AG78" t="str">
        <f t="shared" si="25"/>
        <v>Underperforming</v>
      </c>
      <c r="AH78" t="str">
        <f t="shared" si="26"/>
        <v>Repeat Customer</v>
      </c>
      <c r="AI78" t="str">
        <f t="shared" si="27"/>
        <v>Fast (&lt;=2 days)</v>
      </c>
    </row>
    <row r="79" spans="1:35" ht="15" customHeight="1" x14ac:dyDescent="0.3">
      <c r="A79">
        <v>78</v>
      </c>
      <c r="B79" t="s">
        <v>525</v>
      </c>
      <c r="C79" s="12">
        <v>43078</v>
      </c>
      <c r="D79" s="12">
        <v>43080</v>
      </c>
      <c r="E79" t="s">
        <v>371</v>
      </c>
      <c r="F79" t="s">
        <v>526</v>
      </c>
      <c r="G79" t="s">
        <v>527</v>
      </c>
      <c r="H79" t="s">
        <v>224</v>
      </c>
      <c r="I79" t="s">
        <v>210</v>
      </c>
      <c r="J79" t="s">
        <v>367</v>
      </c>
      <c r="K79" t="s">
        <v>287</v>
      </c>
      <c r="L79">
        <v>77041</v>
      </c>
      <c r="M79" t="s">
        <v>288</v>
      </c>
      <c r="N79" t="s">
        <v>532</v>
      </c>
      <c r="O79" t="s">
        <v>229</v>
      </c>
      <c r="P79" t="s">
        <v>242</v>
      </c>
      <c r="Q79" t="s">
        <v>533</v>
      </c>
      <c r="R79" s="13">
        <v>27.24</v>
      </c>
      <c r="S79">
        <v>3</v>
      </c>
      <c r="T79" s="14">
        <v>0.2</v>
      </c>
      <c r="U79" s="13">
        <v>2.7240000000000002</v>
      </c>
      <c r="V79">
        <f t="shared" si="14"/>
        <v>2017</v>
      </c>
      <c r="W79" t="str">
        <f t="shared" si="15"/>
        <v>Dec</v>
      </c>
      <c r="X79" t="str">
        <f t="shared" si="16"/>
        <v>Q4</v>
      </c>
      <c r="Y79" t="str">
        <f t="shared" si="17"/>
        <v>Sat</v>
      </c>
      <c r="Z79" s="16">
        <f t="shared" si="18"/>
        <v>2</v>
      </c>
      <c r="AA79" s="13">
        <f t="shared" si="19"/>
        <v>9.08</v>
      </c>
      <c r="AB79" s="14">
        <f t="shared" si="20"/>
        <v>0.10000000000000002</v>
      </c>
      <c r="AC79" t="str">
        <f t="shared" si="21"/>
        <v>Low (1-20%)</v>
      </c>
      <c r="AD79" t="str">
        <f t="shared" si="22"/>
        <v>Low (&lt;$50)</v>
      </c>
      <c r="AE79" t="str">
        <f t="shared" si="23"/>
        <v>Medium (3-5 units)</v>
      </c>
      <c r="AF79" t="str">
        <f t="shared" si="24"/>
        <v>Profitable</v>
      </c>
      <c r="AG79" t="str">
        <f t="shared" si="25"/>
        <v>Healthy Margin</v>
      </c>
      <c r="AH79" t="str">
        <f t="shared" si="26"/>
        <v>Repeat Customer</v>
      </c>
      <c r="AI79" t="str">
        <f t="shared" si="27"/>
        <v>Fast (&lt;=2 days)</v>
      </c>
    </row>
    <row r="80" spans="1:35" ht="15" customHeight="1" x14ac:dyDescent="0.3">
      <c r="A80">
        <v>79</v>
      </c>
      <c r="B80" t="s">
        <v>534</v>
      </c>
      <c r="C80" s="12">
        <v>41969</v>
      </c>
      <c r="D80" s="12">
        <v>41974</v>
      </c>
      <c r="E80" t="s">
        <v>206</v>
      </c>
      <c r="F80" t="s">
        <v>515</v>
      </c>
      <c r="G80" t="s">
        <v>516</v>
      </c>
      <c r="H80" t="s">
        <v>209</v>
      </c>
      <c r="I80" t="s">
        <v>210</v>
      </c>
      <c r="J80" t="s">
        <v>367</v>
      </c>
      <c r="K80" t="s">
        <v>287</v>
      </c>
      <c r="L80">
        <v>77070</v>
      </c>
      <c r="M80" t="s">
        <v>288</v>
      </c>
      <c r="N80" t="s">
        <v>535</v>
      </c>
      <c r="O80" t="s">
        <v>215</v>
      </c>
      <c r="P80" t="s">
        <v>248</v>
      </c>
      <c r="Q80" t="s">
        <v>536</v>
      </c>
      <c r="R80" s="13">
        <v>19.3</v>
      </c>
      <c r="S80">
        <v>5</v>
      </c>
      <c r="T80" s="14">
        <v>0.6</v>
      </c>
      <c r="U80" s="13">
        <v>-14.475</v>
      </c>
      <c r="V80">
        <f t="shared" si="14"/>
        <v>2014</v>
      </c>
      <c r="W80" t="str">
        <f t="shared" si="15"/>
        <v>Nov</v>
      </c>
      <c r="X80" t="str">
        <f t="shared" si="16"/>
        <v>Q4</v>
      </c>
      <c r="Y80" t="str">
        <f t="shared" si="17"/>
        <v>Wed</v>
      </c>
      <c r="Z80" s="16">
        <f t="shared" si="18"/>
        <v>5</v>
      </c>
      <c r="AA80" s="13">
        <f t="shared" si="19"/>
        <v>3.8600000000000003</v>
      </c>
      <c r="AB80" s="14">
        <f t="shared" si="20"/>
        <v>-0.75</v>
      </c>
      <c r="AC80" t="str">
        <f t="shared" si="21"/>
        <v>High (40%+)</v>
      </c>
      <c r="AD80" t="str">
        <f t="shared" si="22"/>
        <v>Low (&lt;$50)</v>
      </c>
      <c r="AE80" t="str">
        <f t="shared" si="23"/>
        <v>Medium (3-5 units)</v>
      </c>
      <c r="AF80" t="str">
        <f t="shared" si="24"/>
        <v>Loss-Making</v>
      </c>
      <c r="AG80" t="str">
        <f t="shared" si="25"/>
        <v>Underperforming</v>
      </c>
      <c r="AH80" t="str">
        <f t="shared" si="26"/>
        <v>Repeat Customer</v>
      </c>
      <c r="AI80" t="str">
        <f t="shared" si="27"/>
        <v>Standard (3-5 days)</v>
      </c>
    </row>
    <row r="81" spans="1:35" ht="15" customHeight="1" x14ac:dyDescent="0.3">
      <c r="A81">
        <v>80</v>
      </c>
      <c r="B81" t="s">
        <v>537</v>
      </c>
      <c r="C81" s="12">
        <v>42533</v>
      </c>
      <c r="D81" s="12">
        <v>42536</v>
      </c>
      <c r="E81" t="s">
        <v>371</v>
      </c>
      <c r="F81" t="s">
        <v>538</v>
      </c>
      <c r="G81" t="s">
        <v>539</v>
      </c>
      <c r="H81" t="s">
        <v>224</v>
      </c>
      <c r="I81" t="s">
        <v>210</v>
      </c>
      <c r="J81" t="s">
        <v>540</v>
      </c>
      <c r="K81" t="s">
        <v>541</v>
      </c>
      <c r="L81">
        <v>35601</v>
      </c>
      <c r="M81" t="s">
        <v>213</v>
      </c>
      <c r="N81" t="s">
        <v>542</v>
      </c>
      <c r="O81" t="s">
        <v>229</v>
      </c>
      <c r="P81" t="s">
        <v>261</v>
      </c>
      <c r="Q81" t="s">
        <v>543</v>
      </c>
      <c r="R81" s="13">
        <v>208.16</v>
      </c>
      <c r="S81">
        <v>1</v>
      </c>
      <c r="T81" s="14">
        <v>0</v>
      </c>
      <c r="U81" s="13">
        <v>56.203200000000002</v>
      </c>
      <c r="V81">
        <f t="shared" si="14"/>
        <v>2016</v>
      </c>
      <c r="W81" t="str">
        <f t="shared" si="15"/>
        <v>Jun</v>
      </c>
      <c r="X81" t="str">
        <f t="shared" si="16"/>
        <v>Q2</v>
      </c>
      <c r="Y81" t="str">
        <f t="shared" si="17"/>
        <v>Sun</v>
      </c>
      <c r="Z81" s="16">
        <f t="shared" si="18"/>
        <v>3</v>
      </c>
      <c r="AA81" s="13">
        <f t="shared" si="19"/>
        <v>208.16</v>
      </c>
      <c r="AB81" s="14">
        <f t="shared" si="20"/>
        <v>0.27</v>
      </c>
      <c r="AC81" t="str">
        <f t="shared" si="21"/>
        <v>No Discount</v>
      </c>
      <c r="AD81" t="str">
        <f t="shared" si="22"/>
        <v>High ($200-$500)</v>
      </c>
      <c r="AE81" t="str">
        <f t="shared" si="23"/>
        <v>Small (1-2 units)</v>
      </c>
      <c r="AF81" t="str">
        <f t="shared" si="24"/>
        <v>Profitable</v>
      </c>
      <c r="AG81" t="str">
        <f t="shared" si="25"/>
        <v>High Margin</v>
      </c>
      <c r="AH81" t="str">
        <f t="shared" si="26"/>
        <v>Repeat Customer</v>
      </c>
      <c r="AI81" t="str">
        <f t="shared" si="27"/>
        <v>Standard (3-5 days)</v>
      </c>
    </row>
    <row r="82" spans="1:35" ht="15" customHeight="1" x14ac:dyDescent="0.3">
      <c r="A82">
        <v>81</v>
      </c>
      <c r="B82" t="s">
        <v>537</v>
      </c>
      <c r="C82" s="12">
        <v>42533</v>
      </c>
      <c r="D82" s="12">
        <v>42536</v>
      </c>
      <c r="E82" t="s">
        <v>371</v>
      </c>
      <c r="F82" t="s">
        <v>538</v>
      </c>
      <c r="G82" t="s">
        <v>539</v>
      </c>
      <c r="H82" t="s">
        <v>224</v>
      </c>
      <c r="I82" t="s">
        <v>210</v>
      </c>
      <c r="J82" t="s">
        <v>540</v>
      </c>
      <c r="K82" t="s">
        <v>541</v>
      </c>
      <c r="L82">
        <v>35601</v>
      </c>
      <c r="M82" t="s">
        <v>213</v>
      </c>
      <c r="N82" t="s">
        <v>544</v>
      </c>
      <c r="O82" t="s">
        <v>229</v>
      </c>
      <c r="P82" t="s">
        <v>258</v>
      </c>
      <c r="Q82" t="s">
        <v>545</v>
      </c>
      <c r="R82" s="13">
        <v>16.739999999999998</v>
      </c>
      <c r="S82">
        <v>3</v>
      </c>
      <c r="T82" s="14">
        <v>0</v>
      </c>
      <c r="U82" s="13">
        <v>8.0351999999999997</v>
      </c>
      <c r="V82">
        <f t="shared" si="14"/>
        <v>2016</v>
      </c>
      <c r="W82" t="str">
        <f t="shared" si="15"/>
        <v>Jun</v>
      </c>
      <c r="X82" t="str">
        <f t="shared" si="16"/>
        <v>Q2</v>
      </c>
      <c r="Y82" t="str">
        <f t="shared" si="17"/>
        <v>Sun</v>
      </c>
      <c r="Z82" s="16">
        <f t="shared" si="18"/>
        <v>3</v>
      </c>
      <c r="AA82" s="13">
        <f t="shared" si="19"/>
        <v>5.5799999999999992</v>
      </c>
      <c r="AB82" s="14">
        <f t="shared" si="20"/>
        <v>0.48000000000000004</v>
      </c>
      <c r="AC82" t="str">
        <f t="shared" si="21"/>
        <v>No Discount</v>
      </c>
      <c r="AD82" t="str">
        <f t="shared" si="22"/>
        <v>Low (&lt;$50)</v>
      </c>
      <c r="AE82" t="str">
        <f t="shared" si="23"/>
        <v>Medium (3-5 units)</v>
      </c>
      <c r="AF82" t="str">
        <f t="shared" si="24"/>
        <v>Profitable</v>
      </c>
      <c r="AG82" t="str">
        <f t="shared" si="25"/>
        <v>High Margin</v>
      </c>
      <c r="AH82" t="str">
        <f t="shared" si="26"/>
        <v>Repeat Customer</v>
      </c>
      <c r="AI82" t="str">
        <f t="shared" si="27"/>
        <v>Standard (3-5 days)</v>
      </c>
    </row>
    <row r="83" spans="1:35" ht="15" customHeight="1" x14ac:dyDescent="0.3">
      <c r="A83">
        <v>82</v>
      </c>
      <c r="B83" t="s">
        <v>546</v>
      </c>
      <c r="C83" s="12">
        <v>41924</v>
      </c>
      <c r="D83" s="12">
        <v>41928</v>
      </c>
      <c r="E83" t="s">
        <v>233</v>
      </c>
      <c r="F83" t="s">
        <v>547</v>
      </c>
      <c r="G83" t="s">
        <v>548</v>
      </c>
      <c r="H83" t="s">
        <v>209</v>
      </c>
      <c r="I83" t="s">
        <v>210</v>
      </c>
      <c r="J83" t="s">
        <v>310</v>
      </c>
      <c r="K83" t="s">
        <v>226</v>
      </c>
      <c r="L83">
        <v>94122</v>
      </c>
      <c r="M83" t="s">
        <v>227</v>
      </c>
      <c r="N83" t="s">
        <v>549</v>
      </c>
      <c r="O83" t="s">
        <v>229</v>
      </c>
      <c r="P83" t="s">
        <v>251</v>
      </c>
      <c r="Q83" t="s">
        <v>550</v>
      </c>
      <c r="R83" s="13">
        <v>14.9</v>
      </c>
      <c r="S83">
        <v>5</v>
      </c>
      <c r="T83" s="14">
        <v>0</v>
      </c>
      <c r="U83" s="13">
        <v>4.1719999999999997</v>
      </c>
      <c r="V83">
        <f t="shared" si="14"/>
        <v>2014</v>
      </c>
      <c r="W83" t="str">
        <f t="shared" si="15"/>
        <v>Oct</v>
      </c>
      <c r="X83" t="str">
        <f t="shared" si="16"/>
        <v>Q4</v>
      </c>
      <c r="Y83" t="str">
        <f t="shared" si="17"/>
        <v>Sun</v>
      </c>
      <c r="Z83" s="16">
        <f t="shared" si="18"/>
        <v>4</v>
      </c>
      <c r="AA83" s="13">
        <f t="shared" si="19"/>
        <v>2.98</v>
      </c>
      <c r="AB83" s="14">
        <f t="shared" si="20"/>
        <v>0.27999999999999997</v>
      </c>
      <c r="AC83" t="str">
        <f t="shared" si="21"/>
        <v>No Discount</v>
      </c>
      <c r="AD83" t="str">
        <f t="shared" si="22"/>
        <v>Low (&lt;$50)</v>
      </c>
      <c r="AE83" t="str">
        <f t="shared" si="23"/>
        <v>Medium (3-5 units)</v>
      </c>
      <c r="AF83" t="str">
        <f t="shared" si="24"/>
        <v>Profitable</v>
      </c>
      <c r="AG83" t="str">
        <f t="shared" si="25"/>
        <v>High Margin</v>
      </c>
      <c r="AH83" t="str">
        <f t="shared" si="26"/>
        <v>Repeat Customer</v>
      </c>
      <c r="AI83" t="str">
        <f t="shared" si="27"/>
        <v>Standard (3-5 days)</v>
      </c>
    </row>
    <row r="84" spans="1:35" ht="15" customHeight="1" x14ac:dyDescent="0.3">
      <c r="A84">
        <v>83</v>
      </c>
      <c r="B84" t="s">
        <v>546</v>
      </c>
      <c r="C84" s="12">
        <v>41924</v>
      </c>
      <c r="D84" s="12">
        <v>41928</v>
      </c>
      <c r="E84" t="s">
        <v>233</v>
      </c>
      <c r="F84" t="s">
        <v>547</v>
      </c>
      <c r="G84" t="s">
        <v>548</v>
      </c>
      <c r="H84" t="s">
        <v>209</v>
      </c>
      <c r="I84" t="s">
        <v>210</v>
      </c>
      <c r="J84" t="s">
        <v>310</v>
      </c>
      <c r="K84" t="s">
        <v>226</v>
      </c>
      <c r="L84">
        <v>94122</v>
      </c>
      <c r="M84" t="s">
        <v>227</v>
      </c>
      <c r="N84" t="s">
        <v>551</v>
      </c>
      <c r="O84" t="s">
        <v>229</v>
      </c>
      <c r="P84" t="s">
        <v>242</v>
      </c>
      <c r="Q84" t="s">
        <v>552</v>
      </c>
      <c r="R84" s="13">
        <v>21.39</v>
      </c>
      <c r="S84">
        <v>1</v>
      </c>
      <c r="T84" s="14">
        <v>0</v>
      </c>
      <c r="U84" s="13">
        <v>6.2031000000000001</v>
      </c>
      <c r="V84">
        <f t="shared" si="14"/>
        <v>2014</v>
      </c>
      <c r="W84" t="str">
        <f t="shared" si="15"/>
        <v>Oct</v>
      </c>
      <c r="X84" t="str">
        <f t="shared" si="16"/>
        <v>Q4</v>
      </c>
      <c r="Y84" t="str">
        <f t="shared" si="17"/>
        <v>Sun</v>
      </c>
      <c r="Z84" s="16">
        <f t="shared" si="18"/>
        <v>4</v>
      </c>
      <c r="AA84" s="13">
        <f t="shared" si="19"/>
        <v>21.39</v>
      </c>
      <c r="AB84" s="14">
        <f t="shared" si="20"/>
        <v>0.28999999999999998</v>
      </c>
      <c r="AC84" t="str">
        <f t="shared" si="21"/>
        <v>No Discount</v>
      </c>
      <c r="AD84" t="str">
        <f t="shared" si="22"/>
        <v>Low (&lt;$50)</v>
      </c>
      <c r="AE84" t="str">
        <f t="shared" si="23"/>
        <v>Small (1-2 units)</v>
      </c>
      <c r="AF84" t="str">
        <f t="shared" si="24"/>
        <v>Profitable</v>
      </c>
      <c r="AG84" t="str">
        <f t="shared" si="25"/>
        <v>High Margin</v>
      </c>
      <c r="AH84" t="str">
        <f t="shared" si="26"/>
        <v>Repeat Customer</v>
      </c>
      <c r="AI84" t="str">
        <f t="shared" si="27"/>
        <v>Standard (3-5 days)</v>
      </c>
    </row>
    <row r="85" spans="1:35" ht="15" customHeight="1" x14ac:dyDescent="0.3">
      <c r="A85">
        <v>84</v>
      </c>
      <c r="B85" t="s">
        <v>553</v>
      </c>
      <c r="C85" s="12">
        <v>42250</v>
      </c>
      <c r="D85" s="12">
        <v>42255</v>
      </c>
      <c r="E85" t="s">
        <v>233</v>
      </c>
      <c r="F85" t="s">
        <v>554</v>
      </c>
      <c r="G85" t="s">
        <v>555</v>
      </c>
      <c r="H85" t="s">
        <v>224</v>
      </c>
      <c r="I85" t="s">
        <v>210</v>
      </c>
      <c r="J85" t="s">
        <v>556</v>
      </c>
      <c r="K85" t="s">
        <v>271</v>
      </c>
      <c r="L85">
        <v>27707</v>
      </c>
      <c r="M85" t="s">
        <v>213</v>
      </c>
      <c r="N85" t="s">
        <v>557</v>
      </c>
      <c r="O85" t="s">
        <v>229</v>
      </c>
      <c r="P85" t="s">
        <v>356</v>
      </c>
      <c r="Q85" t="s">
        <v>558</v>
      </c>
      <c r="R85" s="13">
        <v>200.98400000000001</v>
      </c>
      <c r="S85">
        <v>7</v>
      </c>
      <c r="T85" s="14">
        <v>0.2</v>
      </c>
      <c r="U85" s="13">
        <v>62.807499999999997</v>
      </c>
      <c r="V85">
        <f t="shared" si="14"/>
        <v>2015</v>
      </c>
      <c r="W85" t="str">
        <f t="shared" si="15"/>
        <v>Sep</v>
      </c>
      <c r="X85" t="str">
        <f t="shared" si="16"/>
        <v>Q3</v>
      </c>
      <c r="Y85" t="str">
        <f t="shared" si="17"/>
        <v>Thu</v>
      </c>
      <c r="Z85" s="16">
        <f t="shared" si="18"/>
        <v>5</v>
      </c>
      <c r="AA85" s="13">
        <f t="shared" si="19"/>
        <v>28.712</v>
      </c>
      <c r="AB85" s="14">
        <f t="shared" si="20"/>
        <v>0.3125</v>
      </c>
      <c r="AC85" t="str">
        <f t="shared" si="21"/>
        <v>Low (1-20%)</v>
      </c>
      <c r="AD85" t="str">
        <f t="shared" si="22"/>
        <v>High ($200-$500)</v>
      </c>
      <c r="AE85" t="str">
        <f t="shared" si="23"/>
        <v>Large (6+ units)</v>
      </c>
      <c r="AF85" t="str">
        <f t="shared" si="24"/>
        <v>Profitable</v>
      </c>
      <c r="AG85" t="str">
        <f t="shared" si="25"/>
        <v>High Margin</v>
      </c>
      <c r="AH85" t="str">
        <f t="shared" si="26"/>
        <v>Repeat Customer</v>
      </c>
      <c r="AI85" t="str">
        <f t="shared" si="27"/>
        <v>Standard (3-5 days)</v>
      </c>
    </row>
    <row r="86" spans="1:35" ht="15" customHeight="1" x14ac:dyDescent="0.3">
      <c r="A86">
        <v>85</v>
      </c>
      <c r="B86" t="s">
        <v>559</v>
      </c>
      <c r="C86" s="12">
        <v>43052</v>
      </c>
      <c r="D86" s="12">
        <v>43055</v>
      </c>
      <c r="E86" t="s">
        <v>371</v>
      </c>
      <c r="F86" t="s">
        <v>560</v>
      </c>
      <c r="G86" t="s">
        <v>561</v>
      </c>
      <c r="H86" t="s">
        <v>285</v>
      </c>
      <c r="I86" t="s">
        <v>210</v>
      </c>
      <c r="J86" t="s">
        <v>486</v>
      </c>
      <c r="K86" t="s">
        <v>394</v>
      </c>
      <c r="L86">
        <v>60623</v>
      </c>
      <c r="M86" t="s">
        <v>288</v>
      </c>
      <c r="N86" t="s">
        <v>562</v>
      </c>
      <c r="O86" t="s">
        <v>229</v>
      </c>
      <c r="P86" t="s">
        <v>242</v>
      </c>
      <c r="Q86" t="s">
        <v>563</v>
      </c>
      <c r="R86" s="13">
        <v>230.376</v>
      </c>
      <c r="S86">
        <v>3</v>
      </c>
      <c r="T86" s="14">
        <v>0.2</v>
      </c>
      <c r="U86" s="13">
        <v>-48.954900000000002</v>
      </c>
      <c r="V86">
        <f t="shared" si="14"/>
        <v>2017</v>
      </c>
      <c r="W86" t="str">
        <f t="shared" si="15"/>
        <v>Nov</v>
      </c>
      <c r="X86" t="str">
        <f t="shared" si="16"/>
        <v>Q4</v>
      </c>
      <c r="Y86" t="str">
        <f t="shared" si="17"/>
        <v>Mon</v>
      </c>
      <c r="Z86" s="16">
        <f t="shared" si="18"/>
        <v>3</v>
      </c>
      <c r="AA86" s="13">
        <f t="shared" si="19"/>
        <v>76.792000000000002</v>
      </c>
      <c r="AB86" s="14">
        <f t="shared" si="20"/>
        <v>-0.21249999999999999</v>
      </c>
      <c r="AC86" t="str">
        <f t="shared" si="21"/>
        <v>Low (1-20%)</v>
      </c>
      <c r="AD86" t="str">
        <f t="shared" si="22"/>
        <v>High ($200-$500)</v>
      </c>
      <c r="AE86" t="str">
        <f t="shared" si="23"/>
        <v>Medium (3-5 units)</v>
      </c>
      <c r="AF86" t="str">
        <f t="shared" si="24"/>
        <v>Loss-Making</v>
      </c>
      <c r="AG86" t="str">
        <f t="shared" si="25"/>
        <v>Underperforming</v>
      </c>
      <c r="AH86" t="str">
        <f t="shared" si="26"/>
        <v>Repeat Customer</v>
      </c>
      <c r="AI86" t="str">
        <f t="shared" si="27"/>
        <v>Standard (3-5 days)</v>
      </c>
    </row>
    <row r="87" spans="1:35" ht="15" customHeight="1" x14ac:dyDescent="0.3">
      <c r="A87">
        <v>86</v>
      </c>
      <c r="B87" t="s">
        <v>564</v>
      </c>
      <c r="C87" s="12">
        <v>42883</v>
      </c>
      <c r="D87" s="12">
        <v>42885</v>
      </c>
      <c r="E87" t="s">
        <v>206</v>
      </c>
      <c r="F87" t="s">
        <v>418</v>
      </c>
      <c r="G87" t="s">
        <v>419</v>
      </c>
      <c r="H87" t="s">
        <v>209</v>
      </c>
      <c r="I87" t="s">
        <v>210</v>
      </c>
      <c r="J87" t="s">
        <v>565</v>
      </c>
      <c r="K87" t="s">
        <v>566</v>
      </c>
      <c r="L87">
        <v>29203</v>
      </c>
      <c r="M87" t="s">
        <v>213</v>
      </c>
      <c r="N87" t="s">
        <v>567</v>
      </c>
      <c r="O87" t="s">
        <v>215</v>
      </c>
      <c r="P87" t="s">
        <v>219</v>
      </c>
      <c r="Q87" t="s">
        <v>568</v>
      </c>
      <c r="R87" s="13">
        <v>301.95999999999998</v>
      </c>
      <c r="S87">
        <v>2</v>
      </c>
      <c r="T87" s="14">
        <v>0</v>
      </c>
      <c r="U87" s="13">
        <v>33.215600000000002</v>
      </c>
      <c r="V87">
        <f t="shared" si="14"/>
        <v>2017</v>
      </c>
      <c r="W87" t="str">
        <f t="shared" si="15"/>
        <v>May</v>
      </c>
      <c r="X87" t="str">
        <f t="shared" si="16"/>
        <v>Q2</v>
      </c>
      <c r="Y87" t="str">
        <f t="shared" si="17"/>
        <v>Sun</v>
      </c>
      <c r="Z87" s="16">
        <f t="shared" si="18"/>
        <v>2</v>
      </c>
      <c r="AA87" s="13">
        <f t="shared" si="19"/>
        <v>150.97999999999999</v>
      </c>
      <c r="AB87" s="14">
        <f t="shared" si="20"/>
        <v>0.11000000000000001</v>
      </c>
      <c r="AC87" t="str">
        <f t="shared" si="21"/>
        <v>No Discount</v>
      </c>
      <c r="AD87" t="str">
        <f t="shared" si="22"/>
        <v>High ($200-$500)</v>
      </c>
      <c r="AE87" t="str">
        <f t="shared" si="23"/>
        <v>Small (1-2 units)</v>
      </c>
      <c r="AF87" t="str">
        <f t="shared" si="24"/>
        <v>Profitable</v>
      </c>
      <c r="AG87" t="str">
        <f t="shared" si="25"/>
        <v>Healthy Margin</v>
      </c>
      <c r="AH87" t="str">
        <f t="shared" si="26"/>
        <v>Repeat Customer</v>
      </c>
      <c r="AI87" t="str">
        <f t="shared" si="27"/>
        <v>Fast (&lt;=2 days)</v>
      </c>
    </row>
    <row r="88" spans="1:35" ht="15" customHeight="1" x14ac:dyDescent="0.3">
      <c r="A88">
        <v>87</v>
      </c>
      <c r="B88" t="s">
        <v>569</v>
      </c>
      <c r="C88" s="12">
        <v>43034</v>
      </c>
      <c r="D88" s="12">
        <v>43041</v>
      </c>
      <c r="E88" t="s">
        <v>233</v>
      </c>
      <c r="F88" t="s">
        <v>570</v>
      </c>
      <c r="G88" t="s">
        <v>571</v>
      </c>
      <c r="H88" t="s">
        <v>209</v>
      </c>
      <c r="I88" t="s">
        <v>210</v>
      </c>
      <c r="J88" t="s">
        <v>572</v>
      </c>
      <c r="K88" t="s">
        <v>412</v>
      </c>
      <c r="L88">
        <v>55901</v>
      </c>
      <c r="M88" t="s">
        <v>288</v>
      </c>
      <c r="N88" t="s">
        <v>573</v>
      </c>
      <c r="O88" t="s">
        <v>254</v>
      </c>
      <c r="P88" t="s">
        <v>344</v>
      </c>
      <c r="Q88" t="s">
        <v>574</v>
      </c>
      <c r="R88" s="13">
        <v>19.989999999999998</v>
      </c>
      <c r="S88">
        <v>1</v>
      </c>
      <c r="T88" s="14">
        <v>0</v>
      </c>
      <c r="U88" s="13">
        <v>6.7965999999999998</v>
      </c>
      <c r="V88">
        <f t="shared" si="14"/>
        <v>2017</v>
      </c>
      <c r="W88" t="str">
        <f t="shared" si="15"/>
        <v>Oct</v>
      </c>
      <c r="X88" t="str">
        <f t="shared" si="16"/>
        <v>Q4</v>
      </c>
      <c r="Y88" t="str">
        <f t="shared" si="17"/>
        <v>Thu</v>
      </c>
      <c r="Z88" s="16">
        <f t="shared" si="18"/>
        <v>7</v>
      </c>
      <c r="AA88" s="13">
        <f t="shared" si="19"/>
        <v>19.989999999999998</v>
      </c>
      <c r="AB88" s="14">
        <f t="shared" si="20"/>
        <v>0.34</v>
      </c>
      <c r="AC88" t="str">
        <f t="shared" si="21"/>
        <v>No Discount</v>
      </c>
      <c r="AD88" t="str">
        <f t="shared" si="22"/>
        <v>Low (&lt;$50)</v>
      </c>
      <c r="AE88" t="str">
        <f t="shared" si="23"/>
        <v>Small (1-2 units)</v>
      </c>
      <c r="AF88" t="str">
        <f t="shared" si="24"/>
        <v>Profitable</v>
      </c>
      <c r="AG88" t="str">
        <f t="shared" si="25"/>
        <v>High Margin</v>
      </c>
      <c r="AH88" t="str">
        <f t="shared" si="26"/>
        <v>Repeat Customer</v>
      </c>
      <c r="AI88" t="str">
        <f t="shared" si="27"/>
        <v>Slow (6+ days)</v>
      </c>
    </row>
    <row r="89" spans="1:35" ht="15" customHeight="1" x14ac:dyDescent="0.3">
      <c r="A89">
        <v>88</v>
      </c>
      <c r="B89" t="s">
        <v>569</v>
      </c>
      <c r="C89" s="12">
        <v>43034</v>
      </c>
      <c r="D89" s="12">
        <v>43041</v>
      </c>
      <c r="E89" t="s">
        <v>233</v>
      </c>
      <c r="F89" t="s">
        <v>570</v>
      </c>
      <c r="G89" t="s">
        <v>571</v>
      </c>
      <c r="H89" t="s">
        <v>209</v>
      </c>
      <c r="I89" t="s">
        <v>210</v>
      </c>
      <c r="J89" t="s">
        <v>572</v>
      </c>
      <c r="K89" t="s">
        <v>412</v>
      </c>
      <c r="L89">
        <v>55901</v>
      </c>
      <c r="M89" t="s">
        <v>288</v>
      </c>
      <c r="N89" t="s">
        <v>575</v>
      </c>
      <c r="O89" t="s">
        <v>229</v>
      </c>
      <c r="P89" t="s">
        <v>230</v>
      </c>
      <c r="Q89" t="s">
        <v>576</v>
      </c>
      <c r="R89" s="13">
        <v>6.16</v>
      </c>
      <c r="S89">
        <v>2</v>
      </c>
      <c r="T89" s="14">
        <v>0</v>
      </c>
      <c r="U89" s="13">
        <v>2.9567999999999999</v>
      </c>
      <c r="V89">
        <f t="shared" si="14"/>
        <v>2017</v>
      </c>
      <c r="W89" t="str">
        <f t="shared" si="15"/>
        <v>Oct</v>
      </c>
      <c r="X89" t="str">
        <f t="shared" si="16"/>
        <v>Q4</v>
      </c>
      <c r="Y89" t="str">
        <f t="shared" si="17"/>
        <v>Thu</v>
      </c>
      <c r="Z89" s="16">
        <f t="shared" si="18"/>
        <v>7</v>
      </c>
      <c r="AA89" s="13">
        <f t="shared" si="19"/>
        <v>3.08</v>
      </c>
      <c r="AB89" s="14">
        <f t="shared" si="20"/>
        <v>0.48</v>
      </c>
      <c r="AC89" t="str">
        <f t="shared" si="21"/>
        <v>No Discount</v>
      </c>
      <c r="AD89" t="str">
        <f t="shared" si="22"/>
        <v>Low (&lt;$50)</v>
      </c>
      <c r="AE89" t="str">
        <f t="shared" si="23"/>
        <v>Small (1-2 units)</v>
      </c>
      <c r="AF89" t="str">
        <f t="shared" si="24"/>
        <v>Profitable</v>
      </c>
      <c r="AG89" t="str">
        <f t="shared" si="25"/>
        <v>High Margin</v>
      </c>
      <c r="AH89" t="str">
        <f t="shared" si="26"/>
        <v>Repeat Customer</v>
      </c>
      <c r="AI89" t="str">
        <f t="shared" si="27"/>
        <v>Slow (6+ days)</v>
      </c>
    </row>
    <row r="90" spans="1:35" ht="15" customHeight="1" x14ac:dyDescent="0.3">
      <c r="A90">
        <v>89</v>
      </c>
      <c r="B90" t="s">
        <v>577</v>
      </c>
      <c r="C90" s="12">
        <v>42465</v>
      </c>
      <c r="D90" s="12">
        <v>42470</v>
      </c>
      <c r="E90" t="s">
        <v>206</v>
      </c>
      <c r="F90" t="s">
        <v>578</v>
      </c>
      <c r="G90" t="s">
        <v>579</v>
      </c>
      <c r="H90" t="s">
        <v>285</v>
      </c>
      <c r="I90" t="s">
        <v>210</v>
      </c>
      <c r="J90" t="s">
        <v>367</v>
      </c>
      <c r="K90" t="s">
        <v>287</v>
      </c>
      <c r="L90">
        <v>77095</v>
      </c>
      <c r="M90" t="s">
        <v>288</v>
      </c>
      <c r="N90" t="s">
        <v>580</v>
      </c>
      <c r="O90" t="s">
        <v>229</v>
      </c>
      <c r="P90" t="s">
        <v>242</v>
      </c>
      <c r="Q90" t="s">
        <v>581</v>
      </c>
      <c r="R90" s="13">
        <v>158.36799999999999</v>
      </c>
      <c r="S90">
        <v>7</v>
      </c>
      <c r="T90" s="14">
        <v>0.2</v>
      </c>
      <c r="U90" s="13">
        <v>13.857200000000001</v>
      </c>
      <c r="V90">
        <f t="shared" si="14"/>
        <v>2016</v>
      </c>
      <c r="W90" t="str">
        <f t="shared" si="15"/>
        <v>Apr</v>
      </c>
      <c r="X90" t="str">
        <f t="shared" si="16"/>
        <v>Q2</v>
      </c>
      <c r="Y90" t="str">
        <f t="shared" si="17"/>
        <v>Tue</v>
      </c>
      <c r="Z90" s="16">
        <f t="shared" si="18"/>
        <v>5</v>
      </c>
      <c r="AA90" s="13">
        <f t="shared" si="19"/>
        <v>22.623999999999999</v>
      </c>
      <c r="AB90" s="14">
        <f t="shared" si="20"/>
        <v>8.7500000000000008E-2</v>
      </c>
      <c r="AC90" t="str">
        <f t="shared" si="21"/>
        <v>Low (1-20%)</v>
      </c>
      <c r="AD90" t="str">
        <f t="shared" si="22"/>
        <v>Medium ($50-$200)</v>
      </c>
      <c r="AE90" t="str">
        <f t="shared" si="23"/>
        <v>Large (6+ units)</v>
      </c>
      <c r="AF90" t="str">
        <f t="shared" si="24"/>
        <v>Profitable</v>
      </c>
      <c r="AG90" t="str">
        <f t="shared" si="25"/>
        <v>Low Margin</v>
      </c>
      <c r="AH90" t="str">
        <f t="shared" si="26"/>
        <v>Single Purchase</v>
      </c>
      <c r="AI90" t="str">
        <f t="shared" si="27"/>
        <v>Standard (3-5 days)</v>
      </c>
    </row>
    <row r="91" spans="1:35" ht="15" customHeight="1" x14ac:dyDescent="0.3">
      <c r="A91">
        <v>90</v>
      </c>
      <c r="B91" t="s">
        <v>582</v>
      </c>
      <c r="C91" s="12">
        <v>42630</v>
      </c>
      <c r="D91" s="12">
        <v>42635</v>
      </c>
      <c r="E91" t="s">
        <v>233</v>
      </c>
      <c r="F91" t="s">
        <v>583</v>
      </c>
      <c r="G91" t="s">
        <v>584</v>
      </c>
      <c r="H91" t="s">
        <v>224</v>
      </c>
      <c r="I91" t="s">
        <v>210</v>
      </c>
      <c r="J91" t="s">
        <v>225</v>
      </c>
      <c r="K91" t="s">
        <v>226</v>
      </c>
      <c r="L91">
        <v>90036</v>
      </c>
      <c r="M91" t="s">
        <v>227</v>
      </c>
      <c r="N91" t="s">
        <v>585</v>
      </c>
      <c r="O91" t="s">
        <v>229</v>
      </c>
      <c r="P91" t="s">
        <v>251</v>
      </c>
      <c r="Q91" t="s">
        <v>586</v>
      </c>
      <c r="R91" s="13">
        <v>20.100000000000001</v>
      </c>
      <c r="S91">
        <v>3</v>
      </c>
      <c r="T91" s="14">
        <v>0</v>
      </c>
      <c r="U91" s="13">
        <v>6.633</v>
      </c>
      <c r="V91">
        <f t="shared" si="14"/>
        <v>2016</v>
      </c>
      <c r="W91" t="str">
        <f t="shared" si="15"/>
        <v>Sep</v>
      </c>
      <c r="X91" t="str">
        <f t="shared" si="16"/>
        <v>Q3</v>
      </c>
      <c r="Y91" t="str">
        <f t="shared" si="17"/>
        <v>Sat</v>
      </c>
      <c r="Z91" s="16">
        <f t="shared" si="18"/>
        <v>5</v>
      </c>
      <c r="AA91" s="13">
        <f t="shared" si="19"/>
        <v>6.7</v>
      </c>
      <c r="AB91" s="14">
        <f t="shared" si="20"/>
        <v>0.32999999999999996</v>
      </c>
      <c r="AC91" t="str">
        <f t="shared" si="21"/>
        <v>No Discount</v>
      </c>
      <c r="AD91" t="str">
        <f t="shared" si="22"/>
        <v>Low (&lt;$50)</v>
      </c>
      <c r="AE91" t="str">
        <f t="shared" si="23"/>
        <v>Medium (3-5 units)</v>
      </c>
      <c r="AF91" t="str">
        <f t="shared" si="24"/>
        <v>Profitable</v>
      </c>
      <c r="AG91" t="str">
        <f t="shared" si="25"/>
        <v>High Margin</v>
      </c>
      <c r="AH91" t="str">
        <f t="shared" si="26"/>
        <v>Repeat Customer</v>
      </c>
      <c r="AI91" t="str">
        <f t="shared" si="27"/>
        <v>Standard (3-5 days)</v>
      </c>
    </row>
    <row r="92" spans="1:35" ht="15" customHeight="1" x14ac:dyDescent="0.3">
      <c r="A92">
        <v>91</v>
      </c>
      <c r="B92" t="s">
        <v>582</v>
      </c>
      <c r="C92" s="12">
        <v>42630</v>
      </c>
      <c r="D92" s="12">
        <v>42635</v>
      </c>
      <c r="E92" t="s">
        <v>233</v>
      </c>
      <c r="F92" t="s">
        <v>583</v>
      </c>
      <c r="G92" t="s">
        <v>584</v>
      </c>
      <c r="H92" t="s">
        <v>224</v>
      </c>
      <c r="I92" t="s">
        <v>210</v>
      </c>
      <c r="J92" t="s">
        <v>225</v>
      </c>
      <c r="K92" t="s">
        <v>226</v>
      </c>
      <c r="L92">
        <v>90036</v>
      </c>
      <c r="M92" t="s">
        <v>227</v>
      </c>
      <c r="N92" t="s">
        <v>395</v>
      </c>
      <c r="O92" t="s">
        <v>254</v>
      </c>
      <c r="P92" t="s">
        <v>255</v>
      </c>
      <c r="Q92" t="s">
        <v>396</v>
      </c>
      <c r="R92" s="13">
        <v>73.584000000000003</v>
      </c>
      <c r="S92">
        <v>2</v>
      </c>
      <c r="T92" s="14">
        <v>0.2</v>
      </c>
      <c r="U92" s="13">
        <v>8.2782</v>
      </c>
      <c r="V92">
        <f t="shared" si="14"/>
        <v>2016</v>
      </c>
      <c r="W92" t="str">
        <f t="shared" si="15"/>
        <v>Sep</v>
      </c>
      <c r="X92" t="str">
        <f t="shared" si="16"/>
        <v>Q3</v>
      </c>
      <c r="Y92" t="str">
        <f t="shared" si="17"/>
        <v>Sat</v>
      </c>
      <c r="Z92" s="16">
        <f t="shared" si="18"/>
        <v>5</v>
      </c>
      <c r="AA92" s="13">
        <f t="shared" si="19"/>
        <v>36.792000000000002</v>
      </c>
      <c r="AB92" s="14">
        <f t="shared" si="20"/>
        <v>0.11249999999999999</v>
      </c>
      <c r="AC92" t="str">
        <f t="shared" si="21"/>
        <v>Low (1-20%)</v>
      </c>
      <c r="AD92" t="str">
        <f t="shared" si="22"/>
        <v>Medium ($50-$200)</v>
      </c>
      <c r="AE92" t="str">
        <f t="shared" si="23"/>
        <v>Small (1-2 units)</v>
      </c>
      <c r="AF92" t="str">
        <f t="shared" si="24"/>
        <v>Profitable</v>
      </c>
      <c r="AG92" t="str">
        <f t="shared" si="25"/>
        <v>Healthy Margin</v>
      </c>
      <c r="AH92" t="str">
        <f t="shared" si="26"/>
        <v>Repeat Customer</v>
      </c>
      <c r="AI92" t="str">
        <f t="shared" si="27"/>
        <v>Standard (3-5 days)</v>
      </c>
    </row>
    <row r="93" spans="1:35" ht="15" customHeight="1" x14ac:dyDescent="0.3">
      <c r="A93">
        <v>92</v>
      </c>
      <c r="B93" t="s">
        <v>582</v>
      </c>
      <c r="C93" s="12">
        <v>42630</v>
      </c>
      <c r="D93" s="12">
        <v>42635</v>
      </c>
      <c r="E93" t="s">
        <v>233</v>
      </c>
      <c r="F93" t="s">
        <v>583</v>
      </c>
      <c r="G93" t="s">
        <v>584</v>
      </c>
      <c r="H93" t="s">
        <v>224</v>
      </c>
      <c r="I93" t="s">
        <v>210</v>
      </c>
      <c r="J93" t="s">
        <v>225</v>
      </c>
      <c r="K93" t="s">
        <v>226</v>
      </c>
      <c r="L93">
        <v>90036</v>
      </c>
      <c r="M93" t="s">
        <v>227</v>
      </c>
      <c r="N93" t="s">
        <v>587</v>
      </c>
      <c r="O93" t="s">
        <v>229</v>
      </c>
      <c r="P93" t="s">
        <v>273</v>
      </c>
      <c r="Q93" t="s">
        <v>588</v>
      </c>
      <c r="R93" s="13">
        <v>6.48</v>
      </c>
      <c r="S93">
        <v>1</v>
      </c>
      <c r="T93" s="14">
        <v>0</v>
      </c>
      <c r="U93" s="13">
        <v>3.1103999999999998</v>
      </c>
      <c r="V93">
        <f t="shared" si="14"/>
        <v>2016</v>
      </c>
      <c r="W93" t="str">
        <f t="shared" si="15"/>
        <v>Sep</v>
      </c>
      <c r="X93" t="str">
        <f t="shared" si="16"/>
        <v>Q3</v>
      </c>
      <c r="Y93" t="str">
        <f t="shared" si="17"/>
        <v>Sat</v>
      </c>
      <c r="Z93" s="16">
        <f t="shared" si="18"/>
        <v>5</v>
      </c>
      <c r="AA93" s="13">
        <f t="shared" si="19"/>
        <v>6.48</v>
      </c>
      <c r="AB93" s="14">
        <f t="shared" si="20"/>
        <v>0.47999999999999993</v>
      </c>
      <c r="AC93" t="str">
        <f t="shared" si="21"/>
        <v>No Discount</v>
      </c>
      <c r="AD93" t="str">
        <f t="shared" si="22"/>
        <v>Low (&lt;$50)</v>
      </c>
      <c r="AE93" t="str">
        <f t="shared" si="23"/>
        <v>Small (1-2 units)</v>
      </c>
      <c r="AF93" t="str">
        <f t="shared" si="24"/>
        <v>Profitable</v>
      </c>
      <c r="AG93" t="str">
        <f t="shared" si="25"/>
        <v>High Margin</v>
      </c>
      <c r="AH93" t="str">
        <f t="shared" si="26"/>
        <v>Repeat Customer</v>
      </c>
      <c r="AI93" t="str">
        <f t="shared" si="27"/>
        <v>Standard (3-5 days)</v>
      </c>
    </row>
    <row r="94" spans="1:35" ht="15" customHeight="1" x14ac:dyDescent="0.3">
      <c r="A94">
        <v>93</v>
      </c>
      <c r="B94" t="s">
        <v>589</v>
      </c>
      <c r="C94" s="12">
        <v>42035</v>
      </c>
      <c r="D94" s="12">
        <v>42040</v>
      </c>
      <c r="E94" t="s">
        <v>206</v>
      </c>
      <c r="F94" t="s">
        <v>590</v>
      </c>
      <c r="G94" t="s">
        <v>591</v>
      </c>
      <c r="H94" t="s">
        <v>209</v>
      </c>
      <c r="I94" t="s">
        <v>210</v>
      </c>
      <c r="J94" t="s">
        <v>592</v>
      </c>
      <c r="K94" t="s">
        <v>412</v>
      </c>
      <c r="L94">
        <v>55407</v>
      </c>
      <c r="M94" t="s">
        <v>288</v>
      </c>
      <c r="N94" t="s">
        <v>593</v>
      </c>
      <c r="O94" t="s">
        <v>229</v>
      </c>
      <c r="P94" t="s">
        <v>273</v>
      </c>
      <c r="Q94" t="s">
        <v>594</v>
      </c>
      <c r="R94" s="13">
        <v>12.96</v>
      </c>
      <c r="S94">
        <v>2</v>
      </c>
      <c r="T94" s="14">
        <v>0</v>
      </c>
      <c r="U94" s="13">
        <v>6.2207999999999997</v>
      </c>
      <c r="V94">
        <f t="shared" si="14"/>
        <v>2015</v>
      </c>
      <c r="W94" t="str">
        <f t="shared" si="15"/>
        <v>Jan</v>
      </c>
      <c r="X94" t="str">
        <f t="shared" si="16"/>
        <v>Q1</v>
      </c>
      <c r="Y94" t="str">
        <f t="shared" si="17"/>
        <v>Sat</v>
      </c>
      <c r="Z94" s="16">
        <f t="shared" si="18"/>
        <v>5</v>
      </c>
      <c r="AA94" s="13">
        <f t="shared" si="19"/>
        <v>6.48</v>
      </c>
      <c r="AB94" s="14">
        <f t="shared" si="20"/>
        <v>0.47999999999999993</v>
      </c>
      <c r="AC94" t="str">
        <f t="shared" si="21"/>
        <v>No Discount</v>
      </c>
      <c r="AD94" t="str">
        <f t="shared" si="22"/>
        <v>Low (&lt;$50)</v>
      </c>
      <c r="AE94" t="str">
        <f t="shared" si="23"/>
        <v>Small (1-2 units)</v>
      </c>
      <c r="AF94" t="str">
        <f t="shared" si="24"/>
        <v>Profitable</v>
      </c>
      <c r="AG94" t="str">
        <f t="shared" si="25"/>
        <v>High Margin</v>
      </c>
      <c r="AH94" t="str">
        <f t="shared" si="26"/>
        <v>Repeat Customer</v>
      </c>
      <c r="AI94" t="str">
        <f t="shared" si="27"/>
        <v>Standard (3-5 days)</v>
      </c>
    </row>
    <row r="95" spans="1:35" ht="15" customHeight="1" x14ac:dyDescent="0.3">
      <c r="A95">
        <v>94</v>
      </c>
      <c r="B95" t="s">
        <v>589</v>
      </c>
      <c r="C95" s="12">
        <v>42035</v>
      </c>
      <c r="D95" s="12">
        <v>42040</v>
      </c>
      <c r="E95" t="s">
        <v>206</v>
      </c>
      <c r="F95" t="s">
        <v>590</v>
      </c>
      <c r="G95" t="s">
        <v>591</v>
      </c>
      <c r="H95" t="s">
        <v>209</v>
      </c>
      <c r="I95" t="s">
        <v>210</v>
      </c>
      <c r="J95" t="s">
        <v>592</v>
      </c>
      <c r="K95" t="s">
        <v>412</v>
      </c>
      <c r="L95">
        <v>55407</v>
      </c>
      <c r="M95" t="s">
        <v>288</v>
      </c>
      <c r="N95" t="s">
        <v>595</v>
      </c>
      <c r="O95" t="s">
        <v>215</v>
      </c>
      <c r="P95" t="s">
        <v>248</v>
      </c>
      <c r="Q95" t="s">
        <v>596</v>
      </c>
      <c r="R95" s="13">
        <v>53.34</v>
      </c>
      <c r="S95">
        <v>3</v>
      </c>
      <c r="T95" s="14">
        <v>0</v>
      </c>
      <c r="U95" s="13">
        <v>16.535399999999999</v>
      </c>
      <c r="V95">
        <f t="shared" si="14"/>
        <v>2015</v>
      </c>
      <c r="W95" t="str">
        <f t="shared" si="15"/>
        <v>Jan</v>
      </c>
      <c r="X95" t="str">
        <f t="shared" si="16"/>
        <v>Q1</v>
      </c>
      <c r="Y95" t="str">
        <f t="shared" si="17"/>
        <v>Sat</v>
      </c>
      <c r="Z95" s="16">
        <f t="shared" si="18"/>
        <v>5</v>
      </c>
      <c r="AA95" s="13">
        <f t="shared" si="19"/>
        <v>17.78</v>
      </c>
      <c r="AB95" s="14">
        <f t="shared" si="20"/>
        <v>0.30999999999999994</v>
      </c>
      <c r="AC95" t="str">
        <f t="shared" si="21"/>
        <v>No Discount</v>
      </c>
      <c r="AD95" t="str">
        <f t="shared" si="22"/>
        <v>Medium ($50-$200)</v>
      </c>
      <c r="AE95" t="str">
        <f t="shared" si="23"/>
        <v>Medium (3-5 units)</v>
      </c>
      <c r="AF95" t="str">
        <f t="shared" si="24"/>
        <v>Profitable</v>
      </c>
      <c r="AG95" t="str">
        <f t="shared" si="25"/>
        <v>High Margin</v>
      </c>
      <c r="AH95" t="str">
        <f t="shared" si="26"/>
        <v>Repeat Customer</v>
      </c>
      <c r="AI95" t="str">
        <f t="shared" si="27"/>
        <v>Standard (3-5 days)</v>
      </c>
    </row>
    <row r="96" spans="1:35" ht="15" customHeight="1" x14ac:dyDescent="0.3">
      <c r="A96">
        <v>95</v>
      </c>
      <c r="B96" t="s">
        <v>589</v>
      </c>
      <c r="C96" s="12">
        <v>42035</v>
      </c>
      <c r="D96" s="12">
        <v>42040</v>
      </c>
      <c r="E96" t="s">
        <v>206</v>
      </c>
      <c r="F96" t="s">
        <v>590</v>
      </c>
      <c r="G96" t="s">
        <v>591</v>
      </c>
      <c r="H96" t="s">
        <v>209</v>
      </c>
      <c r="I96" t="s">
        <v>210</v>
      </c>
      <c r="J96" t="s">
        <v>592</v>
      </c>
      <c r="K96" t="s">
        <v>412</v>
      </c>
      <c r="L96">
        <v>55407</v>
      </c>
      <c r="M96" t="s">
        <v>288</v>
      </c>
      <c r="N96" t="s">
        <v>597</v>
      </c>
      <c r="O96" t="s">
        <v>229</v>
      </c>
      <c r="P96" t="s">
        <v>258</v>
      </c>
      <c r="Q96" t="s">
        <v>598</v>
      </c>
      <c r="R96" s="13">
        <v>32.96</v>
      </c>
      <c r="S96">
        <v>2</v>
      </c>
      <c r="T96" s="14">
        <v>0</v>
      </c>
      <c r="U96" s="13">
        <v>16.150400000000001</v>
      </c>
      <c r="V96">
        <f t="shared" si="14"/>
        <v>2015</v>
      </c>
      <c r="W96" t="str">
        <f t="shared" si="15"/>
        <v>Jan</v>
      </c>
      <c r="X96" t="str">
        <f t="shared" si="16"/>
        <v>Q1</v>
      </c>
      <c r="Y96" t="str">
        <f t="shared" si="17"/>
        <v>Sat</v>
      </c>
      <c r="Z96" s="16">
        <f t="shared" si="18"/>
        <v>5</v>
      </c>
      <c r="AA96" s="13">
        <f t="shared" si="19"/>
        <v>16.48</v>
      </c>
      <c r="AB96" s="14">
        <f t="shared" si="20"/>
        <v>0.49000000000000005</v>
      </c>
      <c r="AC96" t="str">
        <f t="shared" si="21"/>
        <v>No Discount</v>
      </c>
      <c r="AD96" t="str">
        <f t="shared" si="22"/>
        <v>Low (&lt;$50)</v>
      </c>
      <c r="AE96" t="str">
        <f t="shared" si="23"/>
        <v>Small (1-2 units)</v>
      </c>
      <c r="AF96" t="str">
        <f t="shared" si="24"/>
        <v>Profitable</v>
      </c>
      <c r="AG96" t="str">
        <f t="shared" si="25"/>
        <v>High Margin</v>
      </c>
      <c r="AH96" t="str">
        <f t="shared" si="26"/>
        <v>Repeat Customer</v>
      </c>
      <c r="AI96" t="str">
        <f t="shared" si="27"/>
        <v>Standard (3-5 days)</v>
      </c>
    </row>
    <row r="97" spans="1:35" ht="15" customHeight="1" x14ac:dyDescent="0.3">
      <c r="A97">
        <v>96</v>
      </c>
      <c r="B97" t="s">
        <v>599</v>
      </c>
      <c r="C97" s="12">
        <v>43045</v>
      </c>
      <c r="D97" s="12">
        <v>43051</v>
      </c>
      <c r="E97" t="s">
        <v>233</v>
      </c>
      <c r="F97" t="s">
        <v>600</v>
      </c>
      <c r="G97" t="s">
        <v>601</v>
      </c>
      <c r="H97" t="s">
        <v>285</v>
      </c>
      <c r="I97" t="s">
        <v>210</v>
      </c>
      <c r="J97" t="s">
        <v>602</v>
      </c>
      <c r="K97" t="s">
        <v>603</v>
      </c>
      <c r="L97">
        <v>97206</v>
      </c>
      <c r="M97" t="s">
        <v>227</v>
      </c>
      <c r="N97" t="s">
        <v>604</v>
      </c>
      <c r="O97" t="s">
        <v>229</v>
      </c>
      <c r="P97" t="s">
        <v>258</v>
      </c>
      <c r="Q97" t="s">
        <v>605</v>
      </c>
      <c r="R97" s="13">
        <v>5.6820000000000004</v>
      </c>
      <c r="S97">
        <v>1</v>
      </c>
      <c r="T97" s="14">
        <v>0.7</v>
      </c>
      <c r="U97" s="13">
        <v>-3.7879999999999998</v>
      </c>
      <c r="V97">
        <f t="shared" si="14"/>
        <v>2017</v>
      </c>
      <c r="W97" t="str">
        <f t="shared" si="15"/>
        <v>Nov</v>
      </c>
      <c r="X97" t="str">
        <f t="shared" si="16"/>
        <v>Q4</v>
      </c>
      <c r="Y97" t="str">
        <f t="shared" si="17"/>
        <v>Mon</v>
      </c>
      <c r="Z97" s="16">
        <f t="shared" si="18"/>
        <v>6</v>
      </c>
      <c r="AA97" s="13">
        <f t="shared" si="19"/>
        <v>5.6820000000000004</v>
      </c>
      <c r="AB97" s="14">
        <f t="shared" si="20"/>
        <v>-0.66666666666666663</v>
      </c>
      <c r="AC97" t="str">
        <f t="shared" si="21"/>
        <v>High (40%+)</v>
      </c>
      <c r="AD97" t="str">
        <f t="shared" si="22"/>
        <v>Low (&lt;$50)</v>
      </c>
      <c r="AE97" t="str">
        <f t="shared" si="23"/>
        <v>Small (1-2 units)</v>
      </c>
      <c r="AF97" t="str">
        <f t="shared" si="24"/>
        <v>Loss-Making</v>
      </c>
      <c r="AG97" t="str">
        <f t="shared" si="25"/>
        <v>Underperforming</v>
      </c>
      <c r="AH97" t="str">
        <f t="shared" si="26"/>
        <v>Single Purchase</v>
      </c>
      <c r="AI97" t="str">
        <f t="shared" si="27"/>
        <v>Slow (6+ days)</v>
      </c>
    </row>
    <row r="98" spans="1:35" ht="15" customHeight="1" x14ac:dyDescent="0.3">
      <c r="A98">
        <v>97</v>
      </c>
      <c r="B98" t="s">
        <v>606</v>
      </c>
      <c r="C98" s="12">
        <v>43048</v>
      </c>
      <c r="D98" s="12">
        <v>43050</v>
      </c>
      <c r="E98" t="s">
        <v>206</v>
      </c>
      <c r="F98" t="s">
        <v>607</v>
      </c>
      <c r="G98" t="s">
        <v>608</v>
      </c>
      <c r="H98" t="s">
        <v>285</v>
      </c>
      <c r="I98" t="s">
        <v>210</v>
      </c>
      <c r="J98" t="s">
        <v>449</v>
      </c>
      <c r="K98" t="s">
        <v>450</v>
      </c>
      <c r="L98">
        <v>10009</v>
      </c>
      <c r="M98" t="s">
        <v>331</v>
      </c>
      <c r="N98" t="s">
        <v>609</v>
      </c>
      <c r="O98" t="s">
        <v>215</v>
      </c>
      <c r="P98" t="s">
        <v>248</v>
      </c>
      <c r="Q98" t="s">
        <v>610</v>
      </c>
      <c r="R98" s="13">
        <v>96.53</v>
      </c>
      <c r="S98">
        <v>7</v>
      </c>
      <c r="T98" s="14">
        <v>0</v>
      </c>
      <c r="U98" s="13">
        <v>40.5426</v>
      </c>
      <c r="V98">
        <f t="shared" si="14"/>
        <v>2017</v>
      </c>
      <c r="W98" t="str">
        <f t="shared" si="15"/>
        <v>Nov</v>
      </c>
      <c r="X98" t="str">
        <f t="shared" si="16"/>
        <v>Q4</v>
      </c>
      <c r="Y98" t="str">
        <f t="shared" si="17"/>
        <v>Thu</v>
      </c>
      <c r="Z98" s="16">
        <f t="shared" si="18"/>
        <v>2</v>
      </c>
      <c r="AA98" s="13">
        <f t="shared" si="19"/>
        <v>13.790000000000001</v>
      </c>
      <c r="AB98" s="14">
        <f t="shared" si="20"/>
        <v>0.42</v>
      </c>
      <c r="AC98" t="str">
        <f t="shared" si="21"/>
        <v>No Discount</v>
      </c>
      <c r="AD98" t="str">
        <f t="shared" si="22"/>
        <v>Medium ($50-$200)</v>
      </c>
      <c r="AE98" t="str">
        <f t="shared" si="23"/>
        <v>Large (6+ units)</v>
      </c>
      <c r="AF98" t="str">
        <f t="shared" si="24"/>
        <v>Profitable</v>
      </c>
      <c r="AG98" t="str">
        <f t="shared" si="25"/>
        <v>High Margin</v>
      </c>
      <c r="AH98" t="str">
        <f t="shared" si="26"/>
        <v>Single Purchase</v>
      </c>
      <c r="AI98" t="str">
        <f t="shared" si="27"/>
        <v>Fast (&lt;=2 days)</v>
      </c>
    </row>
    <row r="99" spans="1:35" ht="15" customHeight="1" x14ac:dyDescent="0.3">
      <c r="A99">
        <v>98</v>
      </c>
      <c r="B99" t="s">
        <v>611</v>
      </c>
      <c r="C99" s="12">
        <v>42903</v>
      </c>
      <c r="D99" s="12">
        <v>42906</v>
      </c>
      <c r="E99" t="s">
        <v>371</v>
      </c>
      <c r="F99" t="s">
        <v>612</v>
      </c>
      <c r="G99" t="s">
        <v>613</v>
      </c>
      <c r="H99" t="s">
        <v>209</v>
      </c>
      <c r="I99" t="s">
        <v>210</v>
      </c>
      <c r="J99" t="s">
        <v>310</v>
      </c>
      <c r="K99" t="s">
        <v>226</v>
      </c>
      <c r="L99">
        <v>94122</v>
      </c>
      <c r="M99" t="s">
        <v>227</v>
      </c>
      <c r="N99" t="s">
        <v>614</v>
      </c>
      <c r="O99" t="s">
        <v>229</v>
      </c>
      <c r="P99" t="s">
        <v>258</v>
      </c>
      <c r="Q99" t="s">
        <v>615</v>
      </c>
      <c r="R99" s="13">
        <v>51.311999999999998</v>
      </c>
      <c r="S99">
        <v>3</v>
      </c>
      <c r="T99" s="14">
        <v>0.2</v>
      </c>
      <c r="U99" s="13">
        <v>17.959199999999999</v>
      </c>
      <c r="V99">
        <f t="shared" si="14"/>
        <v>2017</v>
      </c>
      <c r="W99" t="str">
        <f t="shared" si="15"/>
        <v>Jun</v>
      </c>
      <c r="X99" t="str">
        <f t="shared" si="16"/>
        <v>Q2</v>
      </c>
      <c r="Y99" t="str">
        <f t="shared" si="17"/>
        <v>Sat</v>
      </c>
      <c r="Z99" s="16">
        <f t="shared" si="18"/>
        <v>3</v>
      </c>
      <c r="AA99" s="13">
        <f t="shared" si="19"/>
        <v>17.103999999999999</v>
      </c>
      <c r="AB99" s="14">
        <f t="shared" si="20"/>
        <v>0.35</v>
      </c>
      <c r="AC99" t="str">
        <f t="shared" si="21"/>
        <v>Low (1-20%)</v>
      </c>
      <c r="AD99" t="str">
        <f t="shared" si="22"/>
        <v>Medium ($50-$200)</v>
      </c>
      <c r="AE99" t="str">
        <f t="shared" si="23"/>
        <v>Medium (3-5 units)</v>
      </c>
      <c r="AF99" t="str">
        <f t="shared" si="24"/>
        <v>Profitable</v>
      </c>
      <c r="AG99" t="str">
        <f t="shared" si="25"/>
        <v>High Margin</v>
      </c>
      <c r="AH99" t="str">
        <f t="shared" si="26"/>
        <v>Single Purchase</v>
      </c>
      <c r="AI99" t="str">
        <f t="shared" si="27"/>
        <v>Standard (3-5 days)</v>
      </c>
    </row>
    <row r="100" spans="1:35" ht="15" customHeight="1" x14ac:dyDescent="0.3">
      <c r="A100">
        <v>99</v>
      </c>
      <c r="B100" t="s">
        <v>616</v>
      </c>
      <c r="C100" s="12">
        <v>42619</v>
      </c>
      <c r="D100" s="12">
        <v>42624</v>
      </c>
      <c r="E100" t="s">
        <v>233</v>
      </c>
      <c r="F100" t="s">
        <v>617</v>
      </c>
      <c r="G100" t="s">
        <v>618</v>
      </c>
      <c r="H100" t="s">
        <v>224</v>
      </c>
      <c r="I100" t="s">
        <v>210</v>
      </c>
      <c r="J100" t="s">
        <v>619</v>
      </c>
      <c r="K100" t="s">
        <v>412</v>
      </c>
      <c r="L100">
        <v>55106</v>
      </c>
      <c r="M100" t="s">
        <v>288</v>
      </c>
      <c r="N100" t="s">
        <v>620</v>
      </c>
      <c r="O100" t="s">
        <v>229</v>
      </c>
      <c r="P100" t="s">
        <v>261</v>
      </c>
      <c r="Q100" t="s">
        <v>621</v>
      </c>
      <c r="R100" s="13">
        <v>77.88</v>
      </c>
      <c r="S100">
        <v>6</v>
      </c>
      <c r="T100" s="14">
        <v>0</v>
      </c>
      <c r="U100" s="13">
        <v>22.5852</v>
      </c>
      <c r="V100">
        <f t="shared" si="14"/>
        <v>2016</v>
      </c>
      <c r="W100" t="str">
        <f t="shared" si="15"/>
        <v>Sep</v>
      </c>
      <c r="X100" t="str">
        <f t="shared" si="16"/>
        <v>Q3</v>
      </c>
      <c r="Y100" t="str">
        <f t="shared" si="17"/>
        <v>Tue</v>
      </c>
      <c r="Z100" s="16">
        <f t="shared" si="18"/>
        <v>5</v>
      </c>
      <c r="AA100" s="13">
        <f t="shared" si="19"/>
        <v>12.979999999999999</v>
      </c>
      <c r="AB100" s="14">
        <f t="shared" si="20"/>
        <v>0.29000000000000004</v>
      </c>
      <c r="AC100" t="str">
        <f t="shared" si="21"/>
        <v>No Discount</v>
      </c>
      <c r="AD100" t="str">
        <f t="shared" si="22"/>
        <v>Medium ($50-$200)</v>
      </c>
      <c r="AE100" t="str">
        <f t="shared" si="23"/>
        <v>Large (6+ units)</v>
      </c>
      <c r="AF100" t="str">
        <f t="shared" si="24"/>
        <v>Profitable</v>
      </c>
      <c r="AG100" t="str">
        <f t="shared" si="25"/>
        <v>High Margin</v>
      </c>
      <c r="AH100" t="str">
        <f t="shared" si="26"/>
        <v>Single Purchase</v>
      </c>
      <c r="AI100" t="str">
        <f t="shared" si="27"/>
        <v>Standard (3-5 days)</v>
      </c>
    </row>
    <row r="101" spans="1:35" ht="15" customHeight="1" x14ac:dyDescent="0.3">
      <c r="A101">
        <v>100</v>
      </c>
      <c r="B101" t="s">
        <v>622</v>
      </c>
      <c r="C101" s="12">
        <v>42611</v>
      </c>
      <c r="D101" s="12">
        <v>42615</v>
      </c>
      <c r="E101" t="s">
        <v>233</v>
      </c>
      <c r="F101" t="s">
        <v>623</v>
      </c>
      <c r="G101" t="s">
        <v>624</v>
      </c>
      <c r="H101" t="s">
        <v>285</v>
      </c>
      <c r="I101" t="s">
        <v>210</v>
      </c>
      <c r="J101" t="s">
        <v>486</v>
      </c>
      <c r="K101" t="s">
        <v>394</v>
      </c>
      <c r="L101">
        <v>60610</v>
      </c>
      <c r="M101" t="s">
        <v>288</v>
      </c>
      <c r="N101" t="s">
        <v>625</v>
      </c>
      <c r="O101" t="s">
        <v>229</v>
      </c>
      <c r="P101" t="s">
        <v>273</v>
      </c>
      <c r="Q101" t="s">
        <v>626</v>
      </c>
      <c r="R101" s="13">
        <v>64.623999999999995</v>
      </c>
      <c r="S101">
        <v>7</v>
      </c>
      <c r="T101" s="14">
        <v>0.2</v>
      </c>
      <c r="U101" s="13">
        <v>22.618400000000001</v>
      </c>
      <c r="V101">
        <f t="shared" si="14"/>
        <v>2016</v>
      </c>
      <c r="W101" t="str">
        <f t="shared" si="15"/>
        <v>Aug</v>
      </c>
      <c r="X101" t="str">
        <f t="shared" si="16"/>
        <v>Q3</v>
      </c>
      <c r="Y101" t="str">
        <f t="shared" si="17"/>
        <v>Mon</v>
      </c>
      <c r="Z101" s="16">
        <f t="shared" si="18"/>
        <v>4</v>
      </c>
      <c r="AA101" s="13">
        <f t="shared" si="19"/>
        <v>9.2319999999999993</v>
      </c>
      <c r="AB101" s="14">
        <f t="shared" si="20"/>
        <v>0.35000000000000003</v>
      </c>
      <c r="AC101" t="str">
        <f t="shared" si="21"/>
        <v>Low (1-20%)</v>
      </c>
      <c r="AD101" t="str">
        <f t="shared" si="22"/>
        <v>Medium ($50-$200)</v>
      </c>
      <c r="AE101" t="str">
        <f t="shared" si="23"/>
        <v>Large (6+ units)</v>
      </c>
      <c r="AF101" t="str">
        <f t="shared" si="24"/>
        <v>Profitable</v>
      </c>
      <c r="AG101" t="str">
        <f t="shared" si="25"/>
        <v>High Margin</v>
      </c>
      <c r="AH101" t="str">
        <f t="shared" si="26"/>
        <v>Repeat Customer</v>
      </c>
      <c r="AI101" t="str">
        <f t="shared" si="27"/>
        <v>Standard (3-5 days)</v>
      </c>
    </row>
    <row r="102" spans="1:35" ht="15" customHeight="1" x14ac:dyDescent="0.3">
      <c r="A102">
        <v>101</v>
      </c>
      <c r="B102" t="s">
        <v>622</v>
      </c>
      <c r="C102" s="12">
        <v>42611</v>
      </c>
      <c r="D102" s="12">
        <v>42615</v>
      </c>
      <c r="E102" t="s">
        <v>233</v>
      </c>
      <c r="F102" t="s">
        <v>623</v>
      </c>
      <c r="G102" t="s">
        <v>624</v>
      </c>
      <c r="H102" t="s">
        <v>285</v>
      </c>
      <c r="I102" t="s">
        <v>210</v>
      </c>
      <c r="J102" t="s">
        <v>486</v>
      </c>
      <c r="K102" t="s">
        <v>394</v>
      </c>
      <c r="L102">
        <v>60610</v>
      </c>
      <c r="M102" t="s">
        <v>288</v>
      </c>
      <c r="N102" t="s">
        <v>627</v>
      </c>
      <c r="O102" t="s">
        <v>254</v>
      </c>
      <c r="P102" t="s">
        <v>344</v>
      </c>
      <c r="Q102" t="s">
        <v>628</v>
      </c>
      <c r="R102" s="13">
        <v>95.975999999999999</v>
      </c>
      <c r="S102">
        <v>3</v>
      </c>
      <c r="T102" s="14">
        <v>0.2</v>
      </c>
      <c r="U102" s="13">
        <v>-10.7973</v>
      </c>
      <c r="V102">
        <f t="shared" si="14"/>
        <v>2016</v>
      </c>
      <c r="W102" t="str">
        <f t="shared" si="15"/>
        <v>Aug</v>
      </c>
      <c r="X102" t="str">
        <f t="shared" si="16"/>
        <v>Q3</v>
      </c>
      <c r="Y102" t="str">
        <f t="shared" si="17"/>
        <v>Mon</v>
      </c>
      <c r="Z102" s="16">
        <f t="shared" si="18"/>
        <v>4</v>
      </c>
      <c r="AA102" s="13">
        <f t="shared" si="19"/>
        <v>31.992000000000001</v>
      </c>
      <c r="AB102" s="14">
        <f t="shared" si="20"/>
        <v>-0.1125</v>
      </c>
      <c r="AC102" t="str">
        <f t="shared" si="21"/>
        <v>Low (1-20%)</v>
      </c>
      <c r="AD102" t="str">
        <f t="shared" si="22"/>
        <v>Medium ($50-$200)</v>
      </c>
      <c r="AE102" t="str">
        <f t="shared" si="23"/>
        <v>Medium (3-5 units)</v>
      </c>
      <c r="AF102" t="str">
        <f t="shared" si="24"/>
        <v>Loss-Making</v>
      </c>
      <c r="AG102" t="str">
        <f t="shared" si="25"/>
        <v>Underperforming</v>
      </c>
      <c r="AH102" t="str">
        <f t="shared" si="26"/>
        <v>Repeat Customer</v>
      </c>
      <c r="AI102" t="str">
        <f t="shared" si="27"/>
        <v>Standard (3-5 days)</v>
      </c>
    </row>
    <row r="103" spans="1:35" ht="15" customHeight="1" x14ac:dyDescent="0.3">
      <c r="A103">
        <v>102</v>
      </c>
      <c r="B103" t="s">
        <v>622</v>
      </c>
      <c r="C103" s="12">
        <v>42611</v>
      </c>
      <c r="D103" s="12">
        <v>42615</v>
      </c>
      <c r="E103" t="s">
        <v>233</v>
      </c>
      <c r="F103" t="s">
        <v>623</v>
      </c>
      <c r="G103" t="s">
        <v>624</v>
      </c>
      <c r="H103" t="s">
        <v>285</v>
      </c>
      <c r="I103" t="s">
        <v>210</v>
      </c>
      <c r="J103" t="s">
        <v>486</v>
      </c>
      <c r="K103" t="s">
        <v>394</v>
      </c>
      <c r="L103">
        <v>60610</v>
      </c>
      <c r="M103" t="s">
        <v>288</v>
      </c>
      <c r="N103" t="s">
        <v>629</v>
      </c>
      <c r="O103" t="s">
        <v>229</v>
      </c>
      <c r="P103" t="s">
        <v>258</v>
      </c>
      <c r="Q103" t="s">
        <v>630</v>
      </c>
      <c r="R103" s="13">
        <v>1.788</v>
      </c>
      <c r="S103">
        <v>3</v>
      </c>
      <c r="T103" s="14">
        <v>0.8</v>
      </c>
      <c r="U103" s="13">
        <v>-3.0396000000000001</v>
      </c>
      <c r="V103">
        <f t="shared" si="14"/>
        <v>2016</v>
      </c>
      <c r="W103" t="str">
        <f t="shared" si="15"/>
        <v>Aug</v>
      </c>
      <c r="X103" t="str">
        <f t="shared" si="16"/>
        <v>Q3</v>
      </c>
      <c r="Y103" t="str">
        <f t="shared" si="17"/>
        <v>Mon</v>
      </c>
      <c r="Z103" s="16">
        <f t="shared" si="18"/>
        <v>4</v>
      </c>
      <c r="AA103" s="13">
        <f t="shared" si="19"/>
        <v>0.59599999999999997</v>
      </c>
      <c r="AB103" s="14">
        <f t="shared" si="20"/>
        <v>-1.7</v>
      </c>
      <c r="AC103" t="str">
        <f t="shared" si="21"/>
        <v>High (40%+)</v>
      </c>
      <c r="AD103" t="str">
        <f t="shared" si="22"/>
        <v>Low (&lt;$50)</v>
      </c>
      <c r="AE103" t="str">
        <f t="shared" si="23"/>
        <v>Medium (3-5 units)</v>
      </c>
      <c r="AF103" t="str">
        <f t="shared" si="24"/>
        <v>Loss-Making</v>
      </c>
      <c r="AG103" t="str">
        <f t="shared" si="25"/>
        <v>Underperforming</v>
      </c>
      <c r="AH103" t="str">
        <f t="shared" si="26"/>
        <v>Repeat Customer</v>
      </c>
      <c r="AI103" t="str">
        <f t="shared" si="27"/>
        <v>Standard (3-5 days)</v>
      </c>
    </row>
    <row r="104" spans="1:35" ht="15" customHeight="1" x14ac:dyDescent="0.3">
      <c r="A104">
        <v>103</v>
      </c>
      <c r="B104" t="s">
        <v>631</v>
      </c>
      <c r="C104" s="12">
        <v>42705</v>
      </c>
      <c r="D104" s="12">
        <v>42708</v>
      </c>
      <c r="E104" t="s">
        <v>206</v>
      </c>
      <c r="F104" t="s">
        <v>632</v>
      </c>
      <c r="G104" t="s">
        <v>633</v>
      </c>
      <c r="H104" t="s">
        <v>209</v>
      </c>
      <c r="I104" t="s">
        <v>210</v>
      </c>
      <c r="J104" t="s">
        <v>572</v>
      </c>
      <c r="K104" t="s">
        <v>412</v>
      </c>
      <c r="L104">
        <v>55901</v>
      </c>
      <c r="M104" t="s">
        <v>288</v>
      </c>
      <c r="N104" t="s">
        <v>634</v>
      </c>
      <c r="O104" t="s">
        <v>229</v>
      </c>
      <c r="P104" t="s">
        <v>273</v>
      </c>
      <c r="Q104" t="s">
        <v>635</v>
      </c>
      <c r="R104" s="13">
        <v>23.92</v>
      </c>
      <c r="S104">
        <v>4</v>
      </c>
      <c r="T104" s="14">
        <v>0</v>
      </c>
      <c r="U104" s="13">
        <v>11.720800000000001</v>
      </c>
      <c r="V104">
        <f t="shared" si="14"/>
        <v>2016</v>
      </c>
      <c r="W104" t="str">
        <f t="shared" si="15"/>
        <v>Dec</v>
      </c>
      <c r="X104" t="str">
        <f t="shared" si="16"/>
        <v>Q4</v>
      </c>
      <c r="Y104" t="str">
        <f t="shared" si="17"/>
        <v>Thu</v>
      </c>
      <c r="Z104" s="16">
        <f t="shared" si="18"/>
        <v>3</v>
      </c>
      <c r="AA104" s="13">
        <f t="shared" si="19"/>
        <v>5.98</v>
      </c>
      <c r="AB104" s="14">
        <f t="shared" si="20"/>
        <v>0.49</v>
      </c>
      <c r="AC104" t="str">
        <f t="shared" si="21"/>
        <v>No Discount</v>
      </c>
      <c r="AD104" t="str">
        <f t="shared" si="22"/>
        <v>Low (&lt;$50)</v>
      </c>
      <c r="AE104" t="str">
        <f t="shared" si="23"/>
        <v>Medium (3-5 units)</v>
      </c>
      <c r="AF104" t="str">
        <f t="shared" si="24"/>
        <v>Profitable</v>
      </c>
      <c r="AG104" t="str">
        <f t="shared" si="25"/>
        <v>High Margin</v>
      </c>
      <c r="AH104" t="str">
        <f t="shared" si="26"/>
        <v>Repeat Customer</v>
      </c>
      <c r="AI104" t="str">
        <f t="shared" si="27"/>
        <v>Standard (3-5 days)</v>
      </c>
    </row>
    <row r="105" spans="1:35" ht="15" customHeight="1" x14ac:dyDescent="0.3">
      <c r="A105">
        <v>104</v>
      </c>
      <c r="B105" t="s">
        <v>636</v>
      </c>
      <c r="C105" s="12">
        <v>42321</v>
      </c>
      <c r="D105" s="12">
        <v>42325</v>
      </c>
      <c r="E105" t="s">
        <v>233</v>
      </c>
      <c r="F105" t="s">
        <v>637</v>
      </c>
      <c r="G105" t="s">
        <v>638</v>
      </c>
      <c r="H105" t="s">
        <v>209</v>
      </c>
      <c r="I105" t="s">
        <v>210</v>
      </c>
      <c r="J105" t="s">
        <v>639</v>
      </c>
      <c r="K105" t="s">
        <v>640</v>
      </c>
      <c r="L105">
        <v>80013</v>
      </c>
      <c r="M105" t="s">
        <v>227</v>
      </c>
      <c r="N105" t="s">
        <v>641</v>
      </c>
      <c r="O105" t="s">
        <v>254</v>
      </c>
      <c r="P105" t="s">
        <v>344</v>
      </c>
      <c r="Q105" t="s">
        <v>642</v>
      </c>
      <c r="R105" s="13">
        <v>238.89599999999999</v>
      </c>
      <c r="S105">
        <v>6</v>
      </c>
      <c r="T105" s="14">
        <v>0.2</v>
      </c>
      <c r="U105" s="13">
        <v>-26.875800000000002</v>
      </c>
      <c r="V105">
        <f t="shared" si="14"/>
        <v>2015</v>
      </c>
      <c r="W105" t="str">
        <f t="shared" si="15"/>
        <v>Nov</v>
      </c>
      <c r="X105" t="str">
        <f t="shared" si="16"/>
        <v>Q4</v>
      </c>
      <c r="Y105" t="str">
        <f t="shared" si="17"/>
        <v>Fri</v>
      </c>
      <c r="Z105" s="16">
        <f t="shared" si="18"/>
        <v>4</v>
      </c>
      <c r="AA105" s="13">
        <f t="shared" si="19"/>
        <v>39.815999999999995</v>
      </c>
      <c r="AB105" s="14">
        <f t="shared" si="20"/>
        <v>-0.11250000000000002</v>
      </c>
      <c r="AC105" t="str">
        <f t="shared" si="21"/>
        <v>Low (1-20%)</v>
      </c>
      <c r="AD105" t="str">
        <f t="shared" si="22"/>
        <v>High ($200-$500)</v>
      </c>
      <c r="AE105" t="str">
        <f t="shared" si="23"/>
        <v>Large (6+ units)</v>
      </c>
      <c r="AF105" t="str">
        <f t="shared" si="24"/>
        <v>Loss-Making</v>
      </c>
      <c r="AG105" t="str">
        <f t="shared" si="25"/>
        <v>Underperforming</v>
      </c>
      <c r="AH105" t="str">
        <f t="shared" si="26"/>
        <v>Repeat Customer</v>
      </c>
      <c r="AI105" t="str">
        <f t="shared" si="27"/>
        <v>Standard (3-5 days)</v>
      </c>
    </row>
    <row r="106" spans="1:35" ht="15" customHeight="1" x14ac:dyDescent="0.3">
      <c r="A106">
        <v>105</v>
      </c>
      <c r="B106" t="s">
        <v>636</v>
      </c>
      <c r="C106" s="12">
        <v>42321</v>
      </c>
      <c r="D106" s="12">
        <v>42325</v>
      </c>
      <c r="E106" t="s">
        <v>233</v>
      </c>
      <c r="F106" t="s">
        <v>637</v>
      </c>
      <c r="G106" t="s">
        <v>638</v>
      </c>
      <c r="H106" t="s">
        <v>209</v>
      </c>
      <c r="I106" t="s">
        <v>210</v>
      </c>
      <c r="J106" t="s">
        <v>639</v>
      </c>
      <c r="K106" t="s">
        <v>640</v>
      </c>
      <c r="L106">
        <v>80013</v>
      </c>
      <c r="M106" t="s">
        <v>227</v>
      </c>
      <c r="N106" t="s">
        <v>643</v>
      </c>
      <c r="O106" t="s">
        <v>215</v>
      </c>
      <c r="P106" t="s">
        <v>248</v>
      </c>
      <c r="Q106" t="s">
        <v>644</v>
      </c>
      <c r="R106" s="13">
        <v>102.36</v>
      </c>
      <c r="S106">
        <v>3</v>
      </c>
      <c r="T106" s="14">
        <v>0.2</v>
      </c>
      <c r="U106" s="13">
        <v>-3.83850000000001</v>
      </c>
      <c r="V106">
        <f t="shared" si="14"/>
        <v>2015</v>
      </c>
      <c r="W106" t="str">
        <f t="shared" si="15"/>
        <v>Nov</v>
      </c>
      <c r="X106" t="str">
        <f t="shared" si="16"/>
        <v>Q4</v>
      </c>
      <c r="Y106" t="str">
        <f t="shared" si="17"/>
        <v>Fri</v>
      </c>
      <c r="Z106" s="16">
        <f t="shared" si="18"/>
        <v>4</v>
      </c>
      <c r="AA106" s="13">
        <f t="shared" si="19"/>
        <v>34.119999999999997</v>
      </c>
      <c r="AB106" s="14">
        <f t="shared" si="20"/>
        <v>-3.7500000000000096E-2</v>
      </c>
      <c r="AC106" t="str">
        <f t="shared" si="21"/>
        <v>Low (1-20%)</v>
      </c>
      <c r="AD106" t="str">
        <f t="shared" si="22"/>
        <v>Medium ($50-$200)</v>
      </c>
      <c r="AE106" t="str">
        <f t="shared" si="23"/>
        <v>Medium (3-5 units)</v>
      </c>
      <c r="AF106" t="str">
        <f t="shared" si="24"/>
        <v>Loss-Making</v>
      </c>
      <c r="AG106" t="str">
        <f t="shared" si="25"/>
        <v>Underperforming</v>
      </c>
      <c r="AH106" t="str">
        <f t="shared" si="26"/>
        <v>Repeat Customer</v>
      </c>
      <c r="AI106" t="str">
        <f t="shared" si="27"/>
        <v>Standard (3-5 days)</v>
      </c>
    </row>
    <row r="107" spans="1:35" ht="15" customHeight="1" x14ac:dyDescent="0.3">
      <c r="A107">
        <v>106</v>
      </c>
      <c r="B107" t="s">
        <v>636</v>
      </c>
      <c r="C107" s="12">
        <v>42321</v>
      </c>
      <c r="D107" s="12">
        <v>42325</v>
      </c>
      <c r="E107" t="s">
        <v>233</v>
      </c>
      <c r="F107" t="s">
        <v>637</v>
      </c>
      <c r="G107" t="s">
        <v>638</v>
      </c>
      <c r="H107" t="s">
        <v>209</v>
      </c>
      <c r="I107" t="s">
        <v>210</v>
      </c>
      <c r="J107" t="s">
        <v>639</v>
      </c>
      <c r="K107" t="s">
        <v>640</v>
      </c>
      <c r="L107">
        <v>80013</v>
      </c>
      <c r="M107" t="s">
        <v>227</v>
      </c>
      <c r="N107" t="s">
        <v>645</v>
      </c>
      <c r="O107" t="s">
        <v>229</v>
      </c>
      <c r="P107" t="s">
        <v>258</v>
      </c>
      <c r="Q107" t="s">
        <v>646</v>
      </c>
      <c r="R107" s="13">
        <v>36.881999999999998</v>
      </c>
      <c r="S107">
        <v>3</v>
      </c>
      <c r="T107" s="14">
        <v>0.7</v>
      </c>
      <c r="U107" s="13">
        <v>-25.817399999999999</v>
      </c>
      <c r="V107">
        <f t="shared" si="14"/>
        <v>2015</v>
      </c>
      <c r="W107" t="str">
        <f t="shared" si="15"/>
        <v>Nov</v>
      </c>
      <c r="X107" t="str">
        <f t="shared" si="16"/>
        <v>Q4</v>
      </c>
      <c r="Y107" t="str">
        <f t="shared" si="17"/>
        <v>Fri</v>
      </c>
      <c r="Z107" s="16">
        <f t="shared" si="18"/>
        <v>4</v>
      </c>
      <c r="AA107" s="13">
        <f t="shared" si="19"/>
        <v>12.293999999999999</v>
      </c>
      <c r="AB107" s="14">
        <f t="shared" si="20"/>
        <v>-0.70000000000000007</v>
      </c>
      <c r="AC107" t="str">
        <f t="shared" si="21"/>
        <v>High (40%+)</v>
      </c>
      <c r="AD107" t="str">
        <f t="shared" si="22"/>
        <v>Low (&lt;$50)</v>
      </c>
      <c r="AE107" t="str">
        <f t="shared" si="23"/>
        <v>Medium (3-5 units)</v>
      </c>
      <c r="AF107" t="str">
        <f t="shared" si="24"/>
        <v>Loss-Making</v>
      </c>
      <c r="AG107" t="str">
        <f t="shared" si="25"/>
        <v>Underperforming</v>
      </c>
      <c r="AH107" t="str">
        <f t="shared" si="26"/>
        <v>Repeat Customer</v>
      </c>
      <c r="AI107" t="str">
        <f t="shared" si="27"/>
        <v>Standard (3-5 days)</v>
      </c>
    </row>
    <row r="108" spans="1:35" ht="15" customHeight="1" x14ac:dyDescent="0.3">
      <c r="A108">
        <v>107</v>
      </c>
      <c r="B108" t="s">
        <v>647</v>
      </c>
      <c r="C108" s="12">
        <v>43062</v>
      </c>
      <c r="D108" s="12">
        <v>43067</v>
      </c>
      <c r="E108" t="s">
        <v>233</v>
      </c>
      <c r="F108" t="s">
        <v>648</v>
      </c>
      <c r="G108" t="s">
        <v>649</v>
      </c>
      <c r="H108" t="s">
        <v>209</v>
      </c>
      <c r="I108" t="s">
        <v>210</v>
      </c>
      <c r="J108" t="s">
        <v>650</v>
      </c>
      <c r="K108" t="s">
        <v>271</v>
      </c>
      <c r="L108">
        <v>28205</v>
      </c>
      <c r="M108" t="s">
        <v>213</v>
      </c>
      <c r="N108" t="s">
        <v>651</v>
      </c>
      <c r="O108" t="s">
        <v>254</v>
      </c>
      <c r="P108" t="s">
        <v>344</v>
      </c>
      <c r="Q108" t="s">
        <v>652</v>
      </c>
      <c r="R108" s="13">
        <v>74.111999999999995</v>
      </c>
      <c r="S108">
        <v>8</v>
      </c>
      <c r="T108" s="14">
        <v>0.2</v>
      </c>
      <c r="U108" s="13">
        <v>17.601600000000001</v>
      </c>
      <c r="V108">
        <f t="shared" si="14"/>
        <v>2017</v>
      </c>
      <c r="W108" t="str">
        <f t="shared" si="15"/>
        <v>Nov</v>
      </c>
      <c r="X108" t="str">
        <f t="shared" si="16"/>
        <v>Q4</v>
      </c>
      <c r="Y108" t="str">
        <f t="shared" si="17"/>
        <v>Thu</v>
      </c>
      <c r="Z108" s="16">
        <f t="shared" si="18"/>
        <v>5</v>
      </c>
      <c r="AA108" s="13">
        <f t="shared" si="19"/>
        <v>9.2639999999999993</v>
      </c>
      <c r="AB108" s="14">
        <f t="shared" si="20"/>
        <v>0.23750000000000004</v>
      </c>
      <c r="AC108" t="str">
        <f t="shared" si="21"/>
        <v>Low (1-20%)</v>
      </c>
      <c r="AD108" t="str">
        <f t="shared" si="22"/>
        <v>Medium ($50-$200)</v>
      </c>
      <c r="AE108" t="str">
        <f t="shared" si="23"/>
        <v>Large (6+ units)</v>
      </c>
      <c r="AF108" t="str">
        <f t="shared" si="24"/>
        <v>Profitable</v>
      </c>
      <c r="AG108" t="str">
        <f t="shared" si="25"/>
        <v>Healthy Margin</v>
      </c>
      <c r="AH108" t="str">
        <f t="shared" si="26"/>
        <v>Repeat Customer</v>
      </c>
      <c r="AI108" t="str">
        <f t="shared" si="27"/>
        <v>Standard (3-5 days)</v>
      </c>
    </row>
    <row r="109" spans="1:35" ht="15" customHeight="1" x14ac:dyDescent="0.3">
      <c r="A109">
        <v>108</v>
      </c>
      <c r="B109" t="s">
        <v>647</v>
      </c>
      <c r="C109" s="12">
        <v>43062</v>
      </c>
      <c r="D109" s="12">
        <v>43067</v>
      </c>
      <c r="E109" t="s">
        <v>233</v>
      </c>
      <c r="F109" t="s">
        <v>648</v>
      </c>
      <c r="G109" t="s">
        <v>649</v>
      </c>
      <c r="H109" t="s">
        <v>209</v>
      </c>
      <c r="I109" t="s">
        <v>210</v>
      </c>
      <c r="J109" t="s">
        <v>650</v>
      </c>
      <c r="K109" t="s">
        <v>271</v>
      </c>
      <c r="L109">
        <v>28205</v>
      </c>
      <c r="M109" t="s">
        <v>213</v>
      </c>
      <c r="N109" t="s">
        <v>653</v>
      </c>
      <c r="O109" t="s">
        <v>254</v>
      </c>
      <c r="P109" t="s">
        <v>255</v>
      </c>
      <c r="Q109" t="s">
        <v>654</v>
      </c>
      <c r="R109" s="13">
        <v>27.992000000000001</v>
      </c>
      <c r="S109">
        <v>1</v>
      </c>
      <c r="T109" s="14">
        <v>0.2</v>
      </c>
      <c r="U109" s="13">
        <v>2.0994000000000002</v>
      </c>
      <c r="V109">
        <f t="shared" si="14"/>
        <v>2017</v>
      </c>
      <c r="W109" t="str">
        <f t="shared" si="15"/>
        <v>Nov</v>
      </c>
      <c r="X109" t="str">
        <f t="shared" si="16"/>
        <v>Q4</v>
      </c>
      <c r="Y109" t="str">
        <f t="shared" si="17"/>
        <v>Thu</v>
      </c>
      <c r="Z109" s="16">
        <f t="shared" si="18"/>
        <v>5</v>
      </c>
      <c r="AA109" s="13">
        <f t="shared" si="19"/>
        <v>27.992000000000001</v>
      </c>
      <c r="AB109" s="14">
        <f t="shared" si="20"/>
        <v>7.4999999999999997E-2</v>
      </c>
      <c r="AC109" t="str">
        <f t="shared" si="21"/>
        <v>Low (1-20%)</v>
      </c>
      <c r="AD109" t="str">
        <f t="shared" si="22"/>
        <v>Low (&lt;$50)</v>
      </c>
      <c r="AE109" t="str">
        <f t="shared" si="23"/>
        <v>Small (1-2 units)</v>
      </c>
      <c r="AF109" t="str">
        <f t="shared" si="24"/>
        <v>Profitable</v>
      </c>
      <c r="AG109" t="str">
        <f t="shared" si="25"/>
        <v>Low Margin</v>
      </c>
      <c r="AH109" t="str">
        <f t="shared" si="26"/>
        <v>Repeat Customer</v>
      </c>
      <c r="AI109" t="str">
        <f t="shared" si="27"/>
        <v>Standard (3-5 days)</v>
      </c>
    </row>
    <row r="110" spans="1:35" ht="15" customHeight="1" x14ac:dyDescent="0.3">
      <c r="A110">
        <v>109</v>
      </c>
      <c r="B110" t="s">
        <v>647</v>
      </c>
      <c r="C110" s="12">
        <v>43062</v>
      </c>
      <c r="D110" s="12">
        <v>43067</v>
      </c>
      <c r="E110" t="s">
        <v>233</v>
      </c>
      <c r="F110" t="s">
        <v>648</v>
      </c>
      <c r="G110" t="s">
        <v>649</v>
      </c>
      <c r="H110" t="s">
        <v>209</v>
      </c>
      <c r="I110" t="s">
        <v>210</v>
      </c>
      <c r="J110" t="s">
        <v>650</v>
      </c>
      <c r="K110" t="s">
        <v>271</v>
      </c>
      <c r="L110">
        <v>28205</v>
      </c>
      <c r="M110" t="s">
        <v>213</v>
      </c>
      <c r="N110" t="s">
        <v>655</v>
      </c>
      <c r="O110" t="s">
        <v>229</v>
      </c>
      <c r="P110" t="s">
        <v>251</v>
      </c>
      <c r="Q110" t="s">
        <v>656</v>
      </c>
      <c r="R110" s="13">
        <v>3.3039999999999998</v>
      </c>
      <c r="S110">
        <v>1</v>
      </c>
      <c r="T110" s="14">
        <v>0.2</v>
      </c>
      <c r="U110" s="13">
        <v>1.0738000000000001</v>
      </c>
      <c r="V110">
        <f t="shared" si="14"/>
        <v>2017</v>
      </c>
      <c r="W110" t="str">
        <f t="shared" si="15"/>
        <v>Nov</v>
      </c>
      <c r="X110" t="str">
        <f t="shared" si="16"/>
        <v>Q4</v>
      </c>
      <c r="Y110" t="str">
        <f t="shared" si="17"/>
        <v>Thu</v>
      </c>
      <c r="Z110" s="16">
        <f t="shared" si="18"/>
        <v>5</v>
      </c>
      <c r="AA110" s="13">
        <f t="shared" si="19"/>
        <v>3.3039999999999998</v>
      </c>
      <c r="AB110" s="14">
        <f t="shared" si="20"/>
        <v>0.32500000000000007</v>
      </c>
      <c r="AC110" t="str">
        <f t="shared" si="21"/>
        <v>Low (1-20%)</v>
      </c>
      <c r="AD110" t="str">
        <f t="shared" si="22"/>
        <v>Low (&lt;$50)</v>
      </c>
      <c r="AE110" t="str">
        <f t="shared" si="23"/>
        <v>Small (1-2 units)</v>
      </c>
      <c r="AF110" t="str">
        <f t="shared" si="24"/>
        <v>Profitable</v>
      </c>
      <c r="AG110" t="str">
        <f t="shared" si="25"/>
        <v>High Margin</v>
      </c>
      <c r="AH110" t="str">
        <f t="shared" si="26"/>
        <v>Repeat Customer</v>
      </c>
      <c r="AI110" t="str">
        <f t="shared" si="27"/>
        <v>Standard (3-5 days)</v>
      </c>
    </row>
    <row r="111" spans="1:35" ht="15" customHeight="1" x14ac:dyDescent="0.3">
      <c r="A111">
        <v>110</v>
      </c>
      <c r="B111" t="s">
        <v>657</v>
      </c>
      <c r="C111" s="12">
        <v>42292</v>
      </c>
      <c r="D111" s="12">
        <v>42297</v>
      </c>
      <c r="E111" t="s">
        <v>233</v>
      </c>
      <c r="F111" t="s">
        <v>658</v>
      </c>
      <c r="G111" t="s">
        <v>659</v>
      </c>
      <c r="H111" t="s">
        <v>285</v>
      </c>
      <c r="I111" t="s">
        <v>210</v>
      </c>
      <c r="J111" t="s">
        <v>660</v>
      </c>
      <c r="K111" t="s">
        <v>394</v>
      </c>
      <c r="L111">
        <v>60462</v>
      </c>
      <c r="M111" t="s">
        <v>288</v>
      </c>
      <c r="N111" t="s">
        <v>661</v>
      </c>
      <c r="O111" t="s">
        <v>254</v>
      </c>
      <c r="P111" t="s">
        <v>344</v>
      </c>
      <c r="Q111" t="s">
        <v>662</v>
      </c>
      <c r="R111" s="13">
        <v>339.96</v>
      </c>
      <c r="S111">
        <v>5</v>
      </c>
      <c r="T111" s="14">
        <v>0.2</v>
      </c>
      <c r="U111" s="13">
        <v>67.992000000000004</v>
      </c>
      <c r="V111">
        <f t="shared" si="14"/>
        <v>2015</v>
      </c>
      <c r="W111" t="str">
        <f t="shared" si="15"/>
        <v>Oct</v>
      </c>
      <c r="X111" t="str">
        <f t="shared" si="16"/>
        <v>Q4</v>
      </c>
      <c r="Y111" t="str">
        <f t="shared" si="17"/>
        <v>Thu</v>
      </c>
      <c r="Z111" s="16">
        <f t="shared" si="18"/>
        <v>5</v>
      </c>
      <c r="AA111" s="13">
        <f t="shared" si="19"/>
        <v>67.99199999999999</v>
      </c>
      <c r="AB111" s="14">
        <f t="shared" si="20"/>
        <v>0.20000000000000004</v>
      </c>
      <c r="AC111" t="str">
        <f t="shared" si="21"/>
        <v>Low (1-20%)</v>
      </c>
      <c r="AD111" t="str">
        <f t="shared" si="22"/>
        <v>High ($200-$500)</v>
      </c>
      <c r="AE111" t="str">
        <f t="shared" si="23"/>
        <v>Medium (3-5 units)</v>
      </c>
      <c r="AF111" t="str">
        <f t="shared" si="24"/>
        <v>Profitable</v>
      </c>
      <c r="AG111" t="str">
        <f t="shared" si="25"/>
        <v>Healthy Margin</v>
      </c>
      <c r="AH111" t="str">
        <f t="shared" si="26"/>
        <v>Single Purchase</v>
      </c>
      <c r="AI111" t="str">
        <f t="shared" si="27"/>
        <v>Standard (3-5 days)</v>
      </c>
    </row>
    <row r="112" spans="1:35" ht="15" customHeight="1" x14ac:dyDescent="0.3">
      <c r="A112">
        <v>111</v>
      </c>
      <c r="B112" t="s">
        <v>663</v>
      </c>
      <c r="C112" s="12">
        <v>43094</v>
      </c>
      <c r="D112" s="12">
        <v>43099</v>
      </c>
      <c r="E112" t="s">
        <v>233</v>
      </c>
      <c r="F112" t="s">
        <v>664</v>
      </c>
      <c r="G112" t="s">
        <v>665</v>
      </c>
      <c r="H112" t="s">
        <v>224</v>
      </c>
      <c r="I112" t="s">
        <v>210</v>
      </c>
      <c r="J112" t="s">
        <v>449</v>
      </c>
      <c r="K112" t="s">
        <v>450</v>
      </c>
      <c r="L112">
        <v>10035</v>
      </c>
      <c r="M112" t="s">
        <v>331</v>
      </c>
      <c r="N112" t="s">
        <v>666</v>
      </c>
      <c r="O112" t="s">
        <v>215</v>
      </c>
      <c r="P112" t="s">
        <v>248</v>
      </c>
      <c r="Q112" t="s">
        <v>667</v>
      </c>
      <c r="R112" s="13">
        <v>41.96</v>
      </c>
      <c r="S112">
        <v>2</v>
      </c>
      <c r="T112" s="14">
        <v>0</v>
      </c>
      <c r="U112" s="13">
        <v>10.909599999999999</v>
      </c>
      <c r="V112">
        <f t="shared" si="14"/>
        <v>2017</v>
      </c>
      <c r="W112" t="str">
        <f t="shared" si="15"/>
        <v>Dec</v>
      </c>
      <c r="X112" t="str">
        <f t="shared" si="16"/>
        <v>Q4</v>
      </c>
      <c r="Y112" t="str">
        <f t="shared" si="17"/>
        <v>Mon</v>
      </c>
      <c r="Z112" s="16">
        <f t="shared" si="18"/>
        <v>5</v>
      </c>
      <c r="AA112" s="13">
        <f t="shared" si="19"/>
        <v>20.98</v>
      </c>
      <c r="AB112" s="14">
        <f t="shared" si="20"/>
        <v>0.25999999999999995</v>
      </c>
      <c r="AC112" t="str">
        <f t="shared" si="21"/>
        <v>No Discount</v>
      </c>
      <c r="AD112" t="str">
        <f t="shared" si="22"/>
        <v>Low (&lt;$50)</v>
      </c>
      <c r="AE112" t="str">
        <f t="shared" si="23"/>
        <v>Small (1-2 units)</v>
      </c>
      <c r="AF112" t="str">
        <f t="shared" si="24"/>
        <v>Profitable</v>
      </c>
      <c r="AG112" t="str">
        <f t="shared" si="25"/>
        <v>High Margin</v>
      </c>
      <c r="AH112" t="str">
        <f t="shared" si="26"/>
        <v>Repeat Customer</v>
      </c>
      <c r="AI112" t="str">
        <f t="shared" si="27"/>
        <v>Standard (3-5 days)</v>
      </c>
    </row>
    <row r="113" spans="1:35" ht="15" customHeight="1" x14ac:dyDescent="0.3">
      <c r="A113">
        <v>112</v>
      </c>
      <c r="B113" t="s">
        <v>668</v>
      </c>
      <c r="C113" s="12">
        <v>42677</v>
      </c>
      <c r="D113" s="12">
        <v>42684</v>
      </c>
      <c r="E113" t="s">
        <v>233</v>
      </c>
      <c r="F113" t="s">
        <v>669</v>
      </c>
      <c r="G113" t="s">
        <v>670</v>
      </c>
      <c r="H113" t="s">
        <v>209</v>
      </c>
      <c r="I113" t="s">
        <v>210</v>
      </c>
      <c r="J113" t="s">
        <v>671</v>
      </c>
      <c r="K113" t="s">
        <v>672</v>
      </c>
      <c r="L113">
        <v>50322</v>
      </c>
      <c r="M113" t="s">
        <v>288</v>
      </c>
      <c r="N113" t="s">
        <v>673</v>
      </c>
      <c r="O113" t="s">
        <v>229</v>
      </c>
      <c r="P113" t="s">
        <v>251</v>
      </c>
      <c r="Q113" t="s">
        <v>674</v>
      </c>
      <c r="R113" s="13">
        <v>75.959999999999994</v>
      </c>
      <c r="S113">
        <v>2</v>
      </c>
      <c r="T113" s="14">
        <v>0</v>
      </c>
      <c r="U113" s="13">
        <v>22.788</v>
      </c>
      <c r="V113">
        <f t="shared" si="14"/>
        <v>2016</v>
      </c>
      <c r="W113" t="str">
        <f t="shared" si="15"/>
        <v>Nov</v>
      </c>
      <c r="X113" t="str">
        <f t="shared" si="16"/>
        <v>Q4</v>
      </c>
      <c r="Y113" t="str">
        <f t="shared" si="17"/>
        <v>Thu</v>
      </c>
      <c r="Z113" s="16">
        <f t="shared" si="18"/>
        <v>7</v>
      </c>
      <c r="AA113" s="13">
        <f t="shared" si="19"/>
        <v>37.979999999999997</v>
      </c>
      <c r="AB113" s="14">
        <f t="shared" si="20"/>
        <v>0.30000000000000004</v>
      </c>
      <c r="AC113" t="str">
        <f t="shared" si="21"/>
        <v>No Discount</v>
      </c>
      <c r="AD113" t="str">
        <f t="shared" si="22"/>
        <v>Medium ($50-$200)</v>
      </c>
      <c r="AE113" t="str">
        <f t="shared" si="23"/>
        <v>Small (1-2 units)</v>
      </c>
      <c r="AF113" t="str">
        <f t="shared" si="24"/>
        <v>Profitable</v>
      </c>
      <c r="AG113" t="str">
        <f t="shared" si="25"/>
        <v>High Margin</v>
      </c>
      <c r="AH113" t="str">
        <f t="shared" si="26"/>
        <v>Repeat Customer</v>
      </c>
      <c r="AI113" t="str">
        <f t="shared" si="27"/>
        <v>Slow (6+ days)</v>
      </c>
    </row>
    <row r="114" spans="1:35" ht="15" customHeight="1" x14ac:dyDescent="0.3">
      <c r="A114">
        <v>113</v>
      </c>
      <c r="B114" t="s">
        <v>668</v>
      </c>
      <c r="C114" s="12">
        <v>42677</v>
      </c>
      <c r="D114" s="12">
        <v>42684</v>
      </c>
      <c r="E114" t="s">
        <v>233</v>
      </c>
      <c r="F114" t="s">
        <v>669</v>
      </c>
      <c r="G114" t="s">
        <v>670</v>
      </c>
      <c r="H114" t="s">
        <v>209</v>
      </c>
      <c r="I114" t="s">
        <v>210</v>
      </c>
      <c r="J114" t="s">
        <v>671</v>
      </c>
      <c r="K114" t="s">
        <v>672</v>
      </c>
      <c r="L114">
        <v>50322</v>
      </c>
      <c r="M114" t="s">
        <v>288</v>
      </c>
      <c r="N114" t="s">
        <v>675</v>
      </c>
      <c r="O114" t="s">
        <v>229</v>
      </c>
      <c r="P114" t="s">
        <v>258</v>
      </c>
      <c r="Q114" t="s">
        <v>676</v>
      </c>
      <c r="R114" s="13">
        <v>27.24</v>
      </c>
      <c r="S114">
        <v>6</v>
      </c>
      <c r="T114" s="14">
        <v>0</v>
      </c>
      <c r="U114" s="13">
        <v>13.3476</v>
      </c>
      <c r="V114">
        <f t="shared" si="14"/>
        <v>2016</v>
      </c>
      <c r="W114" t="str">
        <f t="shared" si="15"/>
        <v>Nov</v>
      </c>
      <c r="X114" t="str">
        <f t="shared" si="16"/>
        <v>Q4</v>
      </c>
      <c r="Y114" t="str">
        <f t="shared" si="17"/>
        <v>Thu</v>
      </c>
      <c r="Z114" s="16">
        <f t="shared" si="18"/>
        <v>7</v>
      </c>
      <c r="AA114" s="13">
        <f t="shared" si="19"/>
        <v>4.54</v>
      </c>
      <c r="AB114" s="14">
        <f t="shared" si="20"/>
        <v>0.49000000000000005</v>
      </c>
      <c r="AC114" t="str">
        <f t="shared" si="21"/>
        <v>No Discount</v>
      </c>
      <c r="AD114" t="str">
        <f t="shared" si="22"/>
        <v>Low (&lt;$50)</v>
      </c>
      <c r="AE114" t="str">
        <f t="shared" si="23"/>
        <v>Large (6+ units)</v>
      </c>
      <c r="AF114" t="str">
        <f t="shared" si="24"/>
        <v>Profitable</v>
      </c>
      <c r="AG114" t="str">
        <f t="shared" si="25"/>
        <v>High Margin</v>
      </c>
      <c r="AH114" t="str">
        <f t="shared" si="26"/>
        <v>Repeat Customer</v>
      </c>
      <c r="AI114" t="str">
        <f t="shared" si="27"/>
        <v>Slow (6+ days)</v>
      </c>
    </row>
    <row r="115" spans="1:35" ht="15" customHeight="1" x14ac:dyDescent="0.3">
      <c r="A115">
        <v>114</v>
      </c>
      <c r="B115" t="s">
        <v>677</v>
      </c>
      <c r="C115" s="12">
        <v>41876</v>
      </c>
      <c r="D115" s="12">
        <v>41878</v>
      </c>
      <c r="E115" t="s">
        <v>206</v>
      </c>
      <c r="F115" t="s">
        <v>678</v>
      </c>
      <c r="G115" t="s">
        <v>679</v>
      </c>
      <c r="H115" t="s">
        <v>209</v>
      </c>
      <c r="I115" t="s">
        <v>210</v>
      </c>
      <c r="J115" t="s">
        <v>680</v>
      </c>
      <c r="K115" t="s">
        <v>681</v>
      </c>
      <c r="L115">
        <v>43229</v>
      </c>
      <c r="M115" t="s">
        <v>331</v>
      </c>
      <c r="N115" t="s">
        <v>682</v>
      </c>
      <c r="O115" t="s">
        <v>229</v>
      </c>
      <c r="P115" t="s">
        <v>452</v>
      </c>
      <c r="Q115" t="s">
        <v>683</v>
      </c>
      <c r="R115" s="13">
        <v>40.095999999999997</v>
      </c>
      <c r="S115">
        <v>14</v>
      </c>
      <c r="T115" s="14">
        <v>0.2</v>
      </c>
      <c r="U115" s="13">
        <v>14.534800000000001</v>
      </c>
      <c r="V115">
        <f t="shared" si="14"/>
        <v>2014</v>
      </c>
      <c r="W115" t="str">
        <f t="shared" si="15"/>
        <v>Aug</v>
      </c>
      <c r="X115" t="str">
        <f t="shared" si="16"/>
        <v>Q3</v>
      </c>
      <c r="Y115" t="str">
        <f t="shared" si="17"/>
        <v>Mon</v>
      </c>
      <c r="Z115" s="16">
        <f t="shared" si="18"/>
        <v>2</v>
      </c>
      <c r="AA115" s="13">
        <f t="shared" si="19"/>
        <v>2.8639999999999999</v>
      </c>
      <c r="AB115" s="14">
        <f t="shared" si="20"/>
        <v>0.36250000000000004</v>
      </c>
      <c r="AC115" t="str">
        <f t="shared" si="21"/>
        <v>Low (1-20%)</v>
      </c>
      <c r="AD115" t="str">
        <f t="shared" si="22"/>
        <v>Low (&lt;$50)</v>
      </c>
      <c r="AE115" t="str">
        <f t="shared" si="23"/>
        <v>Large (6+ units)</v>
      </c>
      <c r="AF115" t="str">
        <f t="shared" si="24"/>
        <v>Profitable</v>
      </c>
      <c r="AG115" t="str">
        <f t="shared" si="25"/>
        <v>High Margin</v>
      </c>
      <c r="AH115" t="str">
        <f t="shared" si="26"/>
        <v>Repeat Customer</v>
      </c>
      <c r="AI115" t="str">
        <f t="shared" si="27"/>
        <v>Fast (&lt;=2 days)</v>
      </c>
    </row>
    <row r="116" spans="1:35" ht="15" customHeight="1" x14ac:dyDescent="0.3">
      <c r="A116">
        <v>115</v>
      </c>
      <c r="B116" t="s">
        <v>677</v>
      </c>
      <c r="C116" s="12">
        <v>41876</v>
      </c>
      <c r="D116" s="12">
        <v>41878</v>
      </c>
      <c r="E116" t="s">
        <v>206</v>
      </c>
      <c r="F116" t="s">
        <v>678</v>
      </c>
      <c r="G116" t="s">
        <v>679</v>
      </c>
      <c r="H116" t="s">
        <v>209</v>
      </c>
      <c r="I116" t="s">
        <v>210</v>
      </c>
      <c r="J116" t="s">
        <v>680</v>
      </c>
      <c r="K116" t="s">
        <v>681</v>
      </c>
      <c r="L116">
        <v>43229</v>
      </c>
      <c r="M116" t="s">
        <v>331</v>
      </c>
      <c r="N116" t="s">
        <v>684</v>
      </c>
      <c r="O116" t="s">
        <v>229</v>
      </c>
      <c r="P116" t="s">
        <v>356</v>
      </c>
      <c r="Q116" t="s">
        <v>685</v>
      </c>
      <c r="R116" s="13">
        <v>4.72</v>
      </c>
      <c r="S116">
        <v>2</v>
      </c>
      <c r="T116" s="14">
        <v>0.2</v>
      </c>
      <c r="U116" s="13">
        <v>1.6519999999999999</v>
      </c>
      <c r="V116">
        <f t="shared" si="14"/>
        <v>2014</v>
      </c>
      <c r="W116" t="str">
        <f t="shared" si="15"/>
        <v>Aug</v>
      </c>
      <c r="X116" t="str">
        <f t="shared" si="16"/>
        <v>Q3</v>
      </c>
      <c r="Y116" t="str">
        <f t="shared" si="17"/>
        <v>Mon</v>
      </c>
      <c r="Z116" s="16">
        <f t="shared" si="18"/>
        <v>2</v>
      </c>
      <c r="AA116" s="13">
        <f t="shared" si="19"/>
        <v>2.36</v>
      </c>
      <c r="AB116" s="14">
        <f t="shared" si="20"/>
        <v>0.35</v>
      </c>
      <c r="AC116" t="str">
        <f t="shared" si="21"/>
        <v>Low (1-20%)</v>
      </c>
      <c r="AD116" t="str">
        <f t="shared" si="22"/>
        <v>Low (&lt;$50)</v>
      </c>
      <c r="AE116" t="str">
        <f t="shared" si="23"/>
        <v>Small (1-2 units)</v>
      </c>
      <c r="AF116" t="str">
        <f t="shared" si="24"/>
        <v>Profitable</v>
      </c>
      <c r="AG116" t="str">
        <f t="shared" si="25"/>
        <v>High Margin</v>
      </c>
      <c r="AH116" t="str">
        <f t="shared" si="26"/>
        <v>Repeat Customer</v>
      </c>
      <c r="AI116" t="str">
        <f t="shared" si="27"/>
        <v>Fast (&lt;=2 days)</v>
      </c>
    </row>
    <row r="117" spans="1:35" ht="15" customHeight="1" x14ac:dyDescent="0.3">
      <c r="A117">
        <v>116</v>
      </c>
      <c r="B117" t="s">
        <v>677</v>
      </c>
      <c r="C117" s="12">
        <v>41876</v>
      </c>
      <c r="D117" s="12">
        <v>41878</v>
      </c>
      <c r="E117" t="s">
        <v>206</v>
      </c>
      <c r="F117" t="s">
        <v>678</v>
      </c>
      <c r="G117" t="s">
        <v>679</v>
      </c>
      <c r="H117" t="s">
        <v>209</v>
      </c>
      <c r="I117" t="s">
        <v>210</v>
      </c>
      <c r="J117" t="s">
        <v>680</v>
      </c>
      <c r="K117" t="s">
        <v>681</v>
      </c>
      <c r="L117">
        <v>43229</v>
      </c>
      <c r="M117" t="s">
        <v>331</v>
      </c>
      <c r="N117" t="s">
        <v>686</v>
      </c>
      <c r="O117" t="s">
        <v>229</v>
      </c>
      <c r="P117" t="s">
        <v>273</v>
      </c>
      <c r="Q117" t="s">
        <v>687</v>
      </c>
      <c r="R117" s="13">
        <v>23.975999999999999</v>
      </c>
      <c r="S117">
        <v>3</v>
      </c>
      <c r="T117" s="14">
        <v>0.2</v>
      </c>
      <c r="U117" s="13">
        <v>7.4924999999999997</v>
      </c>
      <c r="V117">
        <f t="shared" si="14"/>
        <v>2014</v>
      </c>
      <c r="W117" t="str">
        <f t="shared" si="15"/>
        <v>Aug</v>
      </c>
      <c r="X117" t="str">
        <f t="shared" si="16"/>
        <v>Q3</v>
      </c>
      <c r="Y117" t="str">
        <f t="shared" si="17"/>
        <v>Mon</v>
      </c>
      <c r="Z117" s="16">
        <f t="shared" si="18"/>
        <v>2</v>
      </c>
      <c r="AA117" s="13">
        <f t="shared" si="19"/>
        <v>7.992</v>
      </c>
      <c r="AB117" s="14">
        <f t="shared" si="20"/>
        <v>0.3125</v>
      </c>
      <c r="AC117" t="str">
        <f t="shared" si="21"/>
        <v>Low (1-20%)</v>
      </c>
      <c r="AD117" t="str">
        <f t="shared" si="22"/>
        <v>Low (&lt;$50)</v>
      </c>
      <c r="AE117" t="str">
        <f t="shared" si="23"/>
        <v>Medium (3-5 units)</v>
      </c>
      <c r="AF117" t="str">
        <f t="shared" si="24"/>
        <v>Profitable</v>
      </c>
      <c r="AG117" t="str">
        <f t="shared" si="25"/>
        <v>High Margin</v>
      </c>
      <c r="AH117" t="str">
        <f t="shared" si="26"/>
        <v>Repeat Customer</v>
      </c>
      <c r="AI117" t="str">
        <f t="shared" si="27"/>
        <v>Fast (&lt;=2 days)</v>
      </c>
    </row>
    <row r="118" spans="1:35" ht="15" customHeight="1" x14ac:dyDescent="0.3">
      <c r="A118">
        <v>117</v>
      </c>
      <c r="B118" t="s">
        <v>677</v>
      </c>
      <c r="C118" s="12">
        <v>41876</v>
      </c>
      <c r="D118" s="12">
        <v>41878</v>
      </c>
      <c r="E118" t="s">
        <v>206</v>
      </c>
      <c r="F118" t="s">
        <v>678</v>
      </c>
      <c r="G118" t="s">
        <v>679</v>
      </c>
      <c r="H118" t="s">
        <v>209</v>
      </c>
      <c r="I118" t="s">
        <v>210</v>
      </c>
      <c r="J118" t="s">
        <v>680</v>
      </c>
      <c r="K118" t="s">
        <v>681</v>
      </c>
      <c r="L118">
        <v>43229</v>
      </c>
      <c r="M118" t="s">
        <v>331</v>
      </c>
      <c r="N118" t="s">
        <v>688</v>
      </c>
      <c r="O118" t="s">
        <v>229</v>
      </c>
      <c r="P118" t="s">
        <v>356</v>
      </c>
      <c r="Q118" t="s">
        <v>689</v>
      </c>
      <c r="R118" s="13">
        <v>130.464</v>
      </c>
      <c r="S118">
        <v>6</v>
      </c>
      <c r="T118" s="14">
        <v>0.2</v>
      </c>
      <c r="U118" s="13">
        <v>44.031599999999997</v>
      </c>
      <c r="V118">
        <f t="shared" si="14"/>
        <v>2014</v>
      </c>
      <c r="W118" t="str">
        <f t="shared" si="15"/>
        <v>Aug</v>
      </c>
      <c r="X118" t="str">
        <f t="shared" si="16"/>
        <v>Q3</v>
      </c>
      <c r="Y118" t="str">
        <f t="shared" si="17"/>
        <v>Mon</v>
      </c>
      <c r="Z118" s="16">
        <f t="shared" si="18"/>
        <v>2</v>
      </c>
      <c r="AA118" s="13">
        <f t="shared" si="19"/>
        <v>21.744</v>
      </c>
      <c r="AB118" s="14">
        <f t="shared" si="20"/>
        <v>0.33749999999999997</v>
      </c>
      <c r="AC118" t="str">
        <f t="shared" si="21"/>
        <v>Low (1-20%)</v>
      </c>
      <c r="AD118" t="str">
        <f t="shared" si="22"/>
        <v>Medium ($50-$200)</v>
      </c>
      <c r="AE118" t="str">
        <f t="shared" si="23"/>
        <v>Large (6+ units)</v>
      </c>
      <c r="AF118" t="str">
        <f t="shared" si="24"/>
        <v>Profitable</v>
      </c>
      <c r="AG118" t="str">
        <f t="shared" si="25"/>
        <v>High Margin</v>
      </c>
      <c r="AH118" t="str">
        <f t="shared" si="26"/>
        <v>Repeat Customer</v>
      </c>
      <c r="AI118" t="str">
        <f t="shared" si="27"/>
        <v>Fast (&lt;=2 days)</v>
      </c>
    </row>
    <row r="119" spans="1:35" ht="15" customHeight="1" x14ac:dyDescent="0.3">
      <c r="A119">
        <v>118</v>
      </c>
      <c r="B119" t="s">
        <v>690</v>
      </c>
      <c r="C119" s="12">
        <v>42065</v>
      </c>
      <c r="D119" s="12">
        <v>42069</v>
      </c>
      <c r="E119" t="s">
        <v>233</v>
      </c>
      <c r="F119" t="s">
        <v>691</v>
      </c>
      <c r="G119" t="s">
        <v>692</v>
      </c>
      <c r="H119" t="s">
        <v>209</v>
      </c>
      <c r="I119" t="s">
        <v>210</v>
      </c>
      <c r="J119" t="s">
        <v>278</v>
      </c>
      <c r="K119" t="s">
        <v>279</v>
      </c>
      <c r="L119">
        <v>98103</v>
      </c>
      <c r="M119" t="s">
        <v>227</v>
      </c>
      <c r="N119" t="s">
        <v>693</v>
      </c>
      <c r="O119" t="s">
        <v>215</v>
      </c>
      <c r="P119" t="s">
        <v>239</v>
      </c>
      <c r="Q119" t="s">
        <v>694</v>
      </c>
      <c r="R119" s="13">
        <v>787.53</v>
      </c>
      <c r="S119">
        <v>3</v>
      </c>
      <c r="T119" s="14">
        <v>0</v>
      </c>
      <c r="U119" s="13">
        <v>165.38130000000001</v>
      </c>
      <c r="V119">
        <f t="shared" si="14"/>
        <v>2015</v>
      </c>
      <c r="W119" t="str">
        <f t="shared" si="15"/>
        <v>Mar</v>
      </c>
      <c r="X119" t="str">
        <f t="shared" si="16"/>
        <v>Q1</v>
      </c>
      <c r="Y119" t="str">
        <f t="shared" si="17"/>
        <v>Mon</v>
      </c>
      <c r="Z119" s="16">
        <f t="shared" si="18"/>
        <v>4</v>
      </c>
      <c r="AA119" s="13">
        <f t="shared" si="19"/>
        <v>262.51</v>
      </c>
      <c r="AB119" s="14">
        <f t="shared" si="20"/>
        <v>0.21000000000000002</v>
      </c>
      <c r="AC119" t="str">
        <f t="shared" si="21"/>
        <v>No Discount</v>
      </c>
      <c r="AD119" t="str">
        <f t="shared" si="22"/>
        <v>Premium ($500+)</v>
      </c>
      <c r="AE119" t="str">
        <f t="shared" si="23"/>
        <v>Medium (3-5 units)</v>
      </c>
      <c r="AF119" t="str">
        <f t="shared" si="24"/>
        <v>Profitable</v>
      </c>
      <c r="AG119" t="str">
        <f t="shared" si="25"/>
        <v>Healthy Margin</v>
      </c>
      <c r="AH119" t="str">
        <f t="shared" si="26"/>
        <v>Repeat Customer</v>
      </c>
      <c r="AI119" t="str">
        <f t="shared" si="27"/>
        <v>Standard (3-5 days)</v>
      </c>
    </row>
    <row r="120" spans="1:35" ht="15" customHeight="1" x14ac:dyDescent="0.3">
      <c r="A120">
        <v>119</v>
      </c>
      <c r="B120" t="s">
        <v>695</v>
      </c>
      <c r="C120" s="12">
        <v>42099</v>
      </c>
      <c r="D120" s="12">
        <v>42104</v>
      </c>
      <c r="E120" t="s">
        <v>233</v>
      </c>
      <c r="F120" t="s">
        <v>696</v>
      </c>
      <c r="G120" t="s">
        <v>697</v>
      </c>
      <c r="H120" t="s">
        <v>224</v>
      </c>
      <c r="I120" t="s">
        <v>210</v>
      </c>
      <c r="J120" t="s">
        <v>698</v>
      </c>
      <c r="K120" t="s">
        <v>518</v>
      </c>
      <c r="L120">
        <v>37620</v>
      </c>
      <c r="M120" t="s">
        <v>213</v>
      </c>
      <c r="N120" t="s">
        <v>699</v>
      </c>
      <c r="O120" t="s">
        <v>229</v>
      </c>
      <c r="P120" t="s">
        <v>258</v>
      </c>
      <c r="Q120" t="s">
        <v>700</v>
      </c>
      <c r="R120" s="13">
        <v>157.79400000000001</v>
      </c>
      <c r="S120">
        <v>1</v>
      </c>
      <c r="T120" s="14">
        <v>0.7</v>
      </c>
      <c r="U120" s="13">
        <v>-115.71559999999999</v>
      </c>
      <c r="V120">
        <f t="shared" si="14"/>
        <v>2015</v>
      </c>
      <c r="W120" t="str">
        <f t="shared" si="15"/>
        <v>Apr</v>
      </c>
      <c r="X120" t="str">
        <f t="shared" si="16"/>
        <v>Q2</v>
      </c>
      <c r="Y120" t="str">
        <f t="shared" si="17"/>
        <v>Sun</v>
      </c>
      <c r="Z120" s="16">
        <f t="shared" si="18"/>
        <v>5</v>
      </c>
      <c r="AA120" s="13">
        <f t="shared" si="19"/>
        <v>157.79400000000001</v>
      </c>
      <c r="AB120" s="14">
        <f t="shared" si="20"/>
        <v>-0.73333333333333328</v>
      </c>
      <c r="AC120" t="str">
        <f t="shared" si="21"/>
        <v>High (40%+)</v>
      </c>
      <c r="AD120" t="str">
        <f t="shared" si="22"/>
        <v>Medium ($50-$200)</v>
      </c>
      <c r="AE120" t="str">
        <f t="shared" si="23"/>
        <v>Small (1-2 units)</v>
      </c>
      <c r="AF120" t="str">
        <f t="shared" si="24"/>
        <v>Loss-Making</v>
      </c>
      <c r="AG120" t="str">
        <f t="shared" si="25"/>
        <v>Underperforming</v>
      </c>
      <c r="AH120" t="str">
        <f t="shared" si="26"/>
        <v>Single Purchase</v>
      </c>
      <c r="AI120" t="str">
        <f t="shared" si="27"/>
        <v>Standard (3-5 days)</v>
      </c>
    </row>
    <row r="121" spans="1:35" ht="15" customHeight="1" x14ac:dyDescent="0.3">
      <c r="A121">
        <v>120</v>
      </c>
      <c r="B121" t="s">
        <v>701</v>
      </c>
      <c r="C121" s="12">
        <v>42533</v>
      </c>
      <c r="D121" s="12">
        <v>42536</v>
      </c>
      <c r="E121" t="s">
        <v>371</v>
      </c>
      <c r="F121" t="s">
        <v>702</v>
      </c>
      <c r="G121" t="s">
        <v>703</v>
      </c>
      <c r="H121" t="s">
        <v>209</v>
      </c>
      <c r="I121" t="s">
        <v>210</v>
      </c>
      <c r="J121" t="s">
        <v>704</v>
      </c>
      <c r="K121" t="s">
        <v>428</v>
      </c>
      <c r="L121">
        <v>19805</v>
      </c>
      <c r="M121" t="s">
        <v>331</v>
      </c>
      <c r="N121" t="s">
        <v>705</v>
      </c>
      <c r="O121" t="s">
        <v>215</v>
      </c>
      <c r="P121" t="s">
        <v>248</v>
      </c>
      <c r="Q121" t="s">
        <v>706</v>
      </c>
      <c r="R121" s="13">
        <v>47.04</v>
      </c>
      <c r="S121">
        <v>3</v>
      </c>
      <c r="T121" s="14">
        <v>0</v>
      </c>
      <c r="U121" s="13">
        <v>18.345600000000001</v>
      </c>
      <c r="V121">
        <f t="shared" si="14"/>
        <v>2016</v>
      </c>
      <c r="W121" t="str">
        <f t="shared" si="15"/>
        <v>Jun</v>
      </c>
      <c r="X121" t="str">
        <f t="shared" si="16"/>
        <v>Q2</v>
      </c>
      <c r="Y121" t="str">
        <f t="shared" si="17"/>
        <v>Sun</v>
      </c>
      <c r="Z121" s="16">
        <f t="shared" si="18"/>
        <v>3</v>
      </c>
      <c r="AA121" s="13">
        <f t="shared" si="19"/>
        <v>15.68</v>
      </c>
      <c r="AB121" s="14">
        <f t="shared" si="20"/>
        <v>0.39</v>
      </c>
      <c r="AC121" t="str">
        <f t="shared" si="21"/>
        <v>No Discount</v>
      </c>
      <c r="AD121" t="str">
        <f t="shared" si="22"/>
        <v>Low (&lt;$50)</v>
      </c>
      <c r="AE121" t="str">
        <f t="shared" si="23"/>
        <v>Medium (3-5 units)</v>
      </c>
      <c r="AF121" t="str">
        <f t="shared" si="24"/>
        <v>Profitable</v>
      </c>
      <c r="AG121" t="str">
        <f t="shared" si="25"/>
        <v>High Margin</v>
      </c>
      <c r="AH121" t="str">
        <f t="shared" si="26"/>
        <v>Repeat Customer</v>
      </c>
      <c r="AI121" t="str">
        <f t="shared" si="27"/>
        <v>Standard (3-5 days)</v>
      </c>
    </row>
    <row r="122" spans="1:35" ht="15" customHeight="1" x14ac:dyDescent="0.3">
      <c r="A122">
        <v>121</v>
      </c>
      <c r="B122" t="s">
        <v>701</v>
      </c>
      <c r="C122" s="12">
        <v>42533</v>
      </c>
      <c r="D122" s="12">
        <v>42536</v>
      </c>
      <c r="E122" t="s">
        <v>371</v>
      </c>
      <c r="F122" t="s">
        <v>702</v>
      </c>
      <c r="G122" t="s">
        <v>703</v>
      </c>
      <c r="H122" t="s">
        <v>209</v>
      </c>
      <c r="I122" t="s">
        <v>210</v>
      </c>
      <c r="J122" t="s">
        <v>704</v>
      </c>
      <c r="K122" t="s">
        <v>428</v>
      </c>
      <c r="L122">
        <v>19805</v>
      </c>
      <c r="M122" t="s">
        <v>331</v>
      </c>
      <c r="N122" t="s">
        <v>257</v>
      </c>
      <c r="O122" t="s">
        <v>229</v>
      </c>
      <c r="P122" t="s">
        <v>258</v>
      </c>
      <c r="Q122" t="s">
        <v>259</v>
      </c>
      <c r="R122" s="13">
        <v>30.84</v>
      </c>
      <c r="S122">
        <v>4</v>
      </c>
      <c r="T122" s="14">
        <v>0</v>
      </c>
      <c r="U122" s="13">
        <v>13.878</v>
      </c>
      <c r="V122">
        <f t="shared" si="14"/>
        <v>2016</v>
      </c>
      <c r="W122" t="str">
        <f t="shared" si="15"/>
        <v>Jun</v>
      </c>
      <c r="X122" t="str">
        <f t="shared" si="16"/>
        <v>Q2</v>
      </c>
      <c r="Y122" t="str">
        <f t="shared" si="17"/>
        <v>Sun</v>
      </c>
      <c r="Z122" s="16">
        <f t="shared" si="18"/>
        <v>3</v>
      </c>
      <c r="AA122" s="13">
        <f t="shared" si="19"/>
        <v>7.71</v>
      </c>
      <c r="AB122" s="14">
        <f t="shared" si="20"/>
        <v>0.45</v>
      </c>
      <c r="AC122" t="str">
        <f t="shared" si="21"/>
        <v>No Discount</v>
      </c>
      <c r="AD122" t="str">
        <f t="shared" si="22"/>
        <v>Low (&lt;$50)</v>
      </c>
      <c r="AE122" t="str">
        <f t="shared" si="23"/>
        <v>Medium (3-5 units)</v>
      </c>
      <c r="AF122" t="str">
        <f t="shared" si="24"/>
        <v>Profitable</v>
      </c>
      <c r="AG122" t="str">
        <f t="shared" si="25"/>
        <v>High Margin</v>
      </c>
      <c r="AH122" t="str">
        <f t="shared" si="26"/>
        <v>Repeat Customer</v>
      </c>
      <c r="AI122" t="str">
        <f t="shared" si="27"/>
        <v>Standard (3-5 days)</v>
      </c>
    </row>
    <row r="123" spans="1:35" ht="15" customHeight="1" x14ac:dyDescent="0.3">
      <c r="A123">
        <v>122</v>
      </c>
      <c r="B123" t="s">
        <v>701</v>
      </c>
      <c r="C123" s="12">
        <v>42533</v>
      </c>
      <c r="D123" s="12">
        <v>42536</v>
      </c>
      <c r="E123" t="s">
        <v>371</v>
      </c>
      <c r="F123" t="s">
        <v>702</v>
      </c>
      <c r="G123" t="s">
        <v>703</v>
      </c>
      <c r="H123" t="s">
        <v>209</v>
      </c>
      <c r="I123" t="s">
        <v>210</v>
      </c>
      <c r="J123" t="s">
        <v>704</v>
      </c>
      <c r="K123" t="s">
        <v>428</v>
      </c>
      <c r="L123">
        <v>19805</v>
      </c>
      <c r="M123" t="s">
        <v>331</v>
      </c>
      <c r="N123" t="s">
        <v>707</v>
      </c>
      <c r="O123" t="s">
        <v>229</v>
      </c>
      <c r="P123" t="s">
        <v>242</v>
      </c>
      <c r="Q123" t="s">
        <v>708</v>
      </c>
      <c r="R123" s="13">
        <v>226.56</v>
      </c>
      <c r="S123">
        <v>6</v>
      </c>
      <c r="T123" s="14">
        <v>0</v>
      </c>
      <c r="U123" s="13">
        <v>63.436799999999998</v>
      </c>
      <c r="V123">
        <f t="shared" si="14"/>
        <v>2016</v>
      </c>
      <c r="W123" t="str">
        <f t="shared" si="15"/>
        <v>Jun</v>
      </c>
      <c r="X123" t="str">
        <f t="shared" si="16"/>
        <v>Q2</v>
      </c>
      <c r="Y123" t="str">
        <f t="shared" si="17"/>
        <v>Sun</v>
      </c>
      <c r="Z123" s="16">
        <f t="shared" si="18"/>
        <v>3</v>
      </c>
      <c r="AA123" s="13">
        <f t="shared" si="19"/>
        <v>37.76</v>
      </c>
      <c r="AB123" s="14">
        <f t="shared" si="20"/>
        <v>0.27999999999999997</v>
      </c>
      <c r="AC123" t="str">
        <f t="shared" si="21"/>
        <v>No Discount</v>
      </c>
      <c r="AD123" t="str">
        <f t="shared" si="22"/>
        <v>High ($200-$500)</v>
      </c>
      <c r="AE123" t="str">
        <f t="shared" si="23"/>
        <v>Large (6+ units)</v>
      </c>
      <c r="AF123" t="str">
        <f t="shared" si="24"/>
        <v>Profitable</v>
      </c>
      <c r="AG123" t="str">
        <f t="shared" si="25"/>
        <v>High Margin</v>
      </c>
      <c r="AH123" t="str">
        <f t="shared" si="26"/>
        <v>Repeat Customer</v>
      </c>
      <c r="AI123" t="str">
        <f t="shared" si="27"/>
        <v>Standard (3-5 days)</v>
      </c>
    </row>
    <row r="124" spans="1:35" ht="15" customHeight="1" x14ac:dyDescent="0.3">
      <c r="A124">
        <v>123</v>
      </c>
      <c r="B124" t="s">
        <v>701</v>
      </c>
      <c r="C124" s="12">
        <v>42533</v>
      </c>
      <c r="D124" s="12">
        <v>42536</v>
      </c>
      <c r="E124" t="s">
        <v>371</v>
      </c>
      <c r="F124" t="s">
        <v>702</v>
      </c>
      <c r="G124" t="s">
        <v>703</v>
      </c>
      <c r="H124" t="s">
        <v>209</v>
      </c>
      <c r="I124" t="s">
        <v>210</v>
      </c>
      <c r="J124" t="s">
        <v>704</v>
      </c>
      <c r="K124" t="s">
        <v>428</v>
      </c>
      <c r="L124">
        <v>19805</v>
      </c>
      <c r="M124" t="s">
        <v>331</v>
      </c>
      <c r="N124" t="s">
        <v>709</v>
      </c>
      <c r="O124" t="s">
        <v>229</v>
      </c>
      <c r="P124" t="s">
        <v>356</v>
      </c>
      <c r="Q124" t="s">
        <v>710</v>
      </c>
      <c r="R124" s="13">
        <v>115.02</v>
      </c>
      <c r="S124">
        <v>9</v>
      </c>
      <c r="T124" s="14">
        <v>0</v>
      </c>
      <c r="U124" s="13">
        <v>51.759</v>
      </c>
      <c r="V124">
        <f t="shared" si="14"/>
        <v>2016</v>
      </c>
      <c r="W124" t="str">
        <f t="shared" si="15"/>
        <v>Jun</v>
      </c>
      <c r="X124" t="str">
        <f t="shared" si="16"/>
        <v>Q2</v>
      </c>
      <c r="Y124" t="str">
        <f t="shared" si="17"/>
        <v>Sun</v>
      </c>
      <c r="Z124" s="16">
        <f t="shared" si="18"/>
        <v>3</v>
      </c>
      <c r="AA124" s="13">
        <f t="shared" si="19"/>
        <v>12.78</v>
      </c>
      <c r="AB124" s="14">
        <f t="shared" si="20"/>
        <v>0.45</v>
      </c>
      <c r="AC124" t="str">
        <f t="shared" si="21"/>
        <v>No Discount</v>
      </c>
      <c r="AD124" t="str">
        <f t="shared" si="22"/>
        <v>Medium ($50-$200)</v>
      </c>
      <c r="AE124" t="str">
        <f t="shared" si="23"/>
        <v>Large (6+ units)</v>
      </c>
      <c r="AF124" t="str">
        <f t="shared" si="24"/>
        <v>Profitable</v>
      </c>
      <c r="AG124" t="str">
        <f t="shared" si="25"/>
        <v>High Margin</v>
      </c>
      <c r="AH124" t="str">
        <f t="shared" si="26"/>
        <v>Repeat Customer</v>
      </c>
      <c r="AI124" t="str">
        <f t="shared" si="27"/>
        <v>Standard (3-5 days)</v>
      </c>
    </row>
    <row r="125" spans="1:35" ht="15" customHeight="1" x14ac:dyDescent="0.3">
      <c r="A125">
        <v>124</v>
      </c>
      <c r="B125" t="s">
        <v>701</v>
      </c>
      <c r="C125" s="12">
        <v>42533</v>
      </c>
      <c r="D125" s="12">
        <v>42536</v>
      </c>
      <c r="E125" t="s">
        <v>371</v>
      </c>
      <c r="F125" t="s">
        <v>702</v>
      </c>
      <c r="G125" t="s">
        <v>703</v>
      </c>
      <c r="H125" t="s">
        <v>209</v>
      </c>
      <c r="I125" t="s">
        <v>210</v>
      </c>
      <c r="J125" t="s">
        <v>704</v>
      </c>
      <c r="K125" t="s">
        <v>428</v>
      </c>
      <c r="L125">
        <v>19805</v>
      </c>
      <c r="M125" t="s">
        <v>331</v>
      </c>
      <c r="N125" t="s">
        <v>711</v>
      </c>
      <c r="O125" t="s">
        <v>254</v>
      </c>
      <c r="P125" t="s">
        <v>255</v>
      </c>
      <c r="Q125" t="s">
        <v>712</v>
      </c>
      <c r="R125" s="13">
        <v>68.040000000000006</v>
      </c>
      <c r="S125">
        <v>7</v>
      </c>
      <c r="T125" s="14">
        <v>0</v>
      </c>
      <c r="U125" s="13">
        <v>19.7316</v>
      </c>
      <c r="V125">
        <f t="shared" si="14"/>
        <v>2016</v>
      </c>
      <c r="W125" t="str">
        <f t="shared" si="15"/>
        <v>Jun</v>
      </c>
      <c r="X125" t="str">
        <f t="shared" si="16"/>
        <v>Q2</v>
      </c>
      <c r="Y125" t="str">
        <f t="shared" si="17"/>
        <v>Sun</v>
      </c>
      <c r="Z125" s="16">
        <f t="shared" si="18"/>
        <v>3</v>
      </c>
      <c r="AA125" s="13">
        <f t="shared" si="19"/>
        <v>9.7200000000000006</v>
      </c>
      <c r="AB125" s="14">
        <f t="shared" si="20"/>
        <v>0.28999999999999998</v>
      </c>
      <c r="AC125" t="str">
        <f t="shared" si="21"/>
        <v>No Discount</v>
      </c>
      <c r="AD125" t="str">
        <f t="shared" si="22"/>
        <v>Medium ($50-$200)</v>
      </c>
      <c r="AE125" t="str">
        <f t="shared" si="23"/>
        <v>Large (6+ units)</v>
      </c>
      <c r="AF125" t="str">
        <f t="shared" si="24"/>
        <v>Profitable</v>
      </c>
      <c r="AG125" t="str">
        <f t="shared" si="25"/>
        <v>High Margin</v>
      </c>
      <c r="AH125" t="str">
        <f t="shared" si="26"/>
        <v>Repeat Customer</v>
      </c>
      <c r="AI125" t="str">
        <f t="shared" si="27"/>
        <v>Standard (3-5 days)</v>
      </c>
    </row>
    <row r="126" spans="1:35" ht="15" customHeight="1" x14ac:dyDescent="0.3">
      <c r="A126">
        <v>125</v>
      </c>
      <c r="B126" t="s">
        <v>713</v>
      </c>
      <c r="C126" s="12">
        <v>41999</v>
      </c>
      <c r="D126" s="12">
        <v>42001</v>
      </c>
      <c r="E126" t="s">
        <v>206</v>
      </c>
      <c r="F126" t="s">
        <v>714</v>
      </c>
      <c r="G126" t="s">
        <v>715</v>
      </c>
      <c r="H126" t="s">
        <v>285</v>
      </c>
      <c r="I126" t="s">
        <v>210</v>
      </c>
      <c r="J126" t="s">
        <v>367</v>
      </c>
      <c r="K126" t="s">
        <v>287</v>
      </c>
      <c r="L126">
        <v>77041</v>
      </c>
      <c r="M126" t="s">
        <v>288</v>
      </c>
      <c r="N126" t="s">
        <v>716</v>
      </c>
      <c r="O126" t="s">
        <v>215</v>
      </c>
      <c r="P126" t="s">
        <v>219</v>
      </c>
      <c r="Q126" t="s">
        <v>717</v>
      </c>
      <c r="R126" s="13">
        <v>600.55799999999999</v>
      </c>
      <c r="S126">
        <v>3</v>
      </c>
      <c r="T126" s="14">
        <v>0.3</v>
      </c>
      <c r="U126" s="13">
        <v>-8.5794000000000796</v>
      </c>
      <c r="V126">
        <f t="shared" si="14"/>
        <v>2014</v>
      </c>
      <c r="W126" t="str">
        <f t="shared" si="15"/>
        <v>Dec</v>
      </c>
      <c r="X126" t="str">
        <f t="shared" si="16"/>
        <v>Q4</v>
      </c>
      <c r="Y126" t="str">
        <f t="shared" si="17"/>
        <v>Fri</v>
      </c>
      <c r="Z126" s="16">
        <f t="shared" si="18"/>
        <v>2</v>
      </c>
      <c r="AA126" s="13">
        <f t="shared" si="19"/>
        <v>200.18600000000001</v>
      </c>
      <c r="AB126" s="14">
        <f t="shared" si="20"/>
        <v>-1.4285714285714419E-2</v>
      </c>
      <c r="AC126" t="str">
        <f t="shared" si="21"/>
        <v>Medium (21-40%)</v>
      </c>
      <c r="AD126" t="str">
        <f t="shared" si="22"/>
        <v>Premium ($500+)</v>
      </c>
      <c r="AE126" t="str">
        <f t="shared" si="23"/>
        <v>Medium (3-5 units)</v>
      </c>
      <c r="AF126" t="str">
        <f t="shared" si="24"/>
        <v>Loss-Making</v>
      </c>
      <c r="AG126" t="str">
        <f t="shared" si="25"/>
        <v>Underperforming</v>
      </c>
      <c r="AH126" t="str">
        <f t="shared" si="26"/>
        <v>Repeat Customer</v>
      </c>
      <c r="AI126" t="str">
        <f t="shared" si="27"/>
        <v>Fast (&lt;=2 days)</v>
      </c>
    </row>
    <row r="127" spans="1:35" ht="15" customHeight="1" x14ac:dyDescent="0.3">
      <c r="A127">
        <v>126</v>
      </c>
      <c r="B127" t="s">
        <v>718</v>
      </c>
      <c r="C127" s="12">
        <v>41902</v>
      </c>
      <c r="D127" s="12">
        <v>41907</v>
      </c>
      <c r="E127" t="s">
        <v>233</v>
      </c>
      <c r="F127" t="s">
        <v>719</v>
      </c>
      <c r="G127" t="s">
        <v>720</v>
      </c>
      <c r="H127" t="s">
        <v>209</v>
      </c>
      <c r="I127" t="s">
        <v>210</v>
      </c>
      <c r="J127" t="s">
        <v>721</v>
      </c>
      <c r="K127" t="s">
        <v>394</v>
      </c>
      <c r="L127">
        <v>61701</v>
      </c>
      <c r="M127" t="s">
        <v>288</v>
      </c>
      <c r="N127" t="s">
        <v>722</v>
      </c>
      <c r="O127" t="s">
        <v>215</v>
      </c>
      <c r="P127" t="s">
        <v>239</v>
      </c>
      <c r="Q127" t="s">
        <v>723</v>
      </c>
      <c r="R127" s="13">
        <v>617.70000000000005</v>
      </c>
      <c r="S127">
        <v>6</v>
      </c>
      <c r="T127" s="14">
        <v>0.5</v>
      </c>
      <c r="U127" s="13">
        <v>-407.68200000000002</v>
      </c>
      <c r="V127">
        <f t="shared" si="14"/>
        <v>2014</v>
      </c>
      <c r="W127" t="str">
        <f t="shared" si="15"/>
        <v>Sep</v>
      </c>
      <c r="X127" t="str">
        <f t="shared" si="16"/>
        <v>Q3</v>
      </c>
      <c r="Y127" t="str">
        <f t="shared" si="17"/>
        <v>Sat</v>
      </c>
      <c r="Z127" s="16">
        <f t="shared" si="18"/>
        <v>5</v>
      </c>
      <c r="AA127" s="13">
        <f t="shared" si="19"/>
        <v>102.95</v>
      </c>
      <c r="AB127" s="14">
        <f t="shared" si="20"/>
        <v>-0.66</v>
      </c>
      <c r="AC127" t="str">
        <f t="shared" si="21"/>
        <v>High (40%+)</v>
      </c>
      <c r="AD127" t="str">
        <f t="shared" si="22"/>
        <v>Premium ($500+)</v>
      </c>
      <c r="AE127" t="str">
        <f t="shared" si="23"/>
        <v>Large (6+ units)</v>
      </c>
      <c r="AF127" t="str">
        <f t="shared" si="24"/>
        <v>Loss-Making</v>
      </c>
      <c r="AG127" t="str">
        <f t="shared" si="25"/>
        <v>Underperforming</v>
      </c>
      <c r="AH127" t="str">
        <f t="shared" si="26"/>
        <v>Single Purchase</v>
      </c>
      <c r="AI127" t="str">
        <f t="shared" si="27"/>
        <v>Standard (3-5 days)</v>
      </c>
    </row>
    <row r="128" spans="1:35" ht="15" customHeight="1" x14ac:dyDescent="0.3">
      <c r="A128">
        <v>127</v>
      </c>
      <c r="B128" t="s">
        <v>724</v>
      </c>
      <c r="C128" s="12">
        <v>43044</v>
      </c>
      <c r="D128" s="12">
        <v>43051</v>
      </c>
      <c r="E128" t="s">
        <v>233</v>
      </c>
      <c r="F128" t="s">
        <v>725</v>
      </c>
      <c r="G128" t="s">
        <v>726</v>
      </c>
      <c r="H128" t="s">
        <v>209</v>
      </c>
      <c r="I128" t="s">
        <v>210</v>
      </c>
      <c r="J128" t="s">
        <v>727</v>
      </c>
      <c r="K128" t="s">
        <v>493</v>
      </c>
      <c r="L128">
        <v>85023</v>
      </c>
      <c r="M128" t="s">
        <v>227</v>
      </c>
      <c r="N128" t="s">
        <v>728</v>
      </c>
      <c r="O128" t="s">
        <v>229</v>
      </c>
      <c r="P128" t="s">
        <v>258</v>
      </c>
      <c r="Q128" t="s">
        <v>729</v>
      </c>
      <c r="R128" s="13">
        <v>2.3879999999999999</v>
      </c>
      <c r="S128">
        <v>2</v>
      </c>
      <c r="T128" s="14">
        <v>0.7</v>
      </c>
      <c r="U128" s="13">
        <v>-1.8308</v>
      </c>
      <c r="V128">
        <f t="shared" si="14"/>
        <v>2017</v>
      </c>
      <c r="W128" t="str">
        <f t="shared" si="15"/>
        <v>Nov</v>
      </c>
      <c r="X128" t="str">
        <f t="shared" si="16"/>
        <v>Q4</v>
      </c>
      <c r="Y128" t="str">
        <f t="shared" si="17"/>
        <v>Sun</v>
      </c>
      <c r="Z128" s="16">
        <f t="shared" si="18"/>
        <v>7</v>
      </c>
      <c r="AA128" s="13">
        <f t="shared" si="19"/>
        <v>1.194</v>
      </c>
      <c r="AB128" s="14">
        <f t="shared" si="20"/>
        <v>-0.76666666666666672</v>
      </c>
      <c r="AC128" t="str">
        <f t="shared" si="21"/>
        <v>High (40%+)</v>
      </c>
      <c r="AD128" t="str">
        <f t="shared" si="22"/>
        <v>Low (&lt;$50)</v>
      </c>
      <c r="AE128" t="str">
        <f t="shared" si="23"/>
        <v>Small (1-2 units)</v>
      </c>
      <c r="AF128" t="str">
        <f t="shared" si="24"/>
        <v>Loss-Making</v>
      </c>
      <c r="AG128" t="str">
        <f t="shared" si="25"/>
        <v>Underperforming</v>
      </c>
      <c r="AH128" t="str">
        <f t="shared" si="26"/>
        <v>Repeat Customer</v>
      </c>
      <c r="AI128" t="str">
        <f t="shared" si="27"/>
        <v>Slow (6+ days)</v>
      </c>
    </row>
    <row r="129" spans="1:35" ht="15" customHeight="1" x14ac:dyDescent="0.3">
      <c r="A129">
        <v>128</v>
      </c>
      <c r="B129" t="s">
        <v>724</v>
      </c>
      <c r="C129" s="12">
        <v>43044</v>
      </c>
      <c r="D129" s="12">
        <v>43051</v>
      </c>
      <c r="E129" t="s">
        <v>233</v>
      </c>
      <c r="F129" t="s">
        <v>725</v>
      </c>
      <c r="G129" t="s">
        <v>726</v>
      </c>
      <c r="H129" t="s">
        <v>209</v>
      </c>
      <c r="I129" t="s">
        <v>210</v>
      </c>
      <c r="J129" t="s">
        <v>727</v>
      </c>
      <c r="K129" t="s">
        <v>493</v>
      </c>
      <c r="L129">
        <v>85023</v>
      </c>
      <c r="M129" t="s">
        <v>227</v>
      </c>
      <c r="N129" t="s">
        <v>730</v>
      </c>
      <c r="O129" t="s">
        <v>229</v>
      </c>
      <c r="P129" t="s">
        <v>242</v>
      </c>
      <c r="Q129" t="s">
        <v>731</v>
      </c>
      <c r="R129" s="13">
        <v>243.99199999999999</v>
      </c>
      <c r="S129">
        <v>7</v>
      </c>
      <c r="T129" s="14">
        <v>0.2</v>
      </c>
      <c r="U129" s="13">
        <v>30.498999999999999</v>
      </c>
      <c r="V129">
        <f t="shared" si="14"/>
        <v>2017</v>
      </c>
      <c r="W129" t="str">
        <f t="shared" si="15"/>
        <v>Nov</v>
      </c>
      <c r="X129" t="str">
        <f t="shared" si="16"/>
        <v>Q4</v>
      </c>
      <c r="Y129" t="str">
        <f t="shared" si="17"/>
        <v>Sun</v>
      </c>
      <c r="Z129" s="16">
        <f t="shared" si="18"/>
        <v>7</v>
      </c>
      <c r="AA129" s="13">
        <f t="shared" si="19"/>
        <v>34.856000000000002</v>
      </c>
      <c r="AB129" s="14">
        <f t="shared" si="20"/>
        <v>0.125</v>
      </c>
      <c r="AC129" t="str">
        <f t="shared" si="21"/>
        <v>Low (1-20%)</v>
      </c>
      <c r="AD129" t="str">
        <f t="shared" si="22"/>
        <v>High ($200-$500)</v>
      </c>
      <c r="AE129" t="str">
        <f t="shared" si="23"/>
        <v>Large (6+ units)</v>
      </c>
      <c r="AF129" t="str">
        <f t="shared" si="24"/>
        <v>Profitable</v>
      </c>
      <c r="AG129" t="str">
        <f t="shared" si="25"/>
        <v>Healthy Margin</v>
      </c>
      <c r="AH129" t="str">
        <f t="shared" si="26"/>
        <v>Repeat Customer</v>
      </c>
      <c r="AI129" t="str">
        <f t="shared" si="27"/>
        <v>Slow (6+ days)</v>
      </c>
    </row>
    <row r="130" spans="1:35" ht="15" customHeight="1" x14ac:dyDescent="0.3">
      <c r="A130">
        <v>129</v>
      </c>
      <c r="B130" t="s">
        <v>732</v>
      </c>
      <c r="C130" s="12">
        <v>42680</v>
      </c>
      <c r="D130" s="12">
        <v>42684</v>
      </c>
      <c r="E130" t="s">
        <v>206</v>
      </c>
      <c r="F130" t="s">
        <v>733</v>
      </c>
      <c r="G130" t="s">
        <v>734</v>
      </c>
      <c r="H130" t="s">
        <v>285</v>
      </c>
      <c r="I130" t="s">
        <v>210</v>
      </c>
      <c r="J130" t="s">
        <v>225</v>
      </c>
      <c r="K130" t="s">
        <v>226</v>
      </c>
      <c r="L130">
        <v>90004</v>
      </c>
      <c r="M130" t="s">
        <v>227</v>
      </c>
      <c r="N130" t="s">
        <v>487</v>
      </c>
      <c r="O130" t="s">
        <v>215</v>
      </c>
      <c r="P130" t="s">
        <v>219</v>
      </c>
      <c r="Q130" t="s">
        <v>735</v>
      </c>
      <c r="R130" s="13">
        <v>81.424000000000007</v>
      </c>
      <c r="S130">
        <v>2</v>
      </c>
      <c r="T130" s="14">
        <v>0.2</v>
      </c>
      <c r="U130" s="13">
        <v>-9.1601999999999997</v>
      </c>
      <c r="V130">
        <f t="shared" ref="V130:V193" si="28">YEAR(C130)</f>
        <v>2016</v>
      </c>
      <c r="W130" t="str">
        <f t="shared" ref="W130:W193" si="29">TEXT(C130,"mmm")</f>
        <v>Nov</v>
      </c>
      <c r="X130" t="str">
        <f t="shared" ref="X130:X193" si="30">"Q"&amp;ROUNDUP(MONTH(C130)/3,0)</f>
        <v>Q4</v>
      </c>
      <c r="Y130" t="str">
        <f t="shared" ref="Y130:Y193" si="31">TEXT(C130,"ddd")</f>
        <v>Sun</v>
      </c>
      <c r="Z130" s="16">
        <f t="shared" ref="Z130:Z193" si="32">D130-C130</f>
        <v>4</v>
      </c>
      <c r="AA130" s="13">
        <f t="shared" ref="AA130:AA193" si="33">IFERROR(R130/S130,0)</f>
        <v>40.712000000000003</v>
      </c>
      <c r="AB130" s="14">
        <f t="shared" ref="AB130:AB193" si="34">IFERROR(U130/R130,0)</f>
        <v>-0.11249999999999999</v>
      </c>
      <c r="AC130" t="str">
        <f t="shared" ref="AC130:AC193" si="35">IF(T130=0,"No Discount",IF(T130&lt;=0.2,"Low (1-20%)",IF(T130&lt;=0.4,"Medium (21-40%)","High (40%+)")))</f>
        <v>Low (1-20%)</v>
      </c>
      <c r="AD130" t="str">
        <f t="shared" ref="AD130:AD193" si="36">IF(R130&lt;50,"Low (&lt;$50)",IF(R130&lt;200,"Medium ($50-$200)",IF(R130&lt;500,"High ($200-$500)","Premium ($500+)")))</f>
        <v>Medium ($50-$200)</v>
      </c>
      <c r="AE130" t="str">
        <f t="shared" ref="AE130:AE193" si="37">IF(S130&lt;=2,"Small (1-2 units)",IF(S130&lt;=5,"Medium (3-5 units)","Large (6+ units)"))</f>
        <v>Small (1-2 units)</v>
      </c>
      <c r="AF130" t="str">
        <f t="shared" ref="AF130:AF193" si="38">IF(U130&lt;0,"Loss-Making","Profitable")</f>
        <v>Loss-Making</v>
      </c>
      <c r="AG130" t="str">
        <f t="shared" ref="AG130:AG193" si="39">IF(AB130&lt;0,"Underperforming",IF(AB130&lt;0.1,"Low Margin",IF(AB130&lt;0.25,"Healthy Margin","High Margin")))</f>
        <v>Underperforming</v>
      </c>
      <c r="AH130" t="str">
        <f t="shared" ref="AH130:AH193" si="40">IF(COUNTIF($F$2:$F$1001,F130)&gt;1,"Repeat Customer","Single Purchase")</f>
        <v>Repeat Customer</v>
      </c>
      <c r="AI130" t="str">
        <f t="shared" ref="AI130:AI193" si="41">IF(Z130&lt;=2,"Fast (&lt;=2 days)",IF(Z130&lt;=5,"Standard (3-5 days)","Slow (6+ days)"))</f>
        <v>Standard (3-5 days)</v>
      </c>
    </row>
    <row r="131" spans="1:35" ht="15" customHeight="1" x14ac:dyDescent="0.3">
      <c r="A131">
        <v>130</v>
      </c>
      <c r="B131" t="s">
        <v>732</v>
      </c>
      <c r="C131" s="12">
        <v>42680</v>
      </c>
      <c r="D131" s="12">
        <v>42684</v>
      </c>
      <c r="E131" t="s">
        <v>206</v>
      </c>
      <c r="F131" t="s">
        <v>733</v>
      </c>
      <c r="G131" t="s">
        <v>734</v>
      </c>
      <c r="H131" t="s">
        <v>285</v>
      </c>
      <c r="I131" t="s">
        <v>210</v>
      </c>
      <c r="J131" t="s">
        <v>225</v>
      </c>
      <c r="K131" t="s">
        <v>226</v>
      </c>
      <c r="L131">
        <v>90004</v>
      </c>
      <c r="M131" t="s">
        <v>227</v>
      </c>
      <c r="N131" t="s">
        <v>736</v>
      </c>
      <c r="O131" t="s">
        <v>215</v>
      </c>
      <c r="P131" t="s">
        <v>248</v>
      </c>
      <c r="Q131" t="s">
        <v>737</v>
      </c>
      <c r="R131" s="13">
        <v>238.56</v>
      </c>
      <c r="S131">
        <v>3</v>
      </c>
      <c r="T131" s="14">
        <v>0</v>
      </c>
      <c r="U131" s="13">
        <v>26.241599999999998</v>
      </c>
      <c r="V131">
        <f t="shared" si="28"/>
        <v>2016</v>
      </c>
      <c r="W131" t="str">
        <f t="shared" si="29"/>
        <v>Nov</v>
      </c>
      <c r="X131" t="str">
        <f t="shared" si="30"/>
        <v>Q4</v>
      </c>
      <c r="Y131" t="str">
        <f t="shared" si="31"/>
        <v>Sun</v>
      </c>
      <c r="Z131" s="16">
        <f t="shared" si="32"/>
        <v>4</v>
      </c>
      <c r="AA131" s="13">
        <f t="shared" si="33"/>
        <v>79.52</v>
      </c>
      <c r="AB131" s="14">
        <f t="shared" si="34"/>
        <v>0.10999999999999999</v>
      </c>
      <c r="AC131" t="str">
        <f t="shared" si="35"/>
        <v>No Discount</v>
      </c>
      <c r="AD131" t="str">
        <f t="shared" si="36"/>
        <v>High ($200-$500)</v>
      </c>
      <c r="AE131" t="str">
        <f t="shared" si="37"/>
        <v>Medium (3-5 units)</v>
      </c>
      <c r="AF131" t="str">
        <f t="shared" si="38"/>
        <v>Profitable</v>
      </c>
      <c r="AG131" t="str">
        <f t="shared" si="39"/>
        <v>Healthy Margin</v>
      </c>
      <c r="AH131" t="str">
        <f t="shared" si="40"/>
        <v>Repeat Customer</v>
      </c>
      <c r="AI131" t="str">
        <f t="shared" si="41"/>
        <v>Standard (3-5 days)</v>
      </c>
    </row>
    <row r="132" spans="1:35" ht="15" customHeight="1" x14ac:dyDescent="0.3">
      <c r="A132">
        <v>131</v>
      </c>
      <c r="B132" t="s">
        <v>738</v>
      </c>
      <c r="C132" s="12">
        <v>42768</v>
      </c>
      <c r="D132" s="12">
        <v>42771</v>
      </c>
      <c r="E132" t="s">
        <v>371</v>
      </c>
      <c r="F132" t="s">
        <v>739</v>
      </c>
      <c r="G132" t="s">
        <v>740</v>
      </c>
      <c r="H132" t="s">
        <v>224</v>
      </c>
      <c r="I132" t="s">
        <v>210</v>
      </c>
      <c r="J132" t="s">
        <v>680</v>
      </c>
      <c r="K132" t="s">
        <v>681</v>
      </c>
      <c r="L132">
        <v>43229</v>
      </c>
      <c r="M132" t="s">
        <v>331</v>
      </c>
      <c r="N132" t="s">
        <v>741</v>
      </c>
      <c r="O132" t="s">
        <v>254</v>
      </c>
      <c r="P132" t="s">
        <v>255</v>
      </c>
      <c r="Q132" t="s">
        <v>742</v>
      </c>
      <c r="R132" s="13">
        <v>59.97</v>
      </c>
      <c r="S132">
        <v>5</v>
      </c>
      <c r="T132" s="14">
        <v>0.4</v>
      </c>
      <c r="U132" s="13">
        <v>-11.994</v>
      </c>
      <c r="V132">
        <f t="shared" si="28"/>
        <v>2017</v>
      </c>
      <c r="W132" t="str">
        <f t="shared" si="29"/>
        <v>Feb</v>
      </c>
      <c r="X132" t="str">
        <f t="shared" si="30"/>
        <v>Q1</v>
      </c>
      <c r="Y132" t="str">
        <f t="shared" si="31"/>
        <v>Thu</v>
      </c>
      <c r="Z132" s="16">
        <f t="shared" si="32"/>
        <v>3</v>
      </c>
      <c r="AA132" s="13">
        <f t="shared" si="33"/>
        <v>11.994</v>
      </c>
      <c r="AB132" s="14">
        <f t="shared" si="34"/>
        <v>-0.2</v>
      </c>
      <c r="AC132" t="str">
        <f t="shared" si="35"/>
        <v>Medium (21-40%)</v>
      </c>
      <c r="AD132" t="str">
        <f t="shared" si="36"/>
        <v>Medium ($50-$200)</v>
      </c>
      <c r="AE132" t="str">
        <f t="shared" si="37"/>
        <v>Medium (3-5 units)</v>
      </c>
      <c r="AF132" t="str">
        <f t="shared" si="38"/>
        <v>Loss-Making</v>
      </c>
      <c r="AG132" t="str">
        <f t="shared" si="39"/>
        <v>Underperforming</v>
      </c>
      <c r="AH132" t="str">
        <f t="shared" si="40"/>
        <v>Repeat Customer</v>
      </c>
      <c r="AI132" t="str">
        <f t="shared" si="41"/>
        <v>Standard (3-5 days)</v>
      </c>
    </row>
    <row r="133" spans="1:35" ht="15" customHeight="1" x14ac:dyDescent="0.3">
      <c r="A133">
        <v>132</v>
      </c>
      <c r="B133" t="s">
        <v>738</v>
      </c>
      <c r="C133" s="12">
        <v>42768</v>
      </c>
      <c r="D133" s="12">
        <v>42771</v>
      </c>
      <c r="E133" t="s">
        <v>371</v>
      </c>
      <c r="F133" t="s">
        <v>739</v>
      </c>
      <c r="G133" t="s">
        <v>740</v>
      </c>
      <c r="H133" t="s">
        <v>224</v>
      </c>
      <c r="I133" t="s">
        <v>210</v>
      </c>
      <c r="J133" t="s">
        <v>680</v>
      </c>
      <c r="K133" t="s">
        <v>681</v>
      </c>
      <c r="L133">
        <v>43229</v>
      </c>
      <c r="M133" t="s">
        <v>331</v>
      </c>
      <c r="N133" t="s">
        <v>743</v>
      </c>
      <c r="O133" t="s">
        <v>229</v>
      </c>
      <c r="P133" t="s">
        <v>273</v>
      </c>
      <c r="Q133" t="s">
        <v>744</v>
      </c>
      <c r="R133" s="13">
        <v>78.304000000000002</v>
      </c>
      <c r="S133">
        <v>2</v>
      </c>
      <c r="T133" s="14">
        <v>0.2</v>
      </c>
      <c r="U133" s="13">
        <v>29.364000000000001</v>
      </c>
      <c r="V133">
        <f t="shared" si="28"/>
        <v>2017</v>
      </c>
      <c r="W133" t="str">
        <f t="shared" si="29"/>
        <v>Feb</v>
      </c>
      <c r="X133" t="str">
        <f t="shared" si="30"/>
        <v>Q1</v>
      </c>
      <c r="Y133" t="str">
        <f t="shared" si="31"/>
        <v>Thu</v>
      </c>
      <c r="Z133" s="16">
        <f t="shared" si="32"/>
        <v>3</v>
      </c>
      <c r="AA133" s="13">
        <f t="shared" si="33"/>
        <v>39.152000000000001</v>
      </c>
      <c r="AB133" s="14">
        <f t="shared" si="34"/>
        <v>0.375</v>
      </c>
      <c r="AC133" t="str">
        <f t="shared" si="35"/>
        <v>Low (1-20%)</v>
      </c>
      <c r="AD133" t="str">
        <f t="shared" si="36"/>
        <v>Medium ($50-$200)</v>
      </c>
      <c r="AE133" t="str">
        <f t="shared" si="37"/>
        <v>Small (1-2 units)</v>
      </c>
      <c r="AF133" t="str">
        <f t="shared" si="38"/>
        <v>Profitable</v>
      </c>
      <c r="AG133" t="str">
        <f t="shared" si="39"/>
        <v>High Margin</v>
      </c>
      <c r="AH133" t="str">
        <f t="shared" si="40"/>
        <v>Repeat Customer</v>
      </c>
      <c r="AI133" t="str">
        <f t="shared" si="41"/>
        <v>Standard (3-5 days)</v>
      </c>
    </row>
    <row r="134" spans="1:35" ht="15" customHeight="1" x14ac:dyDescent="0.3">
      <c r="A134">
        <v>133</v>
      </c>
      <c r="B134" t="s">
        <v>738</v>
      </c>
      <c r="C134" s="12">
        <v>42768</v>
      </c>
      <c r="D134" s="12">
        <v>42771</v>
      </c>
      <c r="E134" t="s">
        <v>371</v>
      </c>
      <c r="F134" t="s">
        <v>739</v>
      </c>
      <c r="G134" t="s">
        <v>740</v>
      </c>
      <c r="H134" t="s">
        <v>224</v>
      </c>
      <c r="I134" t="s">
        <v>210</v>
      </c>
      <c r="J134" t="s">
        <v>680</v>
      </c>
      <c r="K134" t="s">
        <v>681</v>
      </c>
      <c r="L134">
        <v>43229</v>
      </c>
      <c r="M134" t="s">
        <v>331</v>
      </c>
      <c r="N134" t="s">
        <v>745</v>
      </c>
      <c r="O134" t="s">
        <v>229</v>
      </c>
      <c r="P134" t="s">
        <v>452</v>
      </c>
      <c r="Q134" t="s">
        <v>746</v>
      </c>
      <c r="R134" s="13">
        <v>21.456</v>
      </c>
      <c r="S134">
        <v>9</v>
      </c>
      <c r="T134" s="14">
        <v>0.2</v>
      </c>
      <c r="U134" s="13">
        <v>6.9732000000000003</v>
      </c>
      <c r="V134">
        <f t="shared" si="28"/>
        <v>2017</v>
      </c>
      <c r="W134" t="str">
        <f t="shared" si="29"/>
        <v>Feb</v>
      </c>
      <c r="X134" t="str">
        <f t="shared" si="30"/>
        <v>Q1</v>
      </c>
      <c r="Y134" t="str">
        <f t="shared" si="31"/>
        <v>Thu</v>
      </c>
      <c r="Z134" s="16">
        <f t="shared" si="32"/>
        <v>3</v>
      </c>
      <c r="AA134" s="13">
        <f t="shared" si="33"/>
        <v>2.3839999999999999</v>
      </c>
      <c r="AB134" s="14">
        <f t="shared" si="34"/>
        <v>0.32500000000000001</v>
      </c>
      <c r="AC134" t="str">
        <f t="shared" si="35"/>
        <v>Low (1-20%)</v>
      </c>
      <c r="AD134" t="str">
        <f t="shared" si="36"/>
        <v>Low (&lt;$50)</v>
      </c>
      <c r="AE134" t="str">
        <f t="shared" si="37"/>
        <v>Large (6+ units)</v>
      </c>
      <c r="AF134" t="str">
        <f t="shared" si="38"/>
        <v>Profitable</v>
      </c>
      <c r="AG134" t="str">
        <f t="shared" si="39"/>
        <v>High Margin</v>
      </c>
      <c r="AH134" t="str">
        <f t="shared" si="40"/>
        <v>Repeat Customer</v>
      </c>
      <c r="AI134" t="str">
        <f t="shared" si="41"/>
        <v>Standard (3-5 days)</v>
      </c>
    </row>
    <row r="135" spans="1:35" ht="15" customHeight="1" x14ac:dyDescent="0.3">
      <c r="A135">
        <v>134</v>
      </c>
      <c r="B135" t="s">
        <v>747</v>
      </c>
      <c r="C135" s="12">
        <v>42656</v>
      </c>
      <c r="D135" s="12">
        <v>42662</v>
      </c>
      <c r="E135" t="s">
        <v>233</v>
      </c>
      <c r="F135" t="s">
        <v>748</v>
      </c>
      <c r="G135" t="s">
        <v>749</v>
      </c>
      <c r="H135" t="s">
        <v>209</v>
      </c>
      <c r="I135" t="s">
        <v>210</v>
      </c>
      <c r="J135" t="s">
        <v>750</v>
      </c>
      <c r="K135" t="s">
        <v>226</v>
      </c>
      <c r="L135">
        <v>95661</v>
      </c>
      <c r="M135" t="s">
        <v>227</v>
      </c>
      <c r="N135" t="s">
        <v>751</v>
      </c>
      <c r="O135" t="s">
        <v>229</v>
      </c>
      <c r="P135" t="s">
        <v>273</v>
      </c>
      <c r="Q135" t="s">
        <v>752</v>
      </c>
      <c r="R135" s="13">
        <v>20.04</v>
      </c>
      <c r="S135">
        <v>3</v>
      </c>
      <c r="T135" s="14">
        <v>0</v>
      </c>
      <c r="U135" s="13">
        <v>9.6191999999999993</v>
      </c>
      <c r="V135">
        <f t="shared" si="28"/>
        <v>2016</v>
      </c>
      <c r="W135" t="str">
        <f t="shared" si="29"/>
        <v>Oct</v>
      </c>
      <c r="X135" t="str">
        <f t="shared" si="30"/>
        <v>Q4</v>
      </c>
      <c r="Y135" t="str">
        <f t="shared" si="31"/>
        <v>Thu</v>
      </c>
      <c r="Z135" s="16">
        <f t="shared" si="32"/>
        <v>6</v>
      </c>
      <c r="AA135" s="13">
        <f t="shared" si="33"/>
        <v>6.68</v>
      </c>
      <c r="AB135" s="14">
        <f t="shared" si="34"/>
        <v>0.48</v>
      </c>
      <c r="AC135" t="str">
        <f t="shared" si="35"/>
        <v>No Discount</v>
      </c>
      <c r="AD135" t="str">
        <f t="shared" si="36"/>
        <v>Low (&lt;$50)</v>
      </c>
      <c r="AE135" t="str">
        <f t="shared" si="37"/>
        <v>Medium (3-5 units)</v>
      </c>
      <c r="AF135" t="str">
        <f t="shared" si="38"/>
        <v>Profitable</v>
      </c>
      <c r="AG135" t="str">
        <f t="shared" si="39"/>
        <v>High Margin</v>
      </c>
      <c r="AH135" t="str">
        <f t="shared" si="40"/>
        <v>Repeat Customer</v>
      </c>
      <c r="AI135" t="str">
        <f t="shared" si="41"/>
        <v>Slow (6+ days)</v>
      </c>
    </row>
    <row r="136" spans="1:35" ht="15" customHeight="1" x14ac:dyDescent="0.3">
      <c r="A136">
        <v>135</v>
      </c>
      <c r="B136" t="s">
        <v>747</v>
      </c>
      <c r="C136" s="12">
        <v>42656</v>
      </c>
      <c r="D136" s="12">
        <v>42662</v>
      </c>
      <c r="E136" t="s">
        <v>233</v>
      </c>
      <c r="F136" t="s">
        <v>748</v>
      </c>
      <c r="G136" t="s">
        <v>749</v>
      </c>
      <c r="H136" t="s">
        <v>209</v>
      </c>
      <c r="I136" t="s">
        <v>210</v>
      </c>
      <c r="J136" t="s">
        <v>750</v>
      </c>
      <c r="K136" t="s">
        <v>226</v>
      </c>
      <c r="L136">
        <v>95661</v>
      </c>
      <c r="M136" t="s">
        <v>227</v>
      </c>
      <c r="N136" t="s">
        <v>753</v>
      </c>
      <c r="O136" t="s">
        <v>229</v>
      </c>
      <c r="P136" t="s">
        <v>273</v>
      </c>
      <c r="Q136" t="s">
        <v>754</v>
      </c>
      <c r="R136" s="13">
        <v>35.44</v>
      </c>
      <c r="S136">
        <v>1</v>
      </c>
      <c r="T136" s="14">
        <v>0</v>
      </c>
      <c r="U136" s="13">
        <v>16.6568</v>
      </c>
      <c r="V136">
        <f t="shared" si="28"/>
        <v>2016</v>
      </c>
      <c r="W136" t="str">
        <f t="shared" si="29"/>
        <v>Oct</v>
      </c>
      <c r="X136" t="str">
        <f t="shared" si="30"/>
        <v>Q4</v>
      </c>
      <c r="Y136" t="str">
        <f t="shared" si="31"/>
        <v>Thu</v>
      </c>
      <c r="Z136" s="16">
        <f t="shared" si="32"/>
        <v>6</v>
      </c>
      <c r="AA136" s="13">
        <f t="shared" si="33"/>
        <v>35.44</v>
      </c>
      <c r="AB136" s="14">
        <f t="shared" si="34"/>
        <v>0.47000000000000003</v>
      </c>
      <c r="AC136" t="str">
        <f t="shared" si="35"/>
        <v>No Discount</v>
      </c>
      <c r="AD136" t="str">
        <f t="shared" si="36"/>
        <v>Low (&lt;$50)</v>
      </c>
      <c r="AE136" t="str">
        <f t="shared" si="37"/>
        <v>Small (1-2 units)</v>
      </c>
      <c r="AF136" t="str">
        <f t="shared" si="38"/>
        <v>Profitable</v>
      </c>
      <c r="AG136" t="str">
        <f t="shared" si="39"/>
        <v>High Margin</v>
      </c>
      <c r="AH136" t="str">
        <f t="shared" si="40"/>
        <v>Repeat Customer</v>
      </c>
      <c r="AI136" t="str">
        <f t="shared" si="41"/>
        <v>Slow (6+ days)</v>
      </c>
    </row>
    <row r="137" spans="1:35" ht="15" customHeight="1" x14ac:dyDescent="0.3">
      <c r="A137">
        <v>136</v>
      </c>
      <c r="B137" t="s">
        <v>747</v>
      </c>
      <c r="C137" s="12">
        <v>42656</v>
      </c>
      <c r="D137" s="12">
        <v>42662</v>
      </c>
      <c r="E137" t="s">
        <v>233</v>
      </c>
      <c r="F137" t="s">
        <v>748</v>
      </c>
      <c r="G137" t="s">
        <v>749</v>
      </c>
      <c r="H137" t="s">
        <v>209</v>
      </c>
      <c r="I137" t="s">
        <v>210</v>
      </c>
      <c r="J137" t="s">
        <v>750</v>
      </c>
      <c r="K137" t="s">
        <v>226</v>
      </c>
      <c r="L137">
        <v>95661</v>
      </c>
      <c r="M137" t="s">
        <v>227</v>
      </c>
      <c r="N137" t="s">
        <v>755</v>
      </c>
      <c r="O137" t="s">
        <v>229</v>
      </c>
      <c r="P137" t="s">
        <v>251</v>
      </c>
      <c r="Q137" t="s">
        <v>756</v>
      </c>
      <c r="R137" s="13">
        <v>11.52</v>
      </c>
      <c r="S137">
        <v>4</v>
      </c>
      <c r="T137" s="14">
        <v>0</v>
      </c>
      <c r="U137" s="13">
        <v>3.456</v>
      </c>
      <c r="V137">
        <f t="shared" si="28"/>
        <v>2016</v>
      </c>
      <c r="W137" t="str">
        <f t="shared" si="29"/>
        <v>Oct</v>
      </c>
      <c r="X137" t="str">
        <f t="shared" si="30"/>
        <v>Q4</v>
      </c>
      <c r="Y137" t="str">
        <f t="shared" si="31"/>
        <v>Thu</v>
      </c>
      <c r="Z137" s="16">
        <f t="shared" si="32"/>
        <v>6</v>
      </c>
      <c r="AA137" s="13">
        <f t="shared" si="33"/>
        <v>2.88</v>
      </c>
      <c r="AB137" s="14">
        <f t="shared" si="34"/>
        <v>0.3</v>
      </c>
      <c r="AC137" t="str">
        <f t="shared" si="35"/>
        <v>No Discount</v>
      </c>
      <c r="AD137" t="str">
        <f t="shared" si="36"/>
        <v>Low (&lt;$50)</v>
      </c>
      <c r="AE137" t="str">
        <f t="shared" si="37"/>
        <v>Medium (3-5 units)</v>
      </c>
      <c r="AF137" t="str">
        <f t="shared" si="38"/>
        <v>Profitable</v>
      </c>
      <c r="AG137" t="str">
        <f t="shared" si="39"/>
        <v>High Margin</v>
      </c>
      <c r="AH137" t="str">
        <f t="shared" si="40"/>
        <v>Repeat Customer</v>
      </c>
      <c r="AI137" t="str">
        <f t="shared" si="41"/>
        <v>Slow (6+ days)</v>
      </c>
    </row>
    <row r="138" spans="1:35" ht="15" customHeight="1" x14ac:dyDescent="0.3">
      <c r="A138">
        <v>137</v>
      </c>
      <c r="B138" t="s">
        <v>747</v>
      </c>
      <c r="C138" s="12">
        <v>42656</v>
      </c>
      <c r="D138" s="12">
        <v>42662</v>
      </c>
      <c r="E138" t="s">
        <v>233</v>
      </c>
      <c r="F138" t="s">
        <v>748</v>
      </c>
      <c r="G138" t="s">
        <v>749</v>
      </c>
      <c r="H138" t="s">
        <v>209</v>
      </c>
      <c r="I138" t="s">
        <v>210</v>
      </c>
      <c r="J138" t="s">
        <v>750</v>
      </c>
      <c r="K138" t="s">
        <v>226</v>
      </c>
      <c r="L138">
        <v>95661</v>
      </c>
      <c r="M138" t="s">
        <v>227</v>
      </c>
      <c r="N138" t="s">
        <v>757</v>
      </c>
      <c r="O138" t="s">
        <v>229</v>
      </c>
      <c r="P138" t="s">
        <v>452</v>
      </c>
      <c r="Q138" t="s">
        <v>758</v>
      </c>
      <c r="R138" s="13">
        <v>4.0199999999999996</v>
      </c>
      <c r="S138">
        <v>2</v>
      </c>
      <c r="T138" s="14">
        <v>0</v>
      </c>
      <c r="U138" s="13">
        <v>1.9698</v>
      </c>
      <c r="V138">
        <f t="shared" si="28"/>
        <v>2016</v>
      </c>
      <c r="W138" t="str">
        <f t="shared" si="29"/>
        <v>Oct</v>
      </c>
      <c r="X138" t="str">
        <f t="shared" si="30"/>
        <v>Q4</v>
      </c>
      <c r="Y138" t="str">
        <f t="shared" si="31"/>
        <v>Thu</v>
      </c>
      <c r="Z138" s="16">
        <f t="shared" si="32"/>
        <v>6</v>
      </c>
      <c r="AA138" s="13">
        <f t="shared" si="33"/>
        <v>2.0099999999999998</v>
      </c>
      <c r="AB138" s="14">
        <f t="shared" si="34"/>
        <v>0.49000000000000005</v>
      </c>
      <c r="AC138" t="str">
        <f t="shared" si="35"/>
        <v>No Discount</v>
      </c>
      <c r="AD138" t="str">
        <f t="shared" si="36"/>
        <v>Low (&lt;$50)</v>
      </c>
      <c r="AE138" t="str">
        <f t="shared" si="37"/>
        <v>Small (1-2 units)</v>
      </c>
      <c r="AF138" t="str">
        <f t="shared" si="38"/>
        <v>Profitable</v>
      </c>
      <c r="AG138" t="str">
        <f t="shared" si="39"/>
        <v>High Margin</v>
      </c>
      <c r="AH138" t="str">
        <f t="shared" si="40"/>
        <v>Repeat Customer</v>
      </c>
      <c r="AI138" t="str">
        <f t="shared" si="41"/>
        <v>Slow (6+ days)</v>
      </c>
    </row>
    <row r="139" spans="1:35" ht="15" customHeight="1" x14ac:dyDescent="0.3">
      <c r="A139">
        <v>138</v>
      </c>
      <c r="B139" t="s">
        <v>747</v>
      </c>
      <c r="C139" s="12">
        <v>42656</v>
      </c>
      <c r="D139" s="12">
        <v>42662</v>
      </c>
      <c r="E139" t="s">
        <v>233</v>
      </c>
      <c r="F139" t="s">
        <v>748</v>
      </c>
      <c r="G139" t="s">
        <v>749</v>
      </c>
      <c r="H139" t="s">
        <v>209</v>
      </c>
      <c r="I139" t="s">
        <v>210</v>
      </c>
      <c r="J139" t="s">
        <v>750</v>
      </c>
      <c r="K139" t="s">
        <v>226</v>
      </c>
      <c r="L139">
        <v>95661</v>
      </c>
      <c r="M139" t="s">
        <v>227</v>
      </c>
      <c r="N139" t="s">
        <v>759</v>
      </c>
      <c r="O139" t="s">
        <v>229</v>
      </c>
      <c r="P139" t="s">
        <v>258</v>
      </c>
      <c r="Q139" t="s">
        <v>760</v>
      </c>
      <c r="R139" s="13">
        <v>76.176000000000002</v>
      </c>
      <c r="S139">
        <v>3</v>
      </c>
      <c r="T139" s="14">
        <v>0.2</v>
      </c>
      <c r="U139" s="13">
        <v>26.6616</v>
      </c>
      <c r="V139">
        <f t="shared" si="28"/>
        <v>2016</v>
      </c>
      <c r="W139" t="str">
        <f t="shared" si="29"/>
        <v>Oct</v>
      </c>
      <c r="X139" t="str">
        <f t="shared" si="30"/>
        <v>Q4</v>
      </c>
      <c r="Y139" t="str">
        <f t="shared" si="31"/>
        <v>Thu</v>
      </c>
      <c r="Z139" s="16">
        <f t="shared" si="32"/>
        <v>6</v>
      </c>
      <c r="AA139" s="13">
        <f t="shared" si="33"/>
        <v>25.391999999999999</v>
      </c>
      <c r="AB139" s="14">
        <f t="shared" si="34"/>
        <v>0.35</v>
      </c>
      <c r="AC139" t="str">
        <f t="shared" si="35"/>
        <v>Low (1-20%)</v>
      </c>
      <c r="AD139" t="str">
        <f t="shared" si="36"/>
        <v>Medium ($50-$200)</v>
      </c>
      <c r="AE139" t="str">
        <f t="shared" si="37"/>
        <v>Medium (3-5 units)</v>
      </c>
      <c r="AF139" t="str">
        <f t="shared" si="38"/>
        <v>Profitable</v>
      </c>
      <c r="AG139" t="str">
        <f t="shared" si="39"/>
        <v>High Margin</v>
      </c>
      <c r="AH139" t="str">
        <f t="shared" si="40"/>
        <v>Repeat Customer</v>
      </c>
      <c r="AI139" t="str">
        <f t="shared" si="41"/>
        <v>Slow (6+ days)</v>
      </c>
    </row>
    <row r="140" spans="1:35" ht="15" customHeight="1" x14ac:dyDescent="0.3">
      <c r="A140">
        <v>139</v>
      </c>
      <c r="B140" t="s">
        <v>747</v>
      </c>
      <c r="C140" s="12">
        <v>42656</v>
      </c>
      <c r="D140" s="12">
        <v>42662</v>
      </c>
      <c r="E140" t="s">
        <v>233</v>
      </c>
      <c r="F140" t="s">
        <v>748</v>
      </c>
      <c r="G140" t="s">
        <v>749</v>
      </c>
      <c r="H140" t="s">
        <v>209</v>
      </c>
      <c r="I140" t="s">
        <v>210</v>
      </c>
      <c r="J140" t="s">
        <v>750</v>
      </c>
      <c r="K140" t="s">
        <v>226</v>
      </c>
      <c r="L140">
        <v>95661</v>
      </c>
      <c r="M140" t="s">
        <v>227</v>
      </c>
      <c r="N140" t="s">
        <v>761</v>
      </c>
      <c r="O140" t="s">
        <v>229</v>
      </c>
      <c r="P140" t="s">
        <v>762</v>
      </c>
      <c r="Q140" t="s">
        <v>763</v>
      </c>
      <c r="R140" s="13">
        <v>65.88</v>
      </c>
      <c r="S140">
        <v>6</v>
      </c>
      <c r="T140" s="14">
        <v>0</v>
      </c>
      <c r="U140" s="13">
        <v>18.446400000000001</v>
      </c>
      <c r="V140">
        <f t="shared" si="28"/>
        <v>2016</v>
      </c>
      <c r="W140" t="str">
        <f t="shared" si="29"/>
        <v>Oct</v>
      </c>
      <c r="X140" t="str">
        <f t="shared" si="30"/>
        <v>Q4</v>
      </c>
      <c r="Y140" t="str">
        <f t="shared" si="31"/>
        <v>Thu</v>
      </c>
      <c r="Z140" s="16">
        <f t="shared" si="32"/>
        <v>6</v>
      </c>
      <c r="AA140" s="13">
        <f t="shared" si="33"/>
        <v>10.979999999999999</v>
      </c>
      <c r="AB140" s="14">
        <f t="shared" si="34"/>
        <v>0.28000000000000003</v>
      </c>
      <c r="AC140" t="str">
        <f t="shared" si="35"/>
        <v>No Discount</v>
      </c>
      <c r="AD140" t="str">
        <f t="shared" si="36"/>
        <v>Medium ($50-$200)</v>
      </c>
      <c r="AE140" t="str">
        <f t="shared" si="37"/>
        <v>Large (6+ units)</v>
      </c>
      <c r="AF140" t="str">
        <f t="shared" si="38"/>
        <v>Profitable</v>
      </c>
      <c r="AG140" t="str">
        <f t="shared" si="39"/>
        <v>High Margin</v>
      </c>
      <c r="AH140" t="str">
        <f t="shared" si="40"/>
        <v>Repeat Customer</v>
      </c>
      <c r="AI140" t="str">
        <f t="shared" si="41"/>
        <v>Slow (6+ days)</v>
      </c>
    </row>
    <row r="141" spans="1:35" ht="15" customHeight="1" x14ac:dyDescent="0.3">
      <c r="A141">
        <v>140</v>
      </c>
      <c r="B141" t="s">
        <v>747</v>
      </c>
      <c r="C141" s="12">
        <v>42656</v>
      </c>
      <c r="D141" s="12">
        <v>42662</v>
      </c>
      <c r="E141" t="s">
        <v>233</v>
      </c>
      <c r="F141" t="s">
        <v>748</v>
      </c>
      <c r="G141" t="s">
        <v>749</v>
      </c>
      <c r="H141" t="s">
        <v>209</v>
      </c>
      <c r="I141" t="s">
        <v>210</v>
      </c>
      <c r="J141" t="s">
        <v>750</v>
      </c>
      <c r="K141" t="s">
        <v>226</v>
      </c>
      <c r="L141">
        <v>95661</v>
      </c>
      <c r="M141" t="s">
        <v>227</v>
      </c>
      <c r="N141" t="s">
        <v>442</v>
      </c>
      <c r="O141" t="s">
        <v>215</v>
      </c>
      <c r="P141" t="s">
        <v>248</v>
      </c>
      <c r="Q141" t="s">
        <v>443</v>
      </c>
      <c r="R141" s="13">
        <v>43.12</v>
      </c>
      <c r="S141">
        <v>14</v>
      </c>
      <c r="T141" s="14">
        <v>0</v>
      </c>
      <c r="U141" s="13">
        <v>20.697600000000001</v>
      </c>
      <c r="V141">
        <f t="shared" si="28"/>
        <v>2016</v>
      </c>
      <c r="W141" t="str">
        <f t="shared" si="29"/>
        <v>Oct</v>
      </c>
      <c r="X141" t="str">
        <f t="shared" si="30"/>
        <v>Q4</v>
      </c>
      <c r="Y141" t="str">
        <f t="shared" si="31"/>
        <v>Thu</v>
      </c>
      <c r="Z141" s="16">
        <f t="shared" si="32"/>
        <v>6</v>
      </c>
      <c r="AA141" s="13">
        <f t="shared" si="33"/>
        <v>3.0799999999999996</v>
      </c>
      <c r="AB141" s="14">
        <f t="shared" si="34"/>
        <v>0.48000000000000004</v>
      </c>
      <c r="AC141" t="str">
        <f t="shared" si="35"/>
        <v>No Discount</v>
      </c>
      <c r="AD141" t="str">
        <f t="shared" si="36"/>
        <v>Low (&lt;$50)</v>
      </c>
      <c r="AE141" t="str">
        <f t="shared" si="37"/>
        <v>Large (6+ units)</v>
      </c>
      <c r="AF141" t="str">
        <f t="shared" si="38"/>
        <v>Profitable</v>
      </c>
      <c r="AG141" t="str">
        <f t="shared" si="39"/>
        <v>High Margin</v>
      </c>
      <c r="AH141" t="str">
        <f t="shared" si="40"/>
        <v>Repeat Customer</v>
      </c>
      <c r="AI141" t="str">
        <f t="shared" si="41"/>
        <v>Slow (6+ days)</v>
      </c>
    </row>
    <row r="142" spans="1:35" ht="15" customHeight="1" x14ac:dyDescent="0.3">
      <c r="A142">
        <v>141</v>
      </c>
      <c r="B142" t="s">
        <v>764</v>
      </c>
      <c r="C142" s="12">
        <v>42618</v>
      </c>
      <c r="D142" s="12">
        <v>42620</v>
      </c>
      <c r="E142" t="s">
        <v>206</v>
      </c>
      <c r="F142" t="s">
        <v>765</v>
      </c>
      <c r="G142" t="s">
        <v>766</v>
      </c>
      <c r="H142" t="s">
        <v>224</v>
      </c>
      <c r="I142" t="s">
        <v>210</v>
      </c>
      <c r="J142" t="s">
        <v>329</v>
      </c>
      <c r="K142" t="s">
        <v>330</v>
      </c>
      <c r="L142">
        <v>19140</v>
      </c>
      <c r="M142" t="s">
        <v>331</v>
      </c>
      <c r="N142" t="s">
        <v>353</v>
      </c>
      <c r="O142" t="s">
        <v>215</v>
      </c>
      <c r="P142" t="s">
        <v>248</v>
      </c>
      <c r="Q142" t="s">
        <v>354</v>
      </c>
      <c r="R142" s="13">
        <v>82.8</v>
      </c>
      <c r="S142">
        <v>2</v>
      </c>
      <c r="T142" s="14">
        <v>0.2</v>
      </c>
      <c r="U142" s="13">
        <v>10.35</v>
      </c>
      <c r="V142">
        <f t="shared" si="28"/>
        <v>2016</v>
      </c>
      <c r="W142" t="str">
        <f t="shared" si="29"/>
        <v>Sep</v>
      </c>
      <c r="X142" t="str">
        <f t="shared" si="30"/>
        <v>Q3</v>
      </c>
      <c r="Y142" t="str">
        <f t="shared" si="31"/>
        <v>Mon</v>
      </c>
      <c r="Z142" s="16">
        <f t="shared" si="32"/>
        <v>2</v>
      </c>
      <c r="AA142" s="13">
        <f t="shared" si="33"/>
        <v>41.4</v>
      </c>
      <c r="AB142" s="14">
        <f t="shared" si="34"/>
        <v>0.125</v>
      </c>
      <c r="AC142" t="str">
        <f t="shared" si="35"/>
        <v>Low (1-20%)</v>
      </c>
      <c r="AD142" t="str">
        <f t="shared" si="36"/>
        <v>Medium ($50-$200)</v>
      </c>
      <c r="AE142" t="str">
        <f t="shared" si="37"/>
        <v>Small (1-2 units)</v>
      </c>
      <c r="AF142" t="str">
        <f t="shared" si="38"/>
        <v>Profitable</v>
      </c>
      <c r="AG142" t="str">
        <f t="shared" si="39"/>
        <v>Healthy Margin</v>
      </c>
      <c r="AH142" t="str">
        <f t="shared" si="40"/>
        <v>Repeat Customer</v>
      </c>
      <c r="AI142" t="str">
        <f t="shared" si="41"/>
        <v>Fast (&lt;=2 days)</v>
      </c>
    </row>
    <row r="143" spans="1:35" ht="15" customHeight="1" x14ac:dyDescent="0.3">
      <c r="A143">
        <v>142</v>
      </c>
      <c r="B143" t="s">
        <v>767</v>
      </c>
      <c r="C143" s="12">
        <v>42996</v>
      </c>
      <c r="D143" s="12">
        <v>43001</v>
      </c>
      <c r="E143" t="s">
        <v>233</v>
      </c>
      <c r="F143" t="s">
        <v>768</v>
      </c>
      <c r="G143" t="s">
        <v>769</v>
      </c>
      <c r="H143" t="s">
        <v>224</v>
      </c>
      <c r="I143" t="s">
        <v>210</v>
      </c>
      <c r="J143" t="s">
        <v>310</v>
      </c>
      <c r="K143" t="s">
        <v>226</v>
      </c>
      <c r="L143">
        <v>94122</v>
      </c>
      <c r="M143" t="s">
        <v>227</v>
      </c>
      <c r="N143" t="s">
        <v>770</v>
      </c>
      <c r="O143" t="s">
        <v>229</v>
      </c>
      <c r="P143" t="s">
        <v>251</v>
      </c>
      <c r="Q143" t="s">
        <v>771</v>
      </c>
      <c r="R143" s="13">
        <v>8.82</v>
      </c>
      <c r="S143">
        <v>3</v>
      </c>
      <c r="T143" s="14">
        <v>0</v>
      </c>
      <c r="U143" s="13">
        <v>2.3814000000000002</v>
      </c>
      <c r="V143">
        <f t="shared" si="28"/>
        <v>2017</v>
      </c>
      <c r="W143" t="str">
        <f t="shared" si="29"/>
        <v>Sep</v>
      </c>
      <c r="X143" t="str">
        <f t="shared" si="30"/>
        <v>Q3</v>
      </c>
      <c r="Y143" t="str">
        <f t="shared" si="31"/>
        <v>Mon</v>
      </c>
      <c r="Z143" s="16">
        <f t="shared" si="32"/>
        <v>5</v>
      </c>
      <c r="AA143" s="13">
        <f t="shared" si="33"/>
        <v>2.94</v>
      </c>
      <c r="AB143" s="14">
        <f t="shared" si="34"/>
        <v>0.27</v>
      </c>
      <c r="AC143" t="str">
        <f t="shared" si="35"/>
        <v>No Discount</v>
      </c>
      <c r="AD143" t="str">
        <f t="shared" si="36"/>
        <v>Low (&lt;$50)</v>
      </c>
      <c r="AE143" t="str">
        <f t="shared" si="37"/>
        <v>Medium (3-5 units)</v>
      </c>
      <c r="AF143" t="str">
        <f t="shared" si="38"/>
        <v>Profitable</v>
      </c>
      <c r="AG143" t="str">
        <f t="shared" si="39"/>
        <v>High Margin</v>
      </c>
      <c r="AH143" t="str">
        <f t="shared" si="40"/>
        <v>Repeat Customer</v>
      </c>
      <c r="AI143" t="str">
        <f t="shared" si="41"/>
        <v>Standard (3-5 days)</v>
      </c>
    </row>
    <row r="144" spans="1:35" ht="15" customHeight="1" x14ac:dyDescent="0.3">
      <c r="A144">
        <v>143</v>
      </c>
      <c r="B144" t="s">
        <v>767</v>
      </c>
      <c r="C144" s="12">
        <v>42996</v>
      </c>
      <c r="D144" s="12">
        <v>43001</v>
      </c>
      <c r="E144" t="s">
        <v>233</v>
      </c>
      <c r="F144" t="s">
        <v>768</v>
      </c>
      <c r="G144" t="s">
        <v>769</v>
      </c>
      <c r="H144" t="s">
        <v>224</v>
      </c>
      <c r="I144" t="s">
        <v>210</v>
      </c>
      <c r="J144" t="s">
        <v>310</v>
      </c>
      <c r="K144" t="s">
        <v>226</v>
      </c>
      <c r="L144">
        <v>94122</v>
      </c>
      <c r="M144" t="s">
        <v>227</v>
      </c>
      <c r="N144" t="s">
        <v>772</v>
      </c>
      <c r="O144" t="s">
        <v>229</v>
      </c>
      <c r="P144" t="s">
        <v>356</v>
      </c>
      <c r="Q144" t="s">
        <v>773</v>
      </c>
      <c r="R144" s="13">
        <v>10.86</v>
      </c>
      <c r="S144">
        <v>3</v>
      </c>
      <c r="T144" s="14">
        <v>0</v>
      </c>
      <c r="U144" s="13">
        <v>5.1041999999999996</v>
      </c>
      <c r="V144">
        <f t="shared" si="28"/>
        <v>2017</v>
      </c>
      <c r="W144" t="str">
        <f t="shared" si="29"/>
        <v>Sep</v>
      </c>
      <c r="X144" t="str">
        <f t="shared" si="30"/>
        <v>Q3</v>
      </c>
      <c r="Y144" t="str">
        <f t="shared" si="31"/>
        <v>Mon</v>
      </c>
      <c r="Z144" s="16">
        <f t="shared" si="32"/>
        <v>5</v>
      </c>
      <c r="AA144" s="13">
        <f t="shared" si="33"/>
        <v>3.6199999999999997</v>
      </c>
      <c r="AB144" s="14">
        <f t="shared" si="34"/>
        <v>0.47</v>
      </c>
      <c r="AC144" t="str">
        <f t="shared" si="35"/>
        <v>No Discount</v>
      </c>
      <c r="AD144" t="str">
        <f t="shared" si="36"/>
        <v>Low (&lt;$50)</v>
      </c>
      <c r="AE144" t="str">
        <f t="shared" si="37"/>
        <v>Medium (3-5 units)</v>
      </c>
      <c r="AF144" t="str">
        <f t="shared" si="38"/>
        <v>Profitable</v>
      </c>
      <c r="AG144" t="str">
        <f t="shared" si="39"/>
        <v>High Margin</v>
      </c>
      <c r="AH144" t="str">
        <f t="shared" si="40"/>
        <v>Repeat Customer</v>
      </c>
      <c r="AI144" t="str">
        <f t="shared" si="41"/>
        <v>Standard (3-5 days)</v>
      </c>
    </row>
    <row r="145" spans="1:35" ht="15" customHeight="1" x14ac:dyDescent="0.3">
      <c r="A145">
        <v>144</v>
      </c>
      <c r="B145" t="s">
        <v>767</v>
      </c>
      <c r="C145" s="12">
        <v>42996</v>
      </c>
      <c r="D145" s="12">
        <v>43001</v>
      </c>
      <c r="E145" t="s">
        <v>233</v>
      </c>
      <c r="F145" t="s">
        <v>768</v>
      </c>
      <c r="G145" t="s">
        <v>769</v>
      </c>
      <c r="H145" t="s">
        <v>224</v>
      </c>
      <c r="I145" t="s">
        <v>210</v>
      </c>
      <c r="J145" t="s">
        <v>310</v>
      </c>
      <c r="K145" t="s">
        <v>226</v>
      </c>
      <c r="L145">
        <v>94122</v>
      </c>
      <c r="M145" t="s">
        <v>227</v>
      </c>
      <c r="N145" t="s">
        <v>774</v>
      </c>
      <c r="O145" t="s">
        <v>229</v>
      </c>
      <c r="P145" t="s">
        <v>273</v>
      </c>
      <c r="Q145" t="s">
        <v>775</v>
      </c>
      <c r="R145" s="13">
        <v>143.69999999999999</v>
      </c>
      <c r="S145">
        <v>3</v>
      </c>
      <c r="T145" s="14">
        <v>0</v>
      </c>
      <c r="U145" s="13">
        <v>68.975999999999999</v>
      </c>
      <c r="V145">
        <f t="shared" si="28"/>
        <v>2017</v>
      </c>
      <c r="W145" t="str">
        <f t="shared" si="29"/>
        <v>Sep</v>
      </c>
      <c r="X145" t="str">
        <f t="shared" si="30"/>
        <v>Q3</v>
      </c>
      <c r="Y145" t="str">
        <f t="shared" si="31"/>
        <v>Mon</v>
      </c>
      <c r="Z145" s="16">
        <f t="shared" si="32"/>
        <v>5</v>
      </c>
      <c r="AA145" s="13">
        <f t="shared" si="33"/>
        <v>47.9</v>
      </c>
      <c r="AB145" s="14">
        <f t="shared" si="34"/>
        <v>0.48000000000000004</v>
      </c>
      <c r="AC145" t="str">
        <f t="shared" si="35"/>
        <v>No Discount</v>
      </c>
      <c r="AD145" t="str">
        <f t="shared" si="36"/>
        <v>Medium ($50-$200)</v>
      </c>
      <c r="AE145" t="str">
        <f t="shared" si="37"/>
        <v>Medium (3-5 units)</v>
      </c>
      <c r="AF145" t="str">
        <f t="shared" si="38"/>
        <v>Profitable</v>
      </c>
      <c r="AG145" t="str">
        <f t="shared" si="39"/>
        <v>High Margin</v>
      </c>
      <c r="AH145" t="str">
        <f t="shared" si="40"/>
        <v>Repeat Customer</v>
      </c>
      <c r="AI145" t="str">
        <f t="shared" si="41"/>
        <v>Standard (3-5 days)</v>
      </c>
    </row>
    <row r="146" spans="1:35" ht="15" customHeight="1" x14ac:dyDescent="0.3">
      <c r="A146">
        <v>145</v>
      </c>
      <c r="B146" t="s">
        <v>776</v>
      </c>
      <c r="C146" s="12">
        <v>43091</v>
      </c>
      <c r="D146" s="12">
        <v>43096</v>
      </c>
      <c r="E146" t="s">
        <v>233</v>
      </c>
      <c r="F146" t="s">
        <v>777</v>
      </c>
      <c r="G146" t="s">
        <v>778</v>
      </c>
      <c r="H146" t="s">
        <v>209</v>
      </c>
      <c r="I146" t="s">
        <v>210</v>
      </c>
      <c r="J146" t="s">
        <v>779</v>
      </c>
      <c r="K146" t="s">
        <v>780</v>
      </c>
      <c r="L146">
        <v>64055</v>
      </c>
      <c r="M146" t="s">
        <v>288</v>
      </c>
      <c r="N146" t="s">
        <v>781</v>
      </c>
      <c r="O146" t="s">
        <v>229</v>
      </c>
      <c r="P146" t="s">
        <v>261</v>
      </c>
      <c r="Q146" t="s">
        <v>782</v>
      </c>
      <c r="R146" s="13">
        <v>839.43</v>
      </c>
      <c r="S146">
        <v>3</v>
      </c>
      <c r="T146" s="14">
        <v>0</v>
      </c>
      <c r="U146" s="13">
        <v>218.2518</v>
      </c>
      <c r="V146">
        <f t="shared" si="28"/>
        <v>2017</v>
      </c>
      <c r="W146" t="str">
        <f t="shared" si="29"/>
        <v>Dec</v>
      </c>
      <c r="X146" t="str">
        <f t="shared" si="30"/>
        <v>Q4</v>
      </c>
      <c r="Y146" t="str">
        <f t="shared" si="31"/>
        <v>Fri</v>
      </c>
      <c r="Z146" s="16">
        <f t="shared" si="32"/>
        <v>5</v>
      </c>
      <c r="AA146" s="13">
        <f t="shared" si="33"/>
        <v>279.81</v>
      </c>
      <c r="AB146" s="14">
        <f t="shared" si="34"/>
        <v>0.26</v>
      </c>
      <c r="AC146" t="str">
        <f t="shared" si="35"/>
        <v>No Discount</v>
      </c>
      <c r="AD146" t="str">
        <f t="shared" si="36"/>
        <v>Premium ($500+)</v>
      </c>
      <c r="AE146" t="str">
        <f t="shared" si="37"/>
        <v>Medium (3-5 units)</v>
      </c>
      <c r="AF146" t="str">
        <f t="shared" si="38"/>
        <v>Profitable</v>
      </c>
      <c r="AG146" t="str">
        <f t="shared" si="39"/>
        <v>High Margin</v>
      </c>
      <c r="AH146" t="str">
        <f t="shared" si="40"/>
        <v>Single Purchase</v>
      </c>
      <c r="AI146" t="str">
        <f t="shared" si="41"/>
        <v>Standard (3-5 days)</v>
      </c>
    </row>
    <row r="147" spans="1:35" ht="15" customHeight="1" x14ac:dyDescent="0.3">
      <c r="A147">
        <v>146</v>
      </c>
      <c r="B147" t="s">
        <v>783</v>
      </c>
      <c r="C147" s="12">
        <v>42254</v>
      </c>
      <c r="D147" s="12">
        <v>42259</v>
      </c>
      <c r="E147" t="s">
        <v>233</v>
      </c>
      <c r="F147" t="s">
        <v>784</v>
      </c>
      <c r="G147" t="s">
        <v>785</v>
      </c>
      <c r="H147" t="s">
        <v>209</v>
      </c>
      <c r="I147" t="s">
        <v>210</v>
      </c>
      <c r="J147" t="s">
        <v>786</v>
      </c>
      <c r="K147" t="s">
        <v>226</v>
      </c>
      <c r="L147">
        <v>91104</v>
      </c>
      <c r="M147" t="s">
        <v>227</v>
      </c>
      <c r="N147" t="s">
        <v>562</v>
      </c>
      <c r="O147" t="s">
        <v>229</v>
      </c>
      <c r="P147" t="s">
        <v>242</v>
      </c>
      <c r="Q147" t="s">
        <v>563</v>
      </c>
      <c r="R147" s="13">
        <v>671.93</v>
      </c>
      <c r="S147">
        <v>7</v>
      </c>
      <c r="T147" s="14">
        <v>0</v>
      </c>
      <c r="U147" s="13">
        <v>20.157900000000001</v>
      </c>
      <c r="V147">
        <f t="shared" si="28"/>
        <v>2015</v>
      </c>
      <c r="W147" t="str">
        <f t="shared" si="29"/>
        <v>Sep</v>
      </c>
      <c r="X147" t="str">
        <f t="shared" si="30"/>
        <v>Q3</v>
      </c>
      <c r="Y147" t="str">
        <f t="shared" si="31"/>
        <v>Mon</v>
      </c>
      <c r="Z147" s="16">
        <f t="shared" si="32"/>
        <v>5</v>
      </c>
      <c r="AA147" s="13">
        <f t="shared" si="33"/>
        <v>95.99</v>
      </c>
      <c r="AB147" s="14">
        <f t="shared" si="34"/>
        <v>3.0000000000000006E-2</v>
      </c>
      <c r="AC147" t="str">
        <f t="shared" si="35"/>
        <v>No Discount</v>
      </c>
      <c r="AD147" t="str">
        <f t="shared" si="36"/>
        <v>Premium ($500+)</v>
      </c>
      <c r="AE147" t="str">
        <f t="shared" si="37"/>
        <v>Large (6+ units)</v>
      </c>
      <c r="AF147" t="str">
        <f t="shared" si="38"/>
        <v>Profitable</v>
      </c>
      <c r="AG147" t="str">
        <f t="shared" si="39"/>
        <v>Low Margin</v>
      </c>
      <c r="AH147" t="str">
        <f t="shared" si="40"/>
        <v>Repeat Customer</v>
      </c>
      <c r="AI147" t="str">
        <f t="shared" si="41"/>
        <v>Standard (3-5 days)</v>
      </c>
    </row>
    <row r="148" spans="1:35" ht="15" customHeight="1" x14ac:dyDescent="0.3">
      <c r="A148">
        <v>147</v>
      </c>
      <c r="B148" t="s">
        <v>787</v>
      </c>
      <c r="C148" s="12">
        <v>41934</v>
      </c>
      <c r="D148" s="12">
        <v>41940</v>
      </c>
      <c r="E148" t="s">
        <v>233</v>
      </c>
      <c r="F148" t="s">
        <v>788</v>
      </c>
      <c r="G148" t="s">
        <v>789</v>
      </c>
      <c r="H148" t="s">
        <v>285</v>
      </c>
      <c r="I148" t="s">
        <v>210</v>
      </c>
      <c r="J148" t="s">
        <v>790</v>
      </c>
      <c r="K148" t="s">
        <v>681</v>
      </c>
      <c r="L148">
        <v>43055</v>
      </c>
      <c r="M148" t="s">
        <v>331</v>
      </c>
      <c r="N148" t="s">
        <v>791</v>
      </c>
      <c r="O148" t="s">
        <v>215</v>
      </c>
      <c r="P148" t="s">
        <v>248</v>
      </c>
      <c r="Q148" t="s">
        <v>792</v>
      </c>
      <c r="R148" s="13">
        <v>93.888000000000005</v>
      </c>
      <c r="S148">
        <v>4</v>
      </c>
      <c r="T148" s="14">
        <v>0.2</v>
      </c>
      <c r="U148" s="13">
        <v>12.909599999999999</v>
      </c>
      <c r="V148">
        <f t="shared" si="28"/>
        <v>2014</v>
      </c>
      <c r="W148" t="str">
        <f t="shared" si="29"/>
        <v>Oct</v>
      </c>
      <c r="X148" t="str">
        <f t="shared" si="30"/>
        <v>Q4</v>
      </c>
      <c r="Y148" t="str">
        <f t="shared" si="31"/>
        <v>Wed</v>
      </c>
      <c r="Z148" s="16">
        <f t="shared" si="32"/>
        <v>6</v>
      </c>
      <c r="AA148" s="13">
        <f t="shared" si="33"/>
        <v>23.472000000000001</v>
      </c>
      <c r="AB148" s="14">
        <f t="shared" si="34"/>
        <v>0.13749999999999998</v>
      </c>
      <c r="AC148" t="str">
        <f t="shared" si="35"/>
        <v>Low (1-20%)</v>
      </c>
      <c r="AD148" t="str">
        <f t="shared" si="36"/>
        <v>Medium ($50-$200)</v>
      </c>
      <c r="AE148" t="str">
        <f t="shared" si="37"/>
        <v>Medium (3-5 units)</v>
      </c>
      <c r="AF148" t="str">
        <f t="shared" si="38"/>
        <v>Profitable</v>
      </c>
      <c r="AG148" t="str">
        <f t="shared" si="39"/>
        <v>Healthy Margin</v>
      </c>
      <c r="AH148" t="str">
        <f t="shared" si="40"/>
        <v>Single Purchase</v>
      </c>
      <c r="AI148" t="str">
        <f t="shared" si="41"/>
        <v>Slow (6+ days)</v>
      </c>
    </row>
    <row r="149" spans="1:35" ht="15" customHeight="1" x14ac:dyDescent="0.3">
      <c r="A149">
        <v>148</v>
      </c>
      <c r="B149" t="s">
        <v>793</v>
      </c>
      <c r="C149" s="12">
        <v>42709</v>
      </c>
      <c r="D149" s="12">
        <v>42713</v>
      </c>
      <c r="E149" t="s">
        <v>233</v>
      </c>
      <c r="F149" t="s">
        <v>794</v>
      </c>
      <c r="G149" t="s">
        <v>795</v>
      </c>
      <c r="H149" t="s">
        <v>224</v>
      </c>
      <c r="I149" t="s">
        <v>210</v>
      </c>
      <c r="J149" t="s">
        <v>796</v>
      </c>
      <c r="K149" t="s">
        <v>297</v>
      </c>
      <c r="L149">
        <v>53132</v>
      </c>
      <c r="M149" t="s">
        <v>288</v>
      </c>
      <c r="N149" t="s">
        <v>797</v>
      </c>
      <c r="O149" t="s">
        <v>254</v>
      </c>
      <c r="P149" t="s">
        <v>255</v>
      </c>
      <c r="Q149" t="s">
        <v>798</v>
      </c>
      <c r="R149" s="13">
        <v>384.45</v>
      </c>
      <c r="S149">
        <v>11</v>
      </c>
      <c r="T149" s="14">
        <v>0</v>
      </c>
      <c r="U149" s="13">
        <v>103.8015</v>
      </c>
      <c r="V149">
        <f t="shared" si="28"/>
        <v>2016</v>
      </c>
      <c r="W149" t="str">
        <f t="shared" si="29"/>
        <v>Dec</v>
      </c>
      <c r="X149" t="str">
        <f t="shared" si="30"/>
        <v>Q4</v>
      </c>
      <c r="Y149" t="str">
        <f t="shared" si="31"/>
        <v>Mon</v>
      </c>
      <c r="Z149" s="16">
        <f t="shared" si="32"/>
        <v>4</v>
      </c>
      <c r="AA149" s="13">
        <f t="shared" si="33"/>
        <v>34.949999999999996</v>
      </c>
      <c r="AB149" s="14">
        <f t="shared" si="34"/>
        <v>0.27</v>
      </c>
      <c r="AC149" t="str">
        <f t="shared" si="35"/>
        <v>No Discount</v>
      </c>
      <c r="AD149" t="str">
        <f t="shared" si="36"/>
        <v>High ($200-$500)</v>
      </c>
      <c r="AE149" t="str">
        <f t="shared" si="37"/>
        <v>Large (6+ units)</v>
      </c>
      <c r="AF149" t="str">
        <f t="shared" si="38"/>
        <v>Profitable</v>
      </c>
      <c r="AG149" t="str">
        <f t="shared" si="39"/>
        <v>High Margin</v>
      </c>
      <c r="AH149" t="str">
        <f t="shared" si="40"/>
        <v>Repeat Customer</v>
      </c>
      <c r="AI149" t="str">
        <f t="shared" si="41"/>
        <v>Standard (3-5 days)</v>
      </c>
    </row>
    <row r="150" spans="1:35" ht="15" customHeight="1" x14ac:dyDescent="0.3">
      <c r="A150">
        <v>149</v>
      </c>
      <c r="B150" t="s">
        <v>793</v>
      </c>
      <c r="C150" s="12">
        <v>42709</v>
      </c>
      <c r="D150" s="12">
        <v>42713</v>
      </c>
      <c r="E150" t="s">
        <v>233</v>
      </c>
      <c r="F150" t="s">
        <v>794</v>
      </c>
      <c r="G150" t="s">
        <v>795</v>
      </c>
      <c r="H150" t="s">
        <v>224</v>
      </c>
      <c r="I150" t="s">
        <v>210</v>
      </c>
      <c r="J150" t="s">
        <v>796</v>
      </c>
      <c r="K150" t="s">
        <v>297</v>
      </c>
      <c r="L150">
        <v>53132</v>
      </c>
      <c r="M150" t="s">
        <v>288</v>
      </c>
      <c r="N150" t="s">
        <v>799</v>
      </c>
      <c r="O150" t="s">
        <v>254</v>
      </c>
      <c r="P150" t="s">
        <v>255</v>
      </c>
      <c r="Q150" t="s">
        <v>800</v>
      </c>
      <c r="R150" s="13">
        <v>149.97</v>
      </c>
      <c r="S150">
        <v>3</v>
      </c>
      <c r="T150" s="14">
        <v>0</v>
      </c>
      <c r="U150" s="13">
        <v>5.9987999999999797</v>
      </c>
      <c r="V150">
        <f t="shared" si="28"/>
        <v>2016</v>
      </c>
      <c r="W150" t="str">
        <f t="shared" si="29"/>
        <v>Dec</v>
      </c>
      <c r="X150" t="str">
        <f t="shared" si="30"/>
        <v>Q4</v>
      </c>
      <c r="Y150" t="str">
        <f t="shared" si="31"/>
        <v>Mon</v>
      </c>
      <c r="Z150" s="16">
        <f t="shared" si="32"/>
        <v>4</v>
      </c>
      <c r="AA150" s="13">
        <f t="shared" si="33"/>
        <v>49.99</v>
      </c>
      <c r="AB150" s="14">
        <f t="shared" si="34"/>
        <v>3.9999999999999862E-2</v>
      </c>
      <c r="AC150" t="str">
        <f t="shared" si="35"/>
        <v>No Discount</v>
      </c>
      <c r="AD150" t="str">
        <f t="shared" si="36"/>
        <v>Medium ($50-$200)</v>
      </c>
      <c r="AE150" t="str">
        <f t="shared" si="37"/>
        <v>Medium (3-5 units)</v>
      </c>
      <c r="AF150" t="str">
        <f t="shared" si="38"/>
        <v>Profitable</v>
      </c>
      <c r="AG150" t="str">
        <f t="shared" si="39"/>
        <v>Low Margin</v>
      </c>
      <c r="AH150" t="str">
        <f t="shared" si="40"/>
        <v>Repeat Customer</v>
      </c>
      <c r="AI150" t="str">
        <f t="shared" si="41"/>
        <v>Standard (3-5 days)</v>
      </c>
    </row>
    <row r="151" spans="1:35" ht="15" customHeight="1" x14ac:dyDescent="0.3">
      <c r="A151">
        <v>150</v>
      </c>
      <c r="B151" t="s">
        <v>793</v>
      </c>
      <c r="C151" s="12">
        <v>42709</v>
      </c>
      <c r="D151" s="12">
        <v>42713</v>
      </c>
      <c r="E151" t="s">
        <v>233</v>
      </c>
      <c r="F151" t="s">
        <v>794</v>
      </c>
      <c r="G151" t="s">
        <v>795</v>
      </c>
      <c r="H151" t="s">
        <v>224</v>
      </c>
      <c r="I151" t="s">
        <v>210</v>
      </c>
      <c r="J151" t="s">
        <v>796</v>
      </c>
      <c r="K151" t="s">
        <v>297</v>
      </c>
      <c r="L151">
        <v>53132</v>
      </c>
      <c r="M151" t="s">
        <v>288</v>
      </c>
      <c r="N151" t="s">
        <v>218</v>
      </c>
      <c r="O151" t="s">
        <v>215</v>
      </c>
      <c r="P151" t="s">
        <v>219</v>
      </c>
      <c r="Q151" t="s">
        <v>220</v>
      </c>
      <c r="R151" s="13">
        <v>1951.84</v>
      </c>
      <c r="S151">
        <v>8</v>
      </c>
      <c r="T151" s="14">
        <v>0</v>
      </c>
      <c r="U151" s="13">
        <v>585.55200000000002</v>
      </c>
      <c r="V151">
        <f t="shared" si="28"/>
        <v>2016</v>
      </c>
      <c r="W151" t="str">
        <f t="shared" si="29"/>
        <v>Dec</v>
      </c>
      <c r="X151" t="str">
        <f t="shared" si="30"/>
        <v>Q4</v>
      </c>
      <c r="Y151" t="str">
        <f t="shared" si="31"/>
        <v>Mon</v>
      </c>
      <c r="Z151" s="16">
        <f t="shared" si="32"/>
        <v>4</v>
      </c>
      <c r="AA151" s="13">
        <f t="shared" si="33"/>
        <v>243.98</v>
      </c>
      <c r="AB151" s="14">
        <f t="shared" si="34"/>
        <v>0.30000000000000004</v>
      </c>
      <c r="AC151" t="str">
        <f t="shared" si="35"/>
        <v>No Discount</v>
      </c>
      <c r="AD151" t="str">
        <f t="shared" si="36"/>
        <v>Premium ($500+)</v>
      </c>
      <c r="AE151" t="str">
        <f t="shared" si="37"/>
        <v>Large (6+ units)</v>
      </c>
      <c r="AF151" t="str">
        <f t="shared" si="38"/>
        <v>Profitable</v>
      </c>
      <c r="AG151" t="str">
        <f t="shared" si="39"/>
        <v>High Margin</v>
      </c>
      <c r="AH151" t="str">
        <f t="shared" si="40"/>
        <v>Repeat Customer</v>
      </c>
      <c r="AI151" t="str">
        <f t="shared" si="41"/>
        <v>Standard (3-5 days)</v>
      </c>
    </row>
    <row r="152" spans="1:35" ht="15" customHeight="1" x14ac:dyDescent="0.3">
      <c r="A152">
        <v>151</v>
      </c>
      <c r="B152" t="s">
        <v>793</v>
      </c>
      <c r="C152" s="12">
        <v>42709</v>
      </c>
      <c r="D152" s="12">
        <v>42713</v>
      </c>
      <c r="E152" t="s">
        <v>233</v>
      </c>
      <c r="F152" t="s">
        <v>794</v>
      </c>
      <c r="G152" t="s">
        <v>795</v>
      </c>
      <c r="H152" t="s">
        <v>224</v>
      </c>
      <c r="I152" t="s">
        <v>210</v>
      </c>
      <c r="J152" t="s">
        <v>796</v>
      </c>
      <c r="K152" t="s">
        <v>297</v>
      </c>
      <c r="L152">
        <v>53132</v>
      </c>
      <c r="M152" t="s">
        <v>288</v>
      </c>
      <c r="N152" t="s">
        <v>801</v>
      </c>
      <c r="O152" t="s">
        <v>229</v>
      </c>
      <c r="P152" t="s">
        <v>258</v>
      </c>
      <c r="Q152" t="s">
        <v>802</v>
      </c>
      <c r="R152" s="13">
        <v>171.55</v>
      </c>
      <c r="S152">
        <v>5</v>
      </c>
      <c r="T152" s="14">
        <v>0</v>
      </c>
      <c r="U152" s="13">
        <v>80.628500000000003</v>
      </c>
      <c r="V152">
        <f t="shared" si="28"/>
        <v>2016</v>
      </c>
      <c r="W152" t="str">
        <f t="shared" si="29"/>
        <v>Dec</v>
      </c>
      <c r="X152" t="str">
        <f t="shared" si="30"/>
        <v>Q4</v>
      </c>
      <c r="Y152" t="str">
        <f t="shared" si="31"/>
        <v>Mon</v>
      </c>
      <c r="Z152" s="16">
        <f t="shared" si="32"/>
        <v>4</v>
      </c>
      <c r="AA152" s="13">
        <f t="shared" si="33"/>
        <v>34.31</v>
      </c>
      <c r="AB152" s="14">
        <f t="shared" si="34"/>
        <v>0.47</v>
      </c>
      <c r="AC152" t="str">
        <f t="shared" si="35"/>
        <v>No Discount</v>
      </c>
      <c r="AD152" t="str">
        <f t="shared" si="36"/>
        <v>Medium ($50-$200)</v>
      </c>
      <c r="AE152" t="str">
        <f t="shared" si="37"/>
        <v>Medium (3-5 units)</v>
      </c>
      <c r="AF152" t="str">
        <f t="shared" si="38"/>
        <v>Profitable</v>
      </c>
      <c r="AG152" t="str">
        <f t="shared" si="39"/>
        <v>High Margin</v>
      </c>
      <c r="AH152" t="str">
        <f t="shared" si="40"/>
        <v>Repeat Customer</v>
      </c>
      <c r="AI152" t="str">
        <f t="shared" si="41"/>
        <v>Standard (3-5 days)</v>
      </c>
    </row>
    <row r="153" spans="1:35" ht="15" customHeight="1" x14ac:dyDescent="0.3">
      <c r="A153">
        <v>152</v>
      </c>
      <c r="B153" t="s">
        <v>803</v>
      </c>
      <c r="C153" s="12">
        <v>42442</v>
      </c>
      <c r="D153" s="12">
        <v>42445</v>
      </c>
      <c r="E153" t="s">
        <v>371</v>
      </c>
      <c r="F153" t="s">
        <v>804</v>
      </c>
      <c r="G153" t="s">
        <v>805</v>
      </c>
      <c r="H153" t="s">
        <v>285</v>
      </c>
      <c r="I153" t="s">
        <v>210</v>
      </c>
      <c r="J153" t="s">
        <v>806</v>
      </c>
      <c r="K153" t="s">
        <v>493</v>
      </c>
      <c r="L153">
        <v>85254</v>
      </c>
      <c r="M153" t="s">
        <v>227</v>
      </c>
      <c r="N153" t="s">
        <v>807</v>
      </c>
      <c r="O153" t="s">
        <v>229</v>
      </c>
      <c r="P153" t="s">
        <v>261</v>
      </c>
      <c r="Q153" t="s">
        <v>808</v>
      </c>
      <c r="R153" s="13">
        <v>157.91999999999999</v>
      </c>
      <c r="S153">
        <v>5</v>
      </c>
      <c r="T153" s="14">
        <v>0.2</v>
      </c>
      <c r="U153" s="13">
        <v>17.765999999999998</v>
      </c>
      <c r="V153">
        <f t="shared" si="28"/>
        <v>2016</v>
      </c>
      <c r="W153" t="str">
        <f t="shared" si="29"/>
        <v>Mar</v>
      </c>
      <c r="X153" t="str">
        <f t="shared" si="30"/>
        <v>Q1</v>
      </c>
      <c r="Y153" t="str">
        <f t="shared" si="31"/>
        <v>Sun</v>
      </c>
      <c r="Z153" s="16">
        <f t="shared" si="32"/>
        <v>3</v>
      </c>
      <c r="AA153" s="13">
        <f t="shared" si="33"/>
        <v>31.583999999999996</v>
      </c>
      <c r="AB153" s="14">
        <f t="shared" si="34"/>
        <v>0.1125</v>
      </c>
      <c r="AC153" t="str">
        <f t="shared" si="35"/>
        <v>Low (1-20%)</v>
      </c>
      <c r="AD153" t="str">
        <f t="shared" si="36"/>
        <v>Medium ($50-$200)</v>
      </c>
      <c r="AE153" t="str">
        <f t="shared" si="37"/>
        <v>Medium (3-5 units)</v>
      </c>
      <c r="AF153" t="str">
        <f t="shared" si="38"/>
        <v>Profitable</v>
      </c>
      <c r="AG153" t="str">
        <f t="shared" si="39"/>
        <v>Healthy Margin</v>
      </c>
      <c r="AH153" t="str">
        <f t="shared" si="40"/>
        <v>Repeat Customer</v>
      </c>
      <c r="AI153" t="str">
        <f t="shared" si="41"/>
        <v>Standard (3-5 days)</v>
      </c>
    </row>
    <row r="154" spans="1:35" ht="15" customHeight="1" x14ac:dyDescent="0.3">
      <c r="A154">
        <v>153</v>
      </c>
      <c r="B154" t="s">
        <v>803</v>
      </c>
      <c r="C154" s="12">
        <v>42442</v>
      </c>
      <c r="D154" s="12">
        <v>42445</v>
      </c>
      <c r="E154" t="s">
        <v>371</v>
      </c>
      <c r="F154" t="s">
        <v>804</v>
      </c>
      <c r="G154" t="s">
        <v>805</v>
      </c>
      <c r="H154" t="s">
        <v>285</v>
      </c>
      <c r="I154" t="s">
        <v>210</v>
      </c>
      <c r="J154" t="s">
        <v>806</v>
      </c>
      <c r="K154" t="s">
        <v>493</v>
      </c>
      <c r="L154">
        <v>85254</v>
      </c>
      <c r="M154" t="s">
        <v>227</v>
      </c>
      <c r="N154" t="s">
        <v>809</v>
      </c>
      <c r="O154" t="s">
        <v>254</v>
      </c>
      <c r="P154" t="s">
        <v>255</v>
      </c>
      <c r="Q154" t="s">
        <v>810</v>
      </c>
      <c r="R154" s="13">
        <v>203.184</v>
      </c>
      <c r="S154">
        <v>2</v>
      </c>
      <c r="T154" s="14">
        <v>0.2</v>
      </c>
      <c r="U154" s="13">
        <v>15.238799999999999</v>
      </c>
      <c r="V154">
        <f t="shared" si="28"/>
        <v>2016</v>
      </c>
      <c r="W154" t="str">
        <f t="shared" si="29"/>
        <v>Mar</v>
      </c>
      <c r="X154" t="str">
        <f t="shared" si="30"/>
        <v>Q1</v>
      </c>
      <c r="Y154" t="str">
        <f t="shared" si="31"/>
        <v>Sun</v>
      </c>
      <c r="Z154" s="16">
        <f t="shared" si="32"/>
        <v>3</v>
      </c>
      <c r="AA154" s="13">
        <f t="shared" si="33"/>
        <v>101.592</v>
      </c>
      <c r="AB154" s="14">
        <f t="shared" si="34"/>
        <v>7.4999999999999997E-2</v>
      </c>
      <c r="AC154" t="str">
        <f t="shared" si="35"/>
        <v>Low (1-20%)</v>
      </c>
      <c r="AD154" t="str">
        <f t="shared" si="36"/>
        <v>High ($200-$500)</v>
      </c>
      <c r="AE154" t="str">
        <f t="shared" si="37"/>
        <v>Small (1-2 units)</v>
      </c>
      <c r="AF154" t="str">
        <f t="shared" si="38"/>
        <v>Profitable</v>
      </c>
      <c r="AG154" t="str">
        <f t="shared" si="39"/>
        <v>Low Margin</v>
      </c>
      <c r="AH154" t="str">
        <f t="shared" si="40"/>
        <v>Repeat Customer</v>
      </c>
      <c r="AI154" t="str">
        <f t="shared" si="41"/>
        <v>Standard (3-5 days)</v>
      </c>
    </row>
    <row r="155" spans="1:35" ht="15" customHeight="1" x14ac:dyDescent="0.3">
      <c r="A155">
        <v>154</v>
      </c>
      <c r="B155" t="s">
        <v>811</v>
      </c>
      <c r="C155" s="12">
        <v>42155</v>
      </c>
      <c r="D155" s="12">
        <v>42157</v>
      </c>
      <c r="E155" t="s">
        <v>371</v>
      </c>
      <c r="F155" t="s">
        <v>812</v>
      </c>
      <c r="G155" t="s">
        <v>813</v>
      </c>
      <c r="H155" t="s">
        <v>224</v>
      </c>
      <c r="I155" t="s">
        <v>210</v>
      </c>
      <c r="J155" t="s">
        <v>814</v>
      </c>
      <c r="K155" t="s">
        <v>226</v>
      </c>
      <c r="L155">
        <v>95123</v>
      </c>
      <c r="M155" t="s">
        <v>227</v>
      </c>
      <c r="N155" t="s">
        <v>815</v>
      </c>
      <c r="O155" t="s">
        <v>229</v>
      </c>
      <c r="P155" t="s">
        <v>273</v>
      </c>
      <c r="Q155" t="s">
        <v>816</v>
      </c>
      <c r="R155" s="13">
        <v>58.38</v>
      </c>
      <c r="S155">
        <v>7</v>
      </c>
      <c r="T155" s="14">
        <v>0</v>
      </c>
      <c r="U155" s="13">
        <v>26.271000000000001</v>
      </c>
      <c r="V155">
        <f t="shared" si="28"/>
        <v>2015</v>
      </c>
      <c r="W155" t="str">
        <f t="shared" si="29"/>
        <v>May</v>
      </c>
      <c r="X155" t="str">
        <f t="shared" si="30"/>
        <v>Q2</v>
      </c>
      <c r="Y155" t="str">
        <f t="shared" si="31"/>
        <v>Sun</v>
      </c>
      <c r="Z155" s="16">
        <f t="shared" si="32"/>
        <v>2</v>
      </c>
      <c r="AA155" s="13">
        <f t="shared" si="33"/>
        <v>8.34</v>
      </c>
      <c r="AB155" s="14">
        <f t="shared" si="34"/>
        <v>0.45</v>
      </c>
      <c r="AC155" t="str">
        <f t="shared" si="35"/>
        <v>No Discount</v>
      </c>
      <c r="AD155" t="str">
        <f t="shared" si="36"/>
        <v>Medium ($50-$200)</v>
      </c>
      <c r="AE155" t="str">
        <f t="shared" si="37"/>
        <v>Large (6+ units)</v>
      </c>
      <c r="AF155" t="str">
        <f t="shared" si="38"/>
        <v>Profitable</v>
      </c>
      <c r="AG155" t="str">
        <f t="shared" si="39"/>
        <v>High Margin</v>
      </c>
      <c r="AH155" t="str">
        <f t="shared" si="40"/>
        <v>Repeat Customer</v>
      </c>
      <c r="AI155" t="str">
        <f t="shared" si="41"/>
        <v>Fast (&lt;=2 days)</v>
      </c>
    </row>
    <row r="156" spans="1:35" ht="15" customHeight="1" x14ac:dyDescent="0.3">
      <c r="A156">
        <v>155</v>
      </c>
      <c r="B156" t="s">
        <v>811</v>
      </c>
      <c r="C156" s="12">
        <v>42155</v>
      </c>
      <c r="D156" s="12">
        <v>42157</v>
      </c>
      <c r="E156" t="s">
        <v>371</v>
      </c>
      <c r="F156" t="s">
        <v>812</v>
      </c>
      <c r="G156" t="s">
        <v>813</v>
      </c>
      <c r="H156" t="s">
        <v>224</v>
      </c>
      <c r="I156" t="s">
        <v>210</v>
      </c>
      <c r="J156" t="s">
        <v>814</v>
      </c>
      <c r="K156" t="s">
        <v>226</v>
      </c>
      <c r="L156">
        <v>95123</v>
      </c>
      <c r="M156" t="s">
        <v>227</v>
      </c>
      <c r="N156" t="s">
        <v>817</v>
      </c>
      <c r="O156" t="s">
        <v>229</v>
      </c>
      <c r="P156" t="s">
        <v>273</v>
      </c>
      <c r="Q156" t="s">
        <v>818</v>
      </c>
      <c r="R156" s="13">
        <v>105.52</v>
      </c>
      <c r="S156">
        <v>4</v>
      </c>
      <c r="T156" s="14">
        <v>0</v>
      </c>
      <c r="U156" s="13">
        <v>48.539200000000001</v>
      </c>
      <c r="V156">
        <f t="shared" si="28"/>
        <v>2015</v>
      </c>
      <c r="W156" t="str">
        <f t="shared" si="29"/>
        <v>May</v>
      </c>
      <c r="X156" t="str">
        <f t="shared" si="30"/>
        <v>Q2</v>
      </c>
      <c r="Y156" t="str">
        <f t="shared" si="31"/>
        <v>Sun</v>
      </c>
      <c r="Z156" s="16">
        <f t="shared" si="32"/>
        <v>2</v>
      </c>
      <c r="AA156" s="13">
        <f t="shared" si="33"/>
        <v>26.38</v>
      </c>
      <c r="AB156" s="14">
        <f t="shared" si="34"/>
        <v>0.46</v>
      </c>
      <c r="AC156" t="str">
        <f t="shared" si="35"/>
        <v>No Discount</v>
      </c>
      <c r="AD156" t="str">
        <f t="shared" si="36"/>
        <v>Medium ($50-$200)</v>
      </c>
      <c r="AE156" t="str">
        <f t="shared" si="37"/>
        <v>Medium (3-5 units)</v>
      </c>
      <c r="AF156" t="str">
        <f t="shared" si="38"/>
        <v>Profitable</v>
      </c>
      <c r="AG156" t="str">
        <f t="shared" si="39"/>
        <v>High Margin</v>
      </c>
      <c r="AH156" t="str">
        <f t="shared" si="40"/>
        <v>Repeat Customer</v>
      </c>
      <c r="AI156" t="str">
        <f t="shared" si="41"/>
        <v>Fast (&lt;=2 days)</v>
      </c>
    </row>
    <row r="157" spans="1:35" ht="15" customHeight="1" x14ac:dyDescent="0.3">
      <c r="A157">
        <v>156</v>
      </c>
      <c r="B157" t="s">
        <v>811</v>
      </c>
      <c r="C157" s="12">
        <v>42155</v>
      </c>
      <c r="D157" s="12">
        <v>42157</v>
      </c>
      <c r="E157" t="s">
        <v>371</v>
      </c>
      <c r="F157" t="s">
        <v>812</v>
      </c>
      <c r="G157" t="s">
        <v>813</v>
      </c>
      <c r="H157" t="s">
        <v>224</v>
      </c>
      <c r="I157" t="s">
        <v>210</v>
      </c>
      <c r="J157" t="s">
        <v>814</v>
      </c>
      <c r="K157" t="s">
        <v>226</v>
      </c>
      <c r="L157">
        <v>95123</v>
      </c>
      <c r="M157" t="s">
        <v>227</v>
      </c>
      <c r="N157" t="s">
        <v>819</v>
      </c>
      <c r="O157" t="s">
        <v>229</v>
      </c>
      <c r="P157" t="s">
        <v>242</v>
      </c>
      <c r="Q157" t="s">
        <v>820</v>
      </c>
      <c r="R157" s="13">
        <v>80.88</v>
      </c>
      <c r="S157">
        <v>6</v>
      </c>
      <c r="T157" s="14">
        <v>0</v>
      </c>
      <c r="U157" s="13">
        <v>21.0288</v>
      </c>
      <c r="V157">
        <f t="shared" si="28"/>
        <v>2015</v>
      </c>
      <c r="W157" t="str">
        <f t="shared" si="29"/>
        <v>May</v>
      </c>
      <c r="X157" t="str">
        <f t="shared" si="30"/>
        <v>Q2</v>
      </c>
      <c r="Y157" t="str">
        <f t="shared" si="31"/>
        <v>Sun</v>
      </c>
      <c r="Z157" s="16">
        <f t="shared" si="32"/>
        <v>2</v>
      </c>
      <c r="AA157" s="13">
        <f t="shared" si="33"/>
        <v>13.479999999999999</v>
      </c>
      <c r="AB157" s="14">
        <f t="shared" si="34"/>
        <v>0.26</v>
      </c>
      <c r="AC157" t="str">
        <f t="shared" si="35"/>
        <v>No Discount</v>
      </c>
      <c r="AD157" t="str">
        <f t="shared" si="36"/>
        <v>Medium ($50-$200)</v>
      </c>
      <c r="AE157" t="str">
        <f t="shared" si="37"/>
        <v>Large (6+ units)</v>
      </c>
      <c r="AF157" t="str">
        <f t="shared" si="38"/>
        <v>Profitable</v>
      </c>
      <c r="AG157" t="str">
        <f t="shared" si="39"/>
        <v>High Margin</v>
      </c>
      <c r="AH157" t="str">
        <f t="shared" si="40"/>
        <v>Repeat Customer</v>
      </c>
      <c r="AI157" t="str">
        <f t="shared" si="41"/>
        <v>Fast (&lt;=2 days)</v>
      </c>
    </row>
    <row r="158" spans="1:35" ht="15" customHeight="1" x14ac:dyDescent="0.3">
      <c r="A158">
        <v>157</v>
      </c>
      <c r="B158" t="s">
        <v>821</v>
      </c>
      <c r="C158" s="12">
        <v>42152</v>
      </c>
      <c r="D158" s="12">
        <v>42158</v>
      </c>
      <c r="E158" t="s">
        <v>233</v>
      </c>
      <c r="F158" t="s">
        <v>822</v>
      </c>
      <c r="G158" t="s">
        <v>823</v>
      </c>
      <c r="H158" t="s">
        <v>285</v>
      </c>
      <c r="I158" t="s">
        <v>210</v>
      </c>
      <c r="J158" t="s">
        <v>278</v>
      </c>
      <c r="K158" t="s">
        <v>279</v>
      </c>
      <c r="L158">
        <v>98105</v>
      </c>
      <c r="M158" t="s">
        <v>227</v>
      </c>
      <c r="N158" t="s">
        <v>824</v>
      </c>
      <c r="O158" t="s">
        <v>229</v>
      </c>
      <c r="P158" t="s">
        <v>251</v>
      </c>
      <c r="Q158" t="s">
        <v>825</v>
      </c>
      <c r="R158" s="13">
        <v>6.63</v>
      </c>
      <c r="S158">
        <v>3</v>
      </c>
      <c r="T158" s="14">
        <v>0</v>
      </c>
      <c r="U158" s="13">
        <v>1.7901</v>
      </c>
      <c r="V158">
        <f t="shared" si="28"/>
        <v>2015</v>
      </c>
      <c r="W158" t="str">
        <f t="shared" si="29"/>
        <v>May</v>
      </c>
      <c r="X158" t="str">
        <f t="shared" si="30"/>
        <v>Q2</v>
      </c>
      <c r="Y158" t="str">
        <f t="shared" si="31"/>
        <v>Thu</v>
      </c>
      <c r="Z158" s="16">
        <f t="shared" si="32"/>
        <v>6</v>
      </c>
      <c r="AA158" s="13">
        <f t="shared" si="33"/>
        <v>2.21</v>
      </c>
      <c r="AB158" s="14">
        <f t="shared" si="34"/>
        <v>0.27</v>
      </c>
      <c r="AC158" t="str">
        <f t="shared" si="35"/>
        <v>No Discount</v>
      </c>
      <c r="AD158" t="str">
        <f t="shared" si="36"/>
        <v>Low (&lt;$50)</v>
      </c>
      <c r="AE158" t="str">
        <f t="shared" si="37"/>
        <v>Medium (3-5 units)</v>
      </c>
      <c r="AF158" t="str">
        <f t="shared" si="38"/>
        <v>Profitable</v>
      </c>
      <c r="AG158" t="str">
        <f t="shared" si="39"/>
        <v>High Margin</v>
      </c>
      <c r="AH158" t="str">
        <f t="shared" si="40"/>
        <v>Single Purchase</v>
      </c>
      <c r="AI158" t="str">
        <f t="shared" si="41"/>
        <v>Slow (6+ days)</v>
      </c>
    </row>
    <row r="159" spans="1:35" ht="15" customHeight="1" x14ac:dyDescent="0.3">
      <c r="A159">
        <v>158</v>
      </c>
      <c r="B159" t="s">
        <v>826</v>
      </c>
      <c r="C159" s="12">
        <v>41699</v>
      </c>
      <c r="D159" s="12">
        <v>41704</v>
      </c>
      <c r="E159" t="s">
        <v>206</v>
      </c>
      <c r="F159" t="s">
        <v>827</v>
      </c>
      <c r="G159" t="s">
        <v>828</v>
      </c>
      <c r="H159" t="s">
        <v>209</v>
      </c>
      <c r="I159" t="s">
        <v>210</v>
      </c>
      <c r="J159" t="s">
        <v>278</v>
      </c>
      <c r="K159" t="s">
        <v>279</v>
      </c>
      <c r="L159">
        <v>98115</v>
      </c>
      <c r="M159" t="s">
        <v>227</v>
      </c>
      <c r="N159" t="s">
        <v>716</v>
      </c>
      <c r="O159" t="s">
        <v>215</v>
      </c>
      <c r="P159" t="s">
        <v>219</v>
      </c>
      <c r="Q159" t="s">
        <v>717</v>
      </c>
      <c r="R159" s="13">
        <v>457.56799999999998</v>
      </c>
      <c r="S159">
        <v>2</v>
      </c>
      <c r="T159" s="14">
        <v>0.2</v>
      </c>
      <c r="U159" s="13">
        <v>51.476399999999899</v>
      </c>
      <c r="V159">
        <f t="shared" si="28"/>
        <v>2014</v>
      </c>
      <c r="W159" t="str">
        <f t="shared" si="29"/>
        <v>Mar</v>
      </c>
      <c r="X159" t="str">
        <f t="shared" si="30"/>
        <v>Q1</v>
      </c>
      <c r="Y159" t="str">
        <f t="shared" si="31"/>
        <v>Sat</v>
      </c>
      <c r="Z159" s="16">
        <f t="shared" si="32"/>
        <v>5</v>
      </c>
      <c r="AA159" s="13">
        <f t="shared" si="33"/>
        <v>228.78399999999999</v>
      </c>
      <c r="AB159" s="14">
        <f t="shared" si="34"/>
        <v>0.11249999999999978</v>
      </c>
      <c r="AC159" t="str">
        <f t="shared" si="35"/>
        <v>Low (1-20%)</v>
      </c>
      <c r="AD159" t="str">
        <f t="shared" si="36"/>
        <v>High ($200-$500)</v>
      </c>
      <c r="AE159" t="str">
        <f t="shared" si="37"/>
        <v>Small (1-2 units)</v>
      </c>
      <c r="AF159" t="str">
        <f t="shared" si="38"/>
        <v>Profitable</v>
      </c>
      <c r="AG159" t="str">
        <f t="shared" si="39"/>
        <v>Healthy Margin</v>
      </c>
      <c r="AH159" t="str">
        <f t="shared" si="40"/>
        <v>Repeat Customer</v>
      </c>
      <c r="AI159" t="str">
        <f t="shared" si="41"/>
        <v>Standard (3-5 days)</v>
      </c>
    </row>
    <row r="160" spans="1:35" ht="15" customHeight="1" x14ac:dyDescent="0.3">
      <c r="A160">
        <v>159</v>
      </c>
      <c r="B160" t="s">
        <v>829</v>
      </c>
      <c r="C160" s="12">
        <v>42694</v>
      </c>
      <c r="D160" s="12">
        <v>42698</v>
      </c>
      <c r="E160" t="s">
        <v>233</v>
      </c>
      <c r="F160" t="s">
        <v>830</v>
      </c>
      <c r="G160" t="s">
        <v>831</v>
      </c>
      <c r="H160" t="s">
        <v>209</v>
      </c>
      <c r="I160" t="s">
        <v>210</v>
      </c>
      <c r="J160" t="s">
        <v>832</v>
      </c>
      <c r="K160" t="s">
        <v>833</v>
      </c>
      <c r="L160">
        <v>73034</v>
      </c>
      <c r="M160" t="s">
        <v>288</v>
      </c>
      <c r="N160" t="s">
        <v>834</v>
      </c>
      <c r="O160" t="s">
        <v>229</v>
      </c>
      <c r="P160" t="s">
        <v>230</v>
      </c>
      <c r="Q160" t="s">
        <v>835</v>
      </c>
      <c r="R160" s="13">
        <v>14.62</v>
      </c>
      <c r="S160">
        <v>2</v>
      </c>
      <c r="T160" s="14">
        <v>0</v>
      </c>
      <c r="U160" s="13">
        <v>6.8714000000000004</v>
      </c>
      <c r="V160">
        <f t="shared" si="28"/>
        <v>2016</v>
      </c>
      <c r="W160" t="str">
        <f t="shared" si="29"/>
        <v>Nov</v>
      </c>
      <c r="X160" t="str">
        <f t="shared" si="30"/>
        <v>Q4</v>
      </c>
      <c r="Y160" t="str">
        <f t="shared" si="31"/>
        <v>Sun</v>
      </c>
      <c r="Z160" s="16">
        <f t="shared" si="32"/>
        <v>4</v>
      </c>
      <c r="AA160" s="13">
        <f t="shared" si="33"/>
        <v>7.31</v>
      </c>
      <c r="AB160" s="14">
        <f t="shared" si="34"/>
        <v>0.47000000000000003</v>
      </c>
      <c r="AC160" t="str">
        <f t="shared" si="35"/>
        <v>No Discount</v>
      </c>
      <c r="AD160" t="str">
        <f t="shared" si="36"/>
        <v>Low (&lt;$50)</v>
      </c>
      <c r="AE160" t="str">
        <f t="shared" si="37"/>
        <v>Small (1-2 units)</v>
      </c>
      <c r="AF160" t="str">
        <f t="shared" si="38"/>
        <v>Profitable</v>
      </c>
      <c r="AG160" t="str">
        <f t="shared" si="39"/>
        <v>High Margin</v>
      </c>
      <c r="AH160" t="str">
        <f t="shared" si="40"/>
        <v>Repeat Customer</v>
      </c>
      <c r="AI160" t="str">
        <f t="shared" si="41"/>
        <v>Standard (3-5 days)</v>
      </c>
    </row>
    <row r="161" spans="1:35" ht="15" customHeight="1" x14ac:dyDescent="0.3">
      <c r="A161">
        <v>160</v>
      </c>
      <c r="B161" t="s">
        <v>829</v>
      </c>
      <c r="C161" s="12">
        <v>42694</v>
      </c>
      <c r="D161" s="12">
        <v>42698</v>
      </c>
      <c r="E161" t="s">
        <v>233</v>
      </c>
      <c r="F161" t="s">
        <v>830</v>
      </c>
      <c r="G161" t="s">
        <v>831</v>
      </c>
      <c r="H161" t="s">
        <v>209</v>
      </c>
      <c r="I161" t="s">
        <v>210</v>
      </c>
      <c r="J161" t="s">
        <v>832</v>
      </c>
      <c r="K161" t="s">
        <v>833</v>
      </c>
      <c r="L161">
        <v>73034</v>
      </c>
      <c r="M161" t="s">
        <v>288</v>
      </c>
      <c r="N161" t="s">
        <v>836</v>
      </c>
      <c r="O161" t="s">
        <v>254</v>
      </c>
      <c r="P161" t="s">
        <v>255</v>
      </c>
      <c r="Q161" t="s">
        <v>837</v>
      </c>
      <c r="R161" s="13">
        <v>944.93</v>
      </c>
      <c r="S161">
        <v>7</v>
      </c>
      <c r="T161" s="14">
        <v>0</v>
      </c>
      <c r="U161" s="13">
        <v>236.23249999999999</v>
      </c>
      <c r="V161">
        <f t="shared" si="28"/>
        <v>2016</v>
      </c>
      <c r="W161" t="str">
        <f t="shared" si="29"/>
        <v>Nov</v>
      </c>
      <c r="X161" t="str">
        <f t="shared" si="30"/>
        <v>Q4</v>
      </c>
      <c r="Y161" t="str">
        <f t="shared" si="31"/>
        <v>Sun</v>
      </c>
      <c r="Z161" s="16">
        <f t="shared" si="32"/>
        <v>4</v>
      </c>
      <c r="AA161" s="13">
        <f t="shared" si="33"/>
        <v>134.98999999999998</v>
      </c>
      <c r="AB161" s="14">
        <f t="shared" si="34"/>
        <v>0.25</v>
      </c>
      <c r="AC161" t="str">
        <f t="shared" si="35"/>
        <v>No Discount</v>
      </c>
      <c r="AD161" t="str">
        <f t="shared" si="36"/>
        <v>Premium ($500+)</v>
      </c>
      <c r="AE161" t="str">
        <f t="shared" si="37"/>
        <v>Large (6+ units)</v>
      </c>
      <c r="AF161" t="str">
        <f t="shared" si="38"/>
        <v>Profitable</v>
      </c>
      <c r="AG161" t="str">
        <f t="shared" si="39"/>
        <v>High Margin</v>
      </c>
      <c r="AH161" t="str">
        <f t="shared" si="40"/>
        <v>Repeat Customer</v>
      </c>
      <c r="AI161" t="str">
        <f t="shared" si="41"/>
        <v>Standard (3-5 days)</v>
      </c>
    </row>
    <row r="162" spans="1:35" ht="15" customHeight="1" x14ac:dyDescent="0.3">
      <c r="A162">
        <v>161</v>
      </c>
      <c r="B162" t="s">
        <v>838</v>
      </c>
      <c r="C162" s="12">
        <v>42501</v>
      </c>
      <c r="D162" s="12">
        <v>42502</v>
      </c>
      <c r="E162" t="s">
        <v>371</v>
      </c>
      <c r="F162" t="s">
        <v>839</v>
      </c>
      <c r="G162" t="s">
        <v>840</v>
      </c>
      <c r="H162" t="s">
        <v>209</v>
      </c>
      <c r="I162" t="s">
        <v>210</v>
      </c>
      <c r="J162" t="s">
        <v>225</v>
      </c>
      <c r="K162" t="s">
        <v>226</v>
      </c>
      <c r="L162">
        <v>90045</v>
      </c>
      <c r="M162" t="s">
        <v>227</v>
      </c>
      <c r="N162" t="s">
        <v>841</v>
      </c>
      <c r="O162" t="s">
        <v>229</v>
      </c>
      <c r="P162" t="s">
        <v>273</v>
      </c>
      <c r="Q162" t="s">
        <v>842</v>
      </c>
      <c r="R162" s="13">
        <v>5.98</v>
      </c>
      <c r="S162">
        <v>1</v>
      </c>
      <c r="T162" s="14">
        <v>0</v>
      </c>
      <c r="U162" s="13">
        <v>2.6909999999999998</v>
      </c>
      <c r="V162">
        <f t="shared" si="28"/>
        <v>2016</v>
      </c>
      <c r="W162" t="str">
        <f t="shared" si="29"/>
        <v>May</v>
      </c>
      <c r="X162" t="str">
        <f t="shared" si="30"/>
        <v>Q2</v>
      </c>
      <c r="Y162" t="str">
        <f t="shared" si="31"/>
        <v>Wed</v>
      </c>
      <c r="Z162" s="16">
        <f t="shared" si="32"/>
        <v>1</v>
      </c>
      <c r="AA162" s="13">
        <f t="shared" si="33"/>
        <v>5.98</v>
      </c>
      <c r="AB162" s="14">
        <f t="shared" si="34"/>
        <v>0.44999999999999996</v>
      </c>
      <c r="AC162" t="str">
        <f t="shared" si="35"/>
        <v>No Discount</v>
      </c>
      <c r="AD162" t="str">
        <f t="shared" si="36"/>
        <v>Low (&lt;$50)</v>
      </c>
      <c r="AE162" t="str">
        <f t="shared" si="37"/>
        <v>Small (1-2 units)</v>
      </c>
      <c r="AF162" t="str">
        <f t="shared" si="38"/>
        <v>Profitable</v>
      </c>
      <c r="AG162" t="str">
        <f t="shared" si="39"/>
        <v>High Margin</v>
      </c>
      <c r="AH162" t="str">
        <f t="shared" si="40"/>
        <v>Single Purchase</v>
      </c>
      <c r="AI162" t="str">
        <f t="shared" si="41"/>
        <v>Fast (&lt;=2 days)</v>
      </c>
    </row>
    <row r="163" spans="1:35" ht="15" customHeight="1" x14ac:dyDescent="0.3">
      <c r="A163">
        <v>162</v>
      </c>
      <c r="B163" t="s">
        <v>843</v>
      </c>
      <c r="C163" s="12">
        <v>42366</v>
      </c>
      <c r="D163" s="12">
        <v>42369</v>
      </c>
      <c r="E163" t="s">
        <v>206</v>
      </c>
      <c r="F163" t="s">
        <v>844</v>
      </c>
      <c r="G163" t="s">
        <v>845</v>
      </c>
      <c r="H163" t="s">
        <v>209</v>
      </c>
      <c r="I163" t="s">
        <v>210</v>
      </c>
      <c r="J163" t="s">
        <v>329</v>
      </c>
      <c r="K163" t="s">
        <v>330</v>
      </c>
      <c r="L163">
        <v>19134</v>
      </c>
      <c r="M163" t="s">
        <v>331</v>
      </c>
      <c r="N163" t="s">
        <v>846</v>
      </c>
      <c r="O163" t="s">
        <v>254</v>
      </c>
      <c r="P163" t="s">
        <v>344</v>
      </c>
      <c r="Q163" t="s">
        <v>847</v>
      </c>
      <c r="R163" s="13">
        <v>54.384</v>
      </c>
      <c r="S163">
        <v>2</v>
      </c>
      <c r="T163" s="14">
        <v>0.2</v>
      </c>
      <c r="U163" s="13">
        <v>1.3595999999999999</v>
      </c>
      <c r="V163">
        <f t="shared" si="28"/>
        <v>2015</v>
      </c>
      <c r="W163" t="str">
        <f t="shared" si="29"/>
        <v>Dec</v>
      </c>
      <c r="X163" t="str">
        <f t="shared" si="30"/>
        <v>Q4</v>
      </c>
      <c r="Y163" t="str">
        <f t="shared" si="31"/>
        <v>Mon</v>
      </c>
      <c r="Z163" s="16">
        <f t="shared" si="32"/>
        <v>3</v>
      </c>
      <c r="AA163" s="13">
        <f t="shared" si="33"/>
        <v>27.192</v>
      </c>
      <c r="AB163" s="14">
        <f t="shared" si="34"/>
        <v>2.4999999999999998E-2</v>
      </c>
      <c r="AC163" t="str">
        <f t="shared" si="35"/>
        <v>Low (1-20%)</v>
      </c>
      <c r="AD163" t="str">
        <f t="shared" si="36"/>
        <v>Medium ($50-$200)</v>
      </c>
      <c r="AE163" t="str">
        <f t="shared" si="37"/>
        <v>Small (1-2 units)</v>
      </c>
      <c r="AF163" t="str">
        <f t="shared" si="38"/>
        <v>Profitable</v>
      </c>
      <c r="AG163" t="str">
        <f t="shared" si="39"/>
        <v>Low Margin</v>
      </c>
      <c r="AH163" t="str">
        <f t="shared" si="40"/>
        <v>Single Purchase</v>
      </c>
      <c r="AI163" t="str">
        <f t="shared" si="41"/>
        <v>Standard (3-5 days)</v>
      </c>
    </row>
    <row r="164" spans="1:35" ht="15" customHeight="1" x14ac:dyDescent="0.3">
      <c r="A164">
        <v>163</v>
      </c>
      <c r="B164" t="s">
        <v>848</v>
      </c>
      <c r="C164" s="12">
        <v>42690</v>
      </c>
      <c r="D164" s="12">
        <v>42694</v>
      </c>
      <c r="E164" t="s">
        <v>233</v>
      </c>
      <c r="F164" t="s">
        <v>849</v>
      </c>
      <c r="G164" t="s">
        <v>850</v>
      </c>
      <c r="H164" t="s">
        <v>209</v>
      </c>
      <c r="I164" t="s">
        <v>210</v>
      </c>
      <c r="J164" t="s">
        <v>851</v>
      </c>
      <c r="K164" t="s">
        <v>852</v>
      </c>
      <c r="L164">
        <v>88220</v>
      </c>
      <c r="M164" t="s">
        <v>227</v>
      </c>
      <c r="N164" t="s">
        <v>853</v>
      </c>
      <c r="O164" t="s">
        <v>229</v>
      </c>
      <c r="P164" t="s">
        <v>356</v>
      </c>
      <c r="Q164" t="s">
        <v>854</v>
      </c>
      <c r="R164" s="13">
        <v>28.4</v>
      </c>
      <c r="S164">
        <v>5</v>
      </c>
      <c r="T164" s="14">
        <v>0</v>
      </c>
      <c r="U164" s="13">
        <v>13.348000000000001</v>
      </c>
      <c r="V164">
        <f t="shared" si="28"/>
        <v>2016</v>
      </c>
      <c r="W164" t="str">
        <f t="shared" si="29"/>
        <v>Nov</v>
      </c>
      <c r="X164" t="str">
        <f t="shared" si="30"/>
        <v>Q4</v>
      </c>
      <c r="Y164" t="str">
        <f t="shared" si="31"/>
        <v>Wed</v>
      </c>
      <c r="Z164" s="16">
        <f t="shared" si="32"/>
        <v>4</v>
      </c>
      <c r="AA164" s="13">
        <f t="shared" si="33"/>
        <v>5.68</v>
      </c>
      <c r="AB164" s="14">
        <f t="shared" si="34"/>
        <v>0.47000000000000003</v>
      </c>
      <c r="AC164" t="str">
        <f t="shared" si="35"/>
        <v>No Discount</v>
      </c>
      <c r="AD164" t="str">
        <f t="shared" si="36"/>
        <v>Low (&lt;$50)</v>
      </c>
      <c r="AE164" t="str">
        <f t="shared" si="37"/>
        <v>Medium (3-5 units)</v>
      </c>
      <c r="AF164" t="str">
        <f t="shared" si="38"/>
        <v>Profitable</v>
      </c>
      <c r="AG164" t="str">
        <f t="shared" si="39"/>
        <v>High Margin</v>
      </c>
      <c r="AH164" t="str">
        <f t="shared" si="40"/>
        <v>Single Purchase</v>
      </c>
      <c r="AI164" t="str">
        <f t="shared" si="41"/>
        <v>Standard (3-5 days)</v>
      </c>
    </row>
    <row r="165" spans="1:35" ht="15" customHeight="1" x14ac:dyDescent="0.3">
      <c r="A165">
        <v>164</v>
      </c>
      <c r="B165" t="s">
        <v>855</v>
      </c>
      <c r="C165" s="12">
        <v>42681</v>
      </c>
      <c r="D165" s="12">
        <v>42685</v>
      </c>
      <c r="E165" t="s">
        <v>233</v>
      </c>
      <c r="F165" t="s">
        <v>856</v>
      </c>
      <c r="G165" t="s">
        <v>857</v>
      </c>
      <c r="H165" t="s">
        <v>209</v>
      </c>
      <c r="I165" t="s">
        <v>210</v>
      </c>
      <c r="J165" t="s">
        <v>278</v>
      </c>
      <c r="K165" t="s">
        <v>279</v>
      </c>
      <c r="L165">
        <v>98115</v>
      </c>
      <c r="M165" t="s">
        <v>227</v>
      </c>
      <c r="N165" t="s">
        <v>858</v>
      </c>
      <c r="O165" t="s">
        <v>229</v>
      </c>
      <c r="P165" t="s">
        <v>258</v>
      </c>
      <c r="Q165" t="s">
        <v>859</v>
      </c>
      <c r="R165" s="13">
        <v>27.68</v>
      </c>
      <c r="S165">
        <v>2</v>
      </c>
      <c r="T165" s="14">
        <v>0.2</v>
      </c>
      <c r="U165" s="13">
        <v>9.6880000000000006</v>
      </c>
      <c r="V165">
        <f t="shared" si="28"/>
        <v>2016</v>
      </c>
      <c r="W165" t="str">
        <f t="shared" si="29"/>
        <v>Nov</v>
      </c>
      <c r="X165" t="str">
        <f t="shared" si="30"/>
        <v>Q4</v>
      </c>
      <c r="Y165" t="str">
        <f t="shared" si="31"/>
        <v>Mon</v>
      </c>
      <c r="Z165" s="16">
        <f t="shared" si="32"/>
        <v>4</v>
      </c>
      <c r="AA165" s="13">
        <f t="shared" si="33"/>
        <v>13.84</v>
      </c>
      <c r="AB165" s="14">
        <f t="shared" si="34"/>
        <v>0.35000000000000003</v>
      </c>
      <c r="AC165" t="str">
        <f t="shared" si="35"/>
        <v>Low (1-20%)</v>
      </c>
      <c r="AD165" t="str">
        <f t="shared" si="36"/>
        <v>Low (&lt;$50)</v>
      </c>
      <c r="AE165" t="str">
        <f t="shared" si="37"/>
        <v>Small (1-2 units)</v>
      </c>
      <c r="AF165" t="str">
        <f t="shared" si="38"/>
        <v>Profitable</v>
      </c>
      <c r="AG165" t="str">
        <f t="shared" si="39"/>
        <v>High Margin</v>
      </c>
      <c r="AH165" t="str">
        <f t="shared" si="40"/>
        <v>Single Purchase</v>
      </c>
      <c r="AI165" t="str">
        <f t="shared" si="41"/>
        <v>Standard (3-5 days)</v>
      </c>
    </row>
    <row r="166" spans="1:35" ht="15" customHeight="1" x14ac:dyDescent="0.3">
      <c r="A166">
        <v>165</v>
      </c>
      <c r="B166" t="s">
        <v>860</v>
      </c>
      <c r="C166" s="12">
        <v>41890</v>
      </c>
      <c r="D166" s="12">
        <v>41894</v>
      </c>
      <c r="E166" t="s">
        <v>233</v>
      </c>
      <c r="F166" t="s">
        <v>861</v>
      </c>
      <c r="G166" t="s">
        <v>862</v>
      </c>
      <c r="H166" t="s">
        <v>209</v>
      </c>
      <c r="I166" t="s">
        <v>210</v>
      </c>
      <c r="J166" t="s">
        <v>863</v>
      </c>
      <c r="K166" t="s">
        <v>287</v>
      </c>
      <c r="L166">
        <v>78207</v>
      </c>
      <c r="M166" t="s">
        <v>288</v>
      </c>
      <c r="N166" t="s">
        <v>864</v>
      </c>
      <c r="O166" t="s">
        <v>229</v>
      </c>
      <c r="P166" t="s">
        <v>251</v>
      </c>
      <c r="Q166" t="s">
        <v>865</v>
      </c>
      <c r="R166" s="13">
        <v>9.9359999999999999</v>
      </c>
      <c r="S166">
        <v>3</v>
      </c>
      <c r="T166" s="14">
        <v>0.2</v>
      </c>
      <c r="U166" s="13">
        <v>2.7324000000000002</v>
      </c>
      <c r="V166">
        <f t="shared" si="28"/>
        <v>2014</v>
      </c>
      <c r="W166" t="str">
        <f t="shared" si="29"/>
        <v>Sep</v>
      </c>
      <c r="X166" t="str">
        <f t="shared" si="30"/>
        <v>Q3</v>
      </c>
      <c r="Y166" t="str">
        <f t="shared" si="31"/>
        <v>Mon</v>
      </c>
      <c r="Z166" s="16">
        <f t="shared" si="32"/>
        <v>4</v>
      </c>
      <c r="AA166" s="13">
        <f t="shared" si="33"/>
        <v>3.3119999999999998</v>
      </c>
      <c r="AB166" s="14">
        <f t="shared" si="34"/>
        <v>0.27500000000000002</v>
      </c>
      <c r="AC166" t="str">
        <f t="shared" si="35"/>
        <v>Low (1-20%)</v>
      </c>
      <c r="AD166" t="str">
        <f t="shared" si="36"/>
        <v>Low (&lt;$50)</v>
      </c>
      <c r="AE166" t="str">
        <f t="shared" si="37"/>
        <v>Medium (3-5 units)</v>
      </c>
      <c r="AF166" t="str">
        <f t="shared" si="38"/>
        <v>Profitable</v>
      </c>
      <c r="AG166" t="str">
        <f t="shared" si="39"/>
        <v>High Margin</v>
      </c>
      <c r="AH166" t="str">
        <f t="shared" si="40"/>
        <v>Repeat Customer</v>
      </c>
      <c r="AI166" t="str">
        <f t="shared" si="41"/>
        <v>Standard (3-5 days)</v>
      </c>
    </row>
    <row r="167" spans="1:35" ht="15" customHeight="1" x14ac:dyDescent="0.3">
      <c r="A167">
        <v>166</v>
      </c>
      <c r="B167" t="s">
        <v>860</v>
      </c>
      <c r="C167" s="12">
        <v>41890</v>
      </c>
      <c r="D167" s="12">
        <v>41894</v>
      </c>
      <c r="E167" t="s">
        <v>233</v>
      </c>
      <c r="F167" t="s">
        <v>861</v>
      </c>
      <c r="G167" t="s">
        <v>862</v>
      </c>
      <c r="H167" t="s">
        <v>209</v>
      </c>
      <c r="I167" t="s">
        <v>210</v>
      </c>
      <c r="J167" t="s">
        <v>863</v>
      </c>
      <c r="K167" t="s">
        <v>287</v>
      </c>
      <c r="L167">
        <v>78207</v>
      </c>
      <c r="M167" t="s">
        <v>288</v>
      </c>
      <c r="N167" t="s">
        <v>866</v>
      </c>
      <c r="O167" t="s">
        <v>254</v>
      </c>
      <c r="P167" t="s">
        <v>867</v>
      </c>
      <c r="Q167" t="s">
        <v>868</v>
      </c>
      <c r="R167" s="13">
        <v>8159.9520000000002</v>
      </c>
      <c r="S167">
        <v>8</v>
      </c>
      <c r="T167" s="14">
        <v>0.4</v>
      </c>
      <c r="U167" s="13">
        <v>-1359.992</v>
      </c>
      <c r="V167">
        <f t="shared" si="28"/>
        <v>2014</v>
      </c>
      <c r="W167" t="str">
        <f t="shared" si="29"/>
        <v>Sep</v>
      </c>
      <c r="X167" t="str">
        <f t="shared" si="30"/>
        <v>Q3</v>
      </c>
      <c r="Y167" t="str">
        <f t="shared" si="31"/>
        <v>Mon</v>
      </c>
      <c r="Z167" s="16">
        <f t="shared" si="32"/>
        <v>4</v>
      </c>
      <c r="AA167" s="13">
        <f t="shared" si="33"/>
        <v>1019.994</v>
      </c>
      <c r="AB167" s="14">
        <f t="shared" si="34"/>
        <v>-0.16666666666666666</v>
      </c>
      <c r="AC167" t="str">
        <f t="shared" si="35"/>
        <v>Medium (21-40%)</v>
      </c>
      <c r="AD167" t="str">
        <f t="shared" si="36"/>
        <v>Premium ($500+)</v>
      </c>
      <c r="AE167" t="str">
        <f t="shared" si="37"/>
        <v>Large (6+ units)</v>
      </c>
      <c r="AF167" t="str">
        <f t="shared" si="38"/>
        <v>Loss-Making</v>
      </c>
      <c r="AG167" t="str">
        <f t="shared" si="39"/>
        <v>Underperforming</v>
      </c>
      <c r="AH167" t="str">
        <f t="shared" si="40"/>
        <v>Repeat Customer</v>
      </c>
      <c r="AI167" t="str">
        <f t="shared" si="41"/>
        <v>Standard (3-5 days)</v>
      </c>
    </row>
    <row r="168" spans="1:35" ht="15" customHeight="1" x14ac:dyDescent="0.3">
      <c r="A168">
        <v>167</v>
      </c>
      <c r="B168" t="s">
        <v>860</v>
      </c>
      <c r="C168" s="12">
        <v>41890</v>
      </c>
      <c r="D168" s="12">
        <v>41894</v>
      </c>
      <c r="E168" t="s">
        <v>233</v>
      </c>
      <c r="F168" t="s">
        <v>861</v>
      </c>
      <c r="G168" t="s">
        <v>862</v>
      </c>
      <c r="H168" t="s">
        <v>209</v>
      </c>
      <c r="I168" t="s">
        <v>210</v>
      </c>
      <c r="J168" t="s">
        <v>863</v>
      </c>
      <c r="K168" t="s">
        <v>287</v>
      </c>
      <c r="L168">
        <v>78207</v>
      </c>
      <c r="M168" t="s">
        <v>288</v>
      </c>
      <c r="N168" t="s">
        <v>869</v>
      </c>
      <c r="O168" t="s">
        <v>229</v>
      </c>
      <c r="P168" t="s">
        <v>242</v>
      </c>
      <c r="Q168" t="s">
        <v>870</v>
      </c>
      <c r="R168" s="13">
        <v>275.928</v>
      </c>
      <c r="S168">
        <v>3</v>
      </c>
      <c r="T168" s="14">
        <v>0.2</v>
      </c>
      <c r="U168" s="13">
        <v>-58.634700000000002</v>
      </c>
      <c r="V168">
        <f t="shared" si="28"/>
        <v>2014</v>
      </c>
      <c r="W168" t="str">
        <f t="shared" si="29"/>
        <v>Sep</v>
      </c>
      <c r="X168" t="str">
        <f t="shared" si="30"/>
        <v>Q3</v>
      </c>
      <c r="Y168" t="str">
        <f t="shared" si="31"/>
        <v>Mon</v>
      </c>
      <c r="Z168" s="16">
        <f t="shared" si="32"/>
        <v>4</v>
      </c>
      <c r="AA168" s="13">
        <f t="shared" si="33"/>
        <v>91.975999999999999</v>
      </c>
      <c r="AB168" s="14">
        <f t="shared" si="34"/>
        <v>-0.21250000000000002</v>
      </c>
      <c r="AC168" t="str">
        <f t="shared" si="35"/>
        <v>Low (1-20%)</v>
      </c>
      <c r="AD168" t="str">
        <f t="shared" si="36"/>
        <v>High ($200-$500)</v>
      </c>
      <c r="AE168" t="str">
        <f t="shared" si="37"/>
        <v>Medium (3-5 units)</v>
      </c>
      <c r="AF168" t="str">
        <f t="shared" si="38"/>
        <v>Loss-Making</v>
      </c>
      <c r="AG168" t="str">
        <f t="shared" si="39"/>
        <v>Underperforming</v>
      </c>
      <c r="AH168" t="str">
        <f t="shared" si="40"/>
        <v>Repeat Customer</v>
      </c>
      <c r="AI168" t="str">
        <f t="shared" si="41"/>
        <v>Standard (3-5 days)</v>
      </c>
    </row>
    <row r="169" spans="1:35" ht="15" customHeight="1" x14ac:dyDescent="0.3">
      <c r="A169">
        <v>168</v>
      </c>
      <c r="B169" t="s">
        <v>860</v>
      </c>
      <c r="C169" s="12">
        <v>41890</v>
      </c>
      <c r="D169" s="12">
        <v>41894</v>
      </c>
      <c r="E169" t="s">
        <v>233</v>
      </c>
      <c r="F169" t="s">
        <v>861</v>
      </c>
      <c r="G169" t="s">
        <v>862</v>
      </c>
      <c r="H169" t="s">
        <v>209</v>
      </c>
      <c r="I169" t="s">
        <v>210</v>
      </c>
      <c r="J169" t="s">
        <v>863</v>
      </c>
      <c r="K169" t="s">
        <v>287</v>
      </c>
      <c r="L169">
        <v>78207</v>
      </c>
      <c r="M169" t="s">
        <v>288</v>
      </c>
      <c r="N169" t="s">
        <v>871</v>
      </c>
      <c r="O169" t="s">
        <v>215</v>
      </c>
      <c r="P169" t="s">
        <v>219</v>
      </c>
      <c r="Q169" t="s">
        <v>872</v>
      </c>
      <c r="R169" s="13">
        <v>1740.06</v>
      </c>
      <c r="S169">
        <v>9</v>
      </c>
      <c r="T169" s="14">
        <v>0.3</v>
      </c>
      <c r="U169" s="13">
        <v>-24.858000000000199</v>
      </c>
      <c r="V169">
        <f t="shared" si="28"/>
        <v>2014</v>
      </c>
      <c r="W169" t="str">
        <f t="shared" si="29"/>
        <v>Sep</v>
      </c>
      <c r="X169" t="str">
        <f t="shared" si="30"/>
        <v>Q3</v>
      </c>
      <c r="Y169" t="str">
        <f t="shared" si="31"/>
        <v>Mon</v>
      </c>
      <c r="Z169" s="16">
        <f t="shared" si="32"/>
        <v>4</v>
      </c>
      <c r="AA169" s="13">
        <f t="shared" si="33"/>
        <v>193.34</v>
      </c>
      <c r="AB169" s="14">
        <f t="shared" si="34"/>
        <v>-1.4285714285714401E-2</v>
      </c>
      <c r="AC169" t="str">
        <f t="shared" si="35"/>
        <v>Medium (21-40%)</v>
      </c>
      <c r="AD169" t="str">
        <f t="shared" si="36"/>
        <v>Premium ($500+)</v>
      </c>
      <c r="AE169" t="str">
        <f t="shared" si="37"/>
        <v>Large (6+ units)</v>
      </c>
      <c r="AF169" t="str">
        <f t="shared" si="38"/>
        <v>Loss-Making</v>
      </c>
      <c r="AG169" t="str">
        <f t="shared" si="39"/>
        <v>Underperforming</v>
      </c>
      <c r="AH169" t="str">
        <f t="shared" si="40"/>
        <v>Repeat Customer</v>
      </c>
      <c r="AI169" t="str">
        <f t="shared" si="41"/>
        <v>Standard (3-5 days)</v>
      </c>
    </row>
    <row r="170" spans="1:35" ht="15" customHeight="1" x14ac:dyDescent="0.3">
      <c r="A170">
        <v>169</v>
      </c>
      <c r="B170" t="s">
        <v>860</v>
      </c>
      <c r="C170" s="12">
        <v>41890</v>
      </c>
      <c r="D170" s="12">
        <v>41894</v>
      </c>
      <c r="E170" t="s">
        <v>233</v>
      </c>
      <c r="F170" t="s">
        <v>861</v>
      </c>
      <c r="G170" t="s">
        <v>862</v>
      </c>
      <c r="H170" t="s">
        <v>209</v>
      </c>
      <c r="I170" t="s">
        <v>210</v>
      </c>
      <c r="J170" t="s">
        <v>863</v>
      </c>
      <c r="K170" t="s">
        <v>287</v>
      </c>
      <c r="L170">
        <v>78207</v>
      </c>
      <c r="M170" t="s">
        <v>288</v>
      </c>
      <c r="N170" t="s">
        <v>873</v>
      </c>
      <c r="O170" t="s">
        <v>229</v>
      </c>
      <c r="P170" t="s">
        <v>251</v>
      </c>
      <c r="Q170" t="s">
        <v>874</v>
      </c>
      <c r="R170" s="13">
        <v>32.064</v>
      </c>
      <c r="S170">
        <v>6</v>
      </c>
      <c r="T170" s="14">
        <v>0.2</v>
      </c>
      <c r="U170" s="13">
        <v>6.8136000000000001</v>
      </c>
      <c r="V170">
        <f t="shared" si="28"/>
        <v>2014</v>
      </c>
      <c r="W170" t="str">
        <f t="shared" si="29"/>
        <v>Sep</v>
      </c>
      <c r="X170" t="str">
        <f t="shared" si="30"/>
        <v>Q3</v>
      </c>
      <c r="Y170" t="str">
        <f t="shared" si="31"/>
        <v>Mon</v>
      </c>
      <c r="Z170" s="16">
        <f t="shared" si="32"/>
        <v>4</v>
      </c>
      <c r="AA170" s="13">
        <f t="shared" si="33"/>
        <v>5.3440000000000003</v>
      </c>
      <c r="AB170" s="14">
        <f t="shared" si="34"/>
        <v>0.21249999999999999</v>
      </c>
      <c r="AC170" t="str">
        <f t="shared" si="35"/>
        <v>Low (1-20%)</v>
      </c>
      <c r="AD170" t="str">
        <f t="shared" si="36"/>
        <v>Low (&lt;$50)</v>
      </c>
      <c r="AE170" t="str">
        <f t="shared" si="37"/>
        <v>Large (6+ units)</v>
      </c>
      <c r="AF170" t="str">
        <f t="shared" si="38"/>
        <v>Profitable</v>
      </c>
      <c r="AG170" t="str">
        <f t="shared" si="39"/>
        <v>Healthy Margin</v>
      </c>
      <c r="AH170" t="str">
        <f t="shared" si="40"/>
        <v>Repeat Customer</v>
      </c>
      <c r="AI170" t="str">
        <f t="shared" si="41"/>
        <v>Standard (3-5 days)</v>
      </c>
    </row>
    <row r="171" spans="1:35" ht="15" customHeight="1" x14ac:dyDescent="0.3">
      <c r="A171">
        <v>170</v>
      </c>
      <c r="B171" t="s">
        <v>860</v>
      </c>
      <c r="C171" s="12">
        <v>41890</v>
      </c>
      <c r="D171" s="12">
        <v>41894</v>
      </c>
      <c r="E171" t="s">
        <v>233</v>
      </c>
      <c r="F171" t="s">
        <v>861</v>
      </c>
      <c r="G171" t="s">
        <v>862</v>
      </c>
      <c r="H171" t="s">
        <v>209</v>
      </c>
      <c r="I171" t="s">
        <v>210</v>
      </c>
      <c r="J171" t="s">
        <v>863</v>
      </c>
      <c r="K171" t="s">
        <v>287</v>
      </c>
      <c r="L171">
        <v>78207</v>
      </c>
      <c r="M171" t="s">
        <v>288</v>
      </c>
      <c r="N171" t="s">
        <v>875</v>
      </c>
      <c r="O171" t="s">
        <v>229</v>
      </c>
      <c r="P171" t="s">
        <v>261</v>
      </c>
      <c r="Q171" t="s">
        <v>876</v>
      </c>
      <c r="R171" s="13">
        <v>177.98</v>
      </c>
      <c r="S171">
        <v>5</v>
      </c>
      <c r="T171" s="14">
        <v>0.8</v>
      </c>
      <c r="U171" s="13">
        <v>-453.84899999999999</v>
      </c>
      <c r="V171">
        <f t="shared" si="28"/>
        <v>2014</v>
      </c>
      <c r="W171" t="str">
        <f t="shared" si="29"/>
        <v>Sep</v>
      </c>
      <c r="X171" t="str">
        <f t="shared" si="30"/>
        <v>Q3</v>
      </c>
      <c r="Y171" t="str">
        <f t="shared" si="31"/>
        <v>Mon</v>
      </c>
      <c r="Z171" s="16">
        <f t="shared" si="32"/>
        <v>4</v>
      </c>
      <c r="AA171" s="13">
        <f t="shared" si="33"/>
        <v>35.595999999999997</v>
      </c>
      <c r="AB171" s="14">
        <f t="shared" si="34"/>
        <v>-2.5500000000000003</v>
      </c>
      <c r="AC171" t="str">
        <f t="shared" si="35"/>
        <v>High (40%+)</v>
      </c>
      <c r="AD171" t="str">
        <f t="shared" si="36"/>
        <v>Medium ($50-$200)</v>
      </c>
      <c r="AE171" t="str">
        <f t="shared" si="37"/>
        <v>Medium (3-5 units)</v>
      </c>
      <c r="AF171" t="str">
        <f t="shared" si="38"/>
        <v>Loss-Making</v>
      </c>
      <c r="AG171" t="str">
        <f t="shared" si="39"/>
        <v>Underperforming</v>
      </c>
      <c r="AH171" t="str">
        <f t="shared" si="40"/>
        <v>Repeat Customer</v>
      </c>
      <c r="AI171" t="str">
        <f t="shared" si="41"/>
        <v>Standard (3-5 days)</v>
      </c>
    </row>
    <row r="172" spans="1:35" ht="15" customHeight="1" x14ac:dyDescent="0.3">
      <c r="A172">
        <v>171</v>
      </c>
      <c r="B172" t="s">
        <v>860</v>
      </c>
      <c r="C172" s="12">
        <v>41890</v>
      </c>
      <c r="D172" s="12">
        <v>41894</v>
      </c>
      <c r="E172" t="s">
        <v>233</v>
      </c>
      <c r="F172" t="s">
        <v>861</v>
      </c>
      <c r="G172" t="s">
        <v>862</v>
      </c>
      <c r="H172" t="s">
        <v>209</v>
      </c>
      <c r="I172" t="s">
        <v>210</v>
      </c>
      <c r="J172" t="s">
        <v>863</v>
      </c>
      <c r="K172" t="s">
        <v>287</v>
      </c>
      <c r="L172">
        <v>78207</v>
      </c>
      <c r="M172" t="s">
        <v>288</v>
      </c>
      <c r="N172" t="s">
        <v>877</v>
      </c>
      <c r="O172" t="s">
        <v>254</v>
      </c>
      <c r="P172" t="s">
        <v>255</v>
      </c>
      <c r="Q172" t="s">
        <v>878</v>
      </c>
      <c r="R172" s="13">
        <v>143.976</v>
      </c>
      <c r="S172">
        <v>3</v>
      </c>
      <c r="T172" s="14">
        <v>0.2</v>
      </c>
      <c r="U172" s="13">
        <v>8.9985000000000106</v>
      </c>
      <c r="V172">
        <f t="shared" si="28"/>
        <v>2014</v>
      </c>
      <c r="W172" t="str">
        <f t="shared" si="29"/>
        <v>Sep</v>
      </c>
      <c r="X172" t="str">
        <f t="shared" si="30"/>
        <v>Q3</v>
      </c>
      <c r="Y172" t="str">
        <f t="shared" si="31"/>
        <v>Mon</v>
      </c>
      <c r="Z172" s="16">
        <f t="shared" si="32"/>
        <v>4</v>
      </c>
      <c r="AA172" s="13">
        <f t="shared" si="33"/>
        <v>47.991999999999997</v>
      </c>
      <c r="AB172" s="14">
        <f t="shared" si="34"/>
        <v>6.2500000000000069E-2</v>
      </c>
      <c r="AC172" t="str">
        <f t="shared" si="35"/>
        <v>Low (1-20%)</v>
      </c>
      <c r="AD172" t="str">
        <f t="shared" si="36"/>
        <v>Medium ($50-$200)</v>
      </c>
      <c r="AE172" t="str">
        <f t="shared" si="37"/>
        <v>Medium (3-5 units)</v>
      </c>
      <c r="AF172" t="str">
        <f t="shared" si="38"/>
        <v>Profitable</v>
      </c>
      <c r="AG172" t="str">
        <f t="shared" si="39"/>
        <v>Low Margin</v>
      </c>
      <c r="AH172" t="str">
        <f t="shared" si="40"/>
        <v>Repeat Customer</v>
      </c>
      <c r="AI172" t="str">
        <f t="shared" si="41"/>
        <v>Standard (3-5 days)</v>
      </c>
    </row>
    <row r="173" spans="1:35" ht="15" customHeight="1" x14ac:dyDescent="0.3">
      <c r="A173">
        <v>172</v>
      </c>
      <c r="B173" t="s">
        <v>879</v>
      </c>
      <c r="C173" s="12">
        <v>41856</v>
      </c>
      <c r="D173" s="12">
        <v>41860</v>
      </c>
      <c r="E173" t="s">
        <v>233</v>
      </c>
      <c r="F173" t="s">
        <v>880</v>
      </c>
      <c r="G173" t="s">
        <v>881</v>
      </c>
      <c r="H173" t="s">
        <v>209</v>
      </c>
      <c r="I173" t="s">
        <v>210</v>
      </c>
      <c r="J173" t="s">
        <v>225</v>
      </c>
      <c r="K173" t="s">
        <v>226</v>
      </c>
      <c r="L173">
        <v>90004</v>
      </c>
      <c r="M173" t="s">
        <v>227</v>
      </c>
      <c r="N173" t="s">
        <v>882</v>
      </c>
      <c r="O173" t="s">
        <v>229</v>
      </c>
      <c r="P173" t="s">
        <v>273</v>
      </c>
      <c r="Q173" t="s">
        <v>883</v>
      </c>
      <c r="R173" s="13">
        <v>20.94</v>
      </c>
      <c r="S173">
        <v>3</v>
      </c>
      <c r="T173" s="14">
        <v>0</v>
      </c>
      <c r="U173" s="13">
        <v>9.8417999999999992</v>
      </c>
      <c r="V173">
        <f t="shared" si="28"/>
        <v>2014</v>
      </c>
      <c r="W173" t="str">
        <f t="shared" si="29"/>
        <v>Aug</v>
      </c>
      <c r="X173" t="str">
        <f t="shared" si="30"/>
        <v>Q3</v>
      </c>
      <c r="Y173" t="str">
        <f t="shared" si="31"/>
        <v>Tue</v>
      </c>
      <c r="Z173" s="16">
        <f t="shared" si="32"/>
        <v>4</v>
      </c>
      <c r="AA173" s="13">
        <f t="shared" si="33"/>
        <v>6.98</v>
      </c>
      <c r="AB173" s="14">
        <f t="shared" si="34"/>
        <v>0.46999999999999992</v>
      </c>
      <c r="AC173" t="str">
        <f t="shared" si="35"/>
        <v>No Discount</v>
      </c>
      <c r="AD173" t="str">
        <f t="shared" si="36"/>
        <v>Low (&lt;$50)</v>
      </c>
      <c r="AE173" t="str">
        <f t="shared" si="37"/>
        <v>Medium (3-5 units)</v>
      </c>
      <c r="AF173" t="str">
        <f t="shared" si="38"/>
        <v>Profitable</v>
      </c>
      <c r="AG173" t="str">
        <f t="shared" si="39"/>
        <v>High Margin</v>
      </c>
      <c r="AH173" t="str">
        <f t="shared" si="40"/>
        <v>Repeat Customer</v>
      </c>
      <c r="AI173" t="str">
        <f t="shared" si="41"/>
        <v>Standard (3-5 days)</v>
      </c>
    </row>
    <row r="174" spans="1:35" ht="15" customHeight="1" x14ac:dyDescent="0.3">
      <c r="A174">
        <v>173</v>
      </c>
      <c r="B174" t="s">
        <v>879</v>
      </c>
      <c r="C174" s="12">
        <v>41856</v>
      </c>
      <c r="D174" s="12">
        <v>41860</v>
      </c>
      <c r="E174" t="s">
        <v>233</v>
      </c>
      <c r="F174" t="s">
        <v>880</v>
      </c>
      <c r="G174" t="s">
        <v>881</v>
      </c>
      <c r="H174" t="s">
        <v>209</v>
      </c>
      <c r="I174" t="s">
        <v>210</v>
      </c>
      <c r="J174" t="s">
        <v>225</v>
      </c>
      <c r="K174" t="s">
        <v>226</v>
      </c>
      <c r="L174">
        <v>90004</v>
      </c>
      <c r="M174" t="s">
        <v>227</v>
      </c>
      <c r="N174" t="s">
        <v>884</v>
      </c>
      <c r="O174" t="s">
        <v>229</v>
      </c>
      <c r="P174" t="s">
        <v>273</v>
      </c>
      <c r="Q174" t="s">
        <v>885</v>
      </c>
      <c r="R174" s="13">
        <v>110.96</v>
      </c>
      <c r="S174">
        <v>2</v>
      </c>
      <c r="T174" s="14">
        <v>0</v>
      </c>
      <c r="U174" s="13">
        <v>53.260800000000003</v>
      </c>
      <c r="V174">
        <f t="shared" si="28"/>
        <v>2014</v>
      </c>
      <c r="W174" t="str">
        <f t="shared" si="29"/>
        <v>Aug</v>
      </c>
      <c r="X174" t="str">
        <f t="shared" si="30"/>
        <v>Q3</v>
      </c>
      <c r="Y174" t="str">
        <f t="shared" si="31"/>
        <v>Tue</v>
      </c>
      <c r="Z174" s="16">
        <f t="shared" si="32"/>
        <v>4</v>
      </c>
      <c r="AA174" s="13">
        <f t="shared" si="33"/>
        <v>55.48</v>
      </c>
      <c r="AB174" s="14">
        <f t="shared" si="34"/>
        <v>0.48000000000000004</v>
      </c>
      <c r="AC174" t="str">
        <f t="shared" si="35"/>
        <v>No Discount</v>
      </c>
      <c r="AD174" t="str">
        <f t="shared" si="36"/>
        <v>Medium ($50-$200)</v>
      </c>
      <c r="AE174" t="str">
        <f t="shared" si="37"/>
        <v>Small (1-2 units)</v>
      </c>
      <c r="AF174" t="str">
        <f t="shared" si="38"/>
        <v>Profitable</v>
      </c>
      <c r="AG174" t="str">
        <f t="shared" si="39"/>
        <v>High Margin</v>
      </c>
      <c r="AH174" t="str">
        <f t="shared" si="40"/>
        <v>Repeat Customer</v>
      </c>
      <c r="AI174" t="str">
        <f t="shared" si="41"/>
        <v>Standard (3-5 days)</v>
      </c>
    </row>
    <row r="175" spans="1:35" ht="15" customHeight="1" x14ac:dyDescent="0.3">
      <c r="A175">
        <v>174</v>
      </c>
      <c r="B175" t="s">
        <v>879</v>
      </c>
      <c r="C175" s="12">
        <v>41856</v>
      </c>
      <c r="D175" s="12">
        <v>41860</v>
      </c>
      <c r="E175" t="s">
        <v>233</v>
      </c>
      <c r="F175" t="s">
        <v>880</v>
      </c>
      <c r="G175" t="s">
        <v>881</v>
      </c>
      <c r="H175" t="s">
        <v>209</v>
      </c>
      <c r="I175" t="s">
        <v>210</v>
      </c>
      <c r="J175" t="s">
        <v>225</v>
      </c>
      <c r="K175" t="s">
        <v>226</v>
      </c>
      <c r="L175">
        <v>90004</v>
      </c>
      <c r="M175" t="s">
        <v>227</v>
      </c>
      <c r="N175" t="s">
        <v>886</v>
      </c>
      <c r="O175" t="s">
        <v>215</v>
      </c>
      <c r="P175" t="s">
        <v>219</v>
      </c>
      <c r="Q175" t="s">
        <v>887</v>
      </c>
      <c r="R175" s="13">
        <v>340.14400000000001</v>
      </c>
      <c r="S175">
        <v>7</v>
      </c>
      <c r="T175" s="14">
        <v>0.2</v>
      </c>
      <c r="U175" s="13">
        <v>21.259</v>
      </c>
      <c r="V175">
        <f t="shared" si="28"/>
        <v>2014</v>
      </c>
      <c r="W175" t="str">
        <f t="shared" si="29"/>
        <v>Aug</v>
      </c>
      <c r="X175" t="str">
        <f t="shared" si="30"/>
        <v>Q3</v>
      </c>
      <c r="Y175" t="str">
        <f t="shared" si="31"/>
        <v>Tue</v>
      </c>
      <c r="Z175" s="16">
        <f t="shared" si="32"/>
        <v>4</v>
      </c>
      <c r="AA175" s="13">
        <f t="shared" si="33"/>
        <v>48.591999999999999</v>
      </c>
      <c r="AB175" s="14">
        <f t="shared" si="34"/>
        <v>6.25E-2</v>
      </c>
      <c r="AC175" t="str">
        <f t="shared" si="35"/>
        <v>Low (1-20%)</v>
      </c>
      <c r="AD175" t="str">
        <f t="shared" si="36"/>
        <v>High ($200-$500)</v>
      </c>
      <c r="AE175" t="str">
        <f t="shared" si="37"/>
        <v>Large (6+ units)</v>
      </c>
      <c r="AF175" t="str">
        <f t="shared" si="38"/>
        <v>Profitable</v>
      </c>
      <c r="AG175" t="str">
        <f t="shared" si="39"/>
        <v>Low Margin</v>
      </c>
      <c r="AH175" t="str">
        <f t="shared" si="40"/>
        <v>Repeat Customer</v>
      </c>
      <c r="AI175" t="str">
        <f t="shared" si="41"/>
        <v>Standard (3-5 days)</v>
      </c>
    </row>
    <row r="176" spans="1:35" ht="15" customHeight="1" x14ac:dyDescent="0.3">
      <c r="A176">
        <v>175</v>
      </c>
      <c r="B176" t="s">
        <v>888</v>
      </c>
      <c r="C176" s="12">
        <v>41896</v>
      </c>
      <c r="D176" s="12">
        <v>41901</v>
      </c>
      <c r="E176" t="s">
        <v>233</v>
      </c>
      <c r="F176" t="s">
        <v>889</v>
      </c>
      <c r="G176" t="s">
        <v>890</v>
      </c>
      <c r="H176" t="s">
        <v>224</v>
      </c>
      <c r="I176" t="s">
        <v>210</v>
      </c>
      <c r="J176" t="s">
        <v>486</v>
      </c>
      <c r="K176" t="s">
        <v>394</v>
      </c>
      <c r="L176">
        <v>60623</v>
      </c>
      <c r="M176" t="s">
        <v>288</v>
      </c>
      <c r="N176" t="s">
        <v>891</v>
      </c>
      <c r="O176" t="s">
        <v>229</v>
      </c>
      <c r="P176" t="s">
        <v>261</v>
      </c>
      <c r="Q176" t="s">
        <v>892</v>
      </c>
      <c r="R176" s="13">
        <v>52.448</v>
      </c>
      <c r="S176">
        <v>2</v>
      </c>
      <c r="T176" s="14">
        <v>0.8</v>
      </c>
      <c r="U176" s="13">
        <v>-131.12</v>
      </c>
      <c r="V176">
        <f t="shared" si="28"/>
        <v>2014</v>
      </c>
      <c r="W176" t="str">
        <f t="shared" si="29"/>
        <v>Sep</v>
      </c>
      <c r="X176" t="str">
        <f t="shared" si="30"/>
        <v>Q3</v>
      </c>
      <c r="Y176" t="str">
        <f t="shared" si="31"/>
        <v>Sun</v>
      </c>
      <c r="Z176" s="16">
        <f t="shared" si="32"/>
        <v>5</v>
      </c>
      <c r="AA176" s="13">
        <f t="shared" si="33"/>
        <v>26.224</v>
      </c>
      <c r="AB176" s="14">
        <f t="shared" si="34"/>
        <v>-2.5</v>
      </c>
      <c r="AC176" t="str">
        <f t="shared" si="35"/>
        <v>High (40%+)</v>
      </c>
      <c r="AD176" t="str">
        <f t="shared" si="36"/>
        <v>Medium ($50-$200)</v>
      </c>
      <c r="AE176" t="str">
        <f t="shared" si="37"/>
        <v>Small (1-2 units)</v>
      </c>
      <c r="AF176" t="str">
        <f t="shared" si="38"/>
        <v>Loss-Making</v>
      </c>
      <c r="AG176" t="str">
        <f t="shared" si="39"/>
        <v>Underperforming</v>
      </c>
      <c r="AH176" t="str">
        <f t="shared" si="40"/>
        <v>Repeat Customer</v>
      </c>
      <c r="AI176" t="str">
        <f t="shared" si="41"/>
        <v>Standard (3-5 days)</v>
      </c>
    </row>
    <row r="177" spans="1:35" ht="15" customHeight="1" x14ac:dyDescent="0.3">
      <c r="A177">
        <v>176</v>
      </c>
      <c r="B177" t="s">
        <v>888</v>
      </c>
      <c r="C177" s="12">
        <v>41896</v>
      </c>
      <c r="D177" s="12">
        <v>41901</v>
      </c>
      <c r="E177" t="s">
        <v>233</v>
      </c>
      <c r="F177" t="s">
        <v>889</v>
      </c>
      <c r="G177" t="s">
        <v>890</v>
      </c>
      <c r="H177" t="s">
        <v>224</v>
      </c>
      <c r="I177" t="s">
        <v>210</v>
      </c>
      <c r="J177" t="s">
        <v>486</v>
      </c>
      <c r="K177" t="s">
        <v>394</v>
      </c>
      <c r="L177">
        <v>60623</v>
      </c>
      <c r="M177" t="s">
        <v>288</v>
      </c>
      <c r="N177" t="s">
        <v>893</v>
      </c>
      <c r="O177" t="s">
        <v>229</v>
      </c>
      <c r="P177" t="s">
        <v>230</v>
      </c>
      <c r="Q177" t="s">
        <v>894</v>
      </c>
      <c r="R177" s="13">
        <v>20.16</v>
      </c>
      <c r="S177">
        <v>4</v>
      </c>
      <c r="T177" s="14">
        <v>0.2</v>
      </c>
      <c r="U177" s="13">
        <v>6.5519999999999996</v>
      </c>
      <c r="V177">
        <f t="shared" si="28"/>
        <v>2014</v>
      </c>
      <c r="W177" t="str">
        <f t="shared" si="29"/>
        <v>Sep</v>
      </c>
      <c r="X177" t="str">
        <f t="shared" si="30"/>
        <v>Q3</v>
      </c>
      <c r="Y177" t="str">
        <f t="shared" si="31"/>
        <v>Sun</v>
      </c>
      <c r="Z177" s="16">
        <f t="shared" si="32"/>
        <v>5</v>
      </c>
      <c r="AA177" s="13">
        <f t="shared" si="33"/>
        <v>5.04</v>
      </c>
      <c r="AB177" s="14">
        <f t="shared" si="34"/>
        <v>0.32499999999999996</v>
      </c>
      <c r="AC177" t="str">
        <f t="shared" si="35"/>
        <v>Low (1-20%)</v>
      </c>
      <c r="AD177" t="str">
        <f t="shared" si="36"/>
        <v>Low (&lt;$50)</v>
      </c>
      <c r="AE177" t="str">
        <f t="shared" si="37"/>
        <v>Medium (3-5 units)</v>
      </c>
      <c r="AF177" t="str">
        <f t="shared" si="38"/>
        <v>Profitable</v>
      </c>
      <c r="AG177" t="str">
        <f t="shared" si="39"/>
        <v>High Margin</v>
      </c>
      <c r="AH177" t="str">
        <f t="shared" si="40"/>
        <v>Repeat Customer</v>
      </c>
      <c r="AI177" t="str">
        <f t="shared" si="41"/>
        <v>Standard (3-5 days)</v>
      </c>
    </row>
    <row r="178" spans="1:35" ht="15" customHeight="1" x14ac:dyDescent="0.3">
      <c r="A178">
        <v>177</v>
      </c>
      <c r="B178" t="s">
        <v>895</v>
      </c>
      <c r="C178" s="12">
        <v>42846</v>
      </c>
      <c r="D178" s="12">
        <v>42850</v>
      </c>
      <c r="E178" t="s">
        <v>206</v>
      </c>
      <c r="F178" t="s">
        <v>896</v>
      </c>
      <c r="G178" t="s">
        <v>897</v>
      </c>
      <c r="H178" t="s">
        <v>209</v>
      </c>
      <c r="I178" t="s">
        <v>210</v>
      </c>
      <c r="J178" t="s">
        <v>367</v>
      </c>
      <c r="K178" t="s">
        <v>287</v>
      </c>
      <c r="L178">
        <v>77036</v>
      </c>
      <c r="M178" t="s">
        <v>288</v>
      </c>
      <c r="N178" t="s">
        <v>898</v>
      </c>
      <c r="O178" t="s">
        <v>229</v>
      </c>
      <c r="P178" t="s">
        <v>261</v>
      </c>
      <c r="Q178" t="s">
        <v>899</v>
      </c>
      <c r="R178" s="13">
        <v>97.263999999999996</v>
      </c>
      <c r="S178">
        <v>4</v>
      </c>
      <c r="T178" s="14">
        <v>0.8</v>
      </c>
      <c r="U178" s="13">
        <v>-243.16</v>
      </c>
      <c r="V178">
        <f t="shared" si="28"/>
        <v>2017</v>
      </c>
      <c r="W178" t="str">
        <f t="shared" si="29"/>
        <v>Apr</v>
      </c>
      <c r="X178" t="str">
        <f t="shared" si="30"/>
        <v>Q2</v>
      </c>
      <c r="Y178" t="str">
        <f t="shared" si="31"/>
        <v>Fri</v>
      </c>
      <c r="Z178" s="16">
        <f t="shared" si="32"/>
        <v>4</v>
      </c>
      <c r="AA178" s="13">
        <f t="shared" si="33"/>
        <v>24.315999999999999</v>
      </c>
      <c r="AB178" s="14">
        <f t="shared" si="34"/>
        <v>-2.5</v>
      </c>
      <c r="AC178" t="str">
        <f t="shared" si="35"/>
        <v>High (40%+)</v>
      </c>
      <c r="AD178" t="str">
        <f t="shared" si="36"/>
        <v>Medium ($50-$200)</v>
      </c>
      <c r="AE178" t="str">
        <f t="shared" si="37"/>
        <v>Medium (3-5 units)</v>
      </c>
      <c r="AF178" t="str">
        <f t="shared" si="38"/>
        <v>Loss-Making</v>
      </c>
      <c r="AG178" t="str">
        <f t="shared" si="39"/>
        <v>Underperforming</v>
      </c>
      <c r="AH178" t="str">
        <f t="shared" si="40"/>
        <v>Single Purchase</v>
      </c>
      <c r="AI178" t="str">
        <f t="shared" si="41"/>
        <v>Standard (3-5 days)</v>
      </c>
    </row>
    <row r="179" spans="1:35" ht="15" customHeight="1" x14ac:dyDescent="0.3">
      <c r="A179">
        <v>178</v>
      </c>
      <c r="B179" t="s">
        <v>900</v>
      </c>
      <c r="C179" s="12">
        <v>42329</v>
      </c>
      <c r="D179" s="12">
        <v>42331</v>
      </c>
      <c r="E179" t="s">
        <v>206</v>
      </c>
      <c r="F179" t="s">
        <v>515</v>
      </c>
      <c r="G179" t="s">
        <v>516</v>
      </c>
      <c r="H179" t="s">
        <v>209</v>
      </c>
      <c r="I179" t="s">
        <v>210</v>
      </c>
      <c r="J179" t="s">
        <v>790</v>
      </c>
      <c r="K179" t="s">
        <v>681</v>
      </c>
      <c r="L179">
        <v>43055</v>
      </c>
      <c r="M179" t="s">
        <v>331</v>
      </c>
      <c r="N179" t="s">
        <v>901</v>
      </c>
      <c r="O179" t="s">
        <v>215</v>
      </c>
      <c r="P179" t="s">
        <v>219</v>
      </c>
      <c r="Q179" t="s">
        <v>902</v>
      </c>
      <c r="R179" s="13">
        <v>396.80200000000002</v>
      </c>
      <c r="S179">
        <v>7</v>
      </c>
      <c r="T179" s="14">
        <v>0.3</v>
      </c>
      <c r="U179" s="13">
        <v>-11.3371999999999</v>
      </c>
      <c r="V179">
        <f t="shared" si="28"/>
        <v>2015</v>
      </c>
      <c r="W179" t="str">
        <f t="shared" si="29"/>
        <v>Nov</v>
      </c>
      <c r="X179" t="str">
        <f t="shared" si="30"/>
        <v>Q4</v>
      </c>
      <c r="Y179" t="str">
        <f t="shared" si="31"/>
        <v>Sat</v>
      </c>
      <c r="Z179" s="16">
        <f t="shared" si="32"/>
        <v>2</v>
      </c>
      <c r="AA179" s="13">
        <f t="shared" si="33"/>
        <v>56.686</v>
      </c>
      <c r="AB179" s="14">
        <f t="shared" si="34"/>
        <v>-2.8571428571428317E-2</v>
      </c>
      <c r="AC179" t="str">
        <f t="shared" si="35"/>
        <v>Medium (21-40%)</v>
      </c>
      <c r="AD179" t="str">
        <f t="shared" si="36"/>
        <v>High ($200-$500)</v>
      </c>
      <c r="AE179" t="str">
        <f t="shared" si="37"/>
        <v>Large (6+ units)</v>
      </c>
      <c r="AF179" t="str">
        <f t="shared" si="38"/>
        <v>Loss-Making</v>
      </c>
      <c r="AG179" t="str">
        <f t="shared" si="39"/>
        <v>Underperforming</v>
      </c>
      <c r="AH179" t="str">
        <f t="shared" si="40"/>
        <v>Repeat Customer</v>
      </c>
      <c r="AI179" t="str">
        <f t="shared" si="41"/>
        <v>Fast (&lt;=2 days)</v>
      </c>
    </row>
    <row r="180" spans="1:35" ht="15" customHeight="1" x14ac:dyDescent="0.3">
      <c r="A180">
        <v>179</v>
      </c>
      <c r="B180" t="s">
        <v>900</v>
      </c>
      <c r="C180" s="12">
        <v>42329</v>
      </c>
      <c r="D180" s="12">
        <v>42331</v>
      </c>
      <c r="E180" t="s">
        <v>206</v>
      </c>
      <c r="F180" t="s">
        <v>515</v>
      </c>
      <c r="G180" t="s">
        <v>516</v>
      </c>
      <c r="H180" t="s">
        <v>209</v>
      </c>
      <c r="I180" t="s">
        <v>210</v>
      </c>
      <c r="J180" t="s">
        <v>790</v>
      </c>
      <c r="K180" t="s">
        <v>681</v>
      </c>
      <c r="L180">
        <v>43055</v>
      </c>
      <c r="M180" t="s">
        <v>331</v>
      </c>
      <c r="N180" t="s">
        <v>903</v>
      </c>
      <c r="O180" t="s">
        <v>229</v>
      </c>
      <c r="P180" t="s">
        <v>762</v>
      </c>
      <c r="Q180" t="s">
        <v>904</v>
      </c>
      <c r="R180" s="13">
        <v>15.88</v>
      </c>
      <c r="S180">
        <v>5</v>
      </c>
      <c r="T180" s="14">
        <v>0.2</v>
      </c>
      <c r="U180" s="13">
        <v>-3.7715000000000001</v>
      </c>
      <c r="V180">
        <f t="shared" si="28"/>
        <v>2015</v>
      </c>
      <c r="W180" t="str">
        <f t="shared" si="29"/>
        <v>Nov</v>
      </c>
      <c r="X180" t="str">
        <f t="shared" si="30"/>
        <v>Q4</v>
      </c>
      <c r="Y180" t="str">
        <f t="shared" si="31"/>
        <v>Sat</v>
      </c>
      <c r="Z180" s="16">
        <f t="shared" si="32"/>
        <v>2</v>
      </c>
      <c r="AA180" s="13">
        <f t="shared" si="33"/>
        <v>3.1760000000000002</v>
      </c>
      <c r="AB180" s="14">
        <f t="shared" si="34"/>
        <v>-0.23749999999999999</v>
      </c>
      <c r="AC180" t="str">
        <f t="shared" si="35"/>
        <v>Low (1-20%)</v>
      </c>
      <c r="AD180" t="str">
        <f t="shared" si="36"/>
        <v>Low (&lt;$50)</v>
      </c>
      <c r="AE180" t="str">
        <f t="shared" si="37"/>
        <v>Medium (3-5 units)</v>
      </c>
      <c r="AF180" t="str">
        <f t="shared" si="38"/>
        <v>Loss-Making</v>
      </c>
      <c r="AG180" t="str">
        <f t="shared" si="39"/>
        <v>Underperforming</v>
      </c>
      <c r="AH180" t="str">
        <f t="shared" si="40"/>
        <v>Repeat Customer</v>
      </c>
      <c r="AI180" t="str">
        <f t="shared" si="41"/>
        <v>Fast (&lt;=2 days)</v>
      </c>
    </row>
    <row r="181" spans="1:35" ht="15" customHeight="1" x14ac:dyDescent="0.3">
      <c r="A181">
        <v>180</v>
      </c>
      <c r="B181" t="s">
        <v>905</v>
      </c>
      <c r="C181" s="12">
        <v>42353</v>
      </c>
      <c r="D181" s="12">
        <v>42357</v>
      </c>
      <c r="E181" t="s">
        <v>233</v>
      </c>
      <c r="F181" t="s">
        <v>906</v>
      </c>
      <c r="G181" t="s">
        <v>907</v>
      </c>
      <c r="H181" t="s">
        <v>285</v>
      </c>
      <c r="I181" t="s">
        <v>210</v>
      </c>
      <c r="J181" t="s">
        <v>449</v>
      </c>
      <c r="K181" t="s">
        <v>450</v>
      </c>
      <c r="L181">
        <v>10009</v>
      </c>
      <c r="M181" t="s">
        <v>331</v>
      </c>
      <c r="N181" t="s">
        <v>908</v>
      </c>
      <c r="O181" t="s">
        <v>229</v>
      </c>
      <c r="P181" t="s">
        <v>251</v>
      </c>
      <c r="Q181" t="s">
        <v>909</v>
      </c>
      <c r="R181" s="13">
        <v>3.28</v>
      </c>
      <c r="S181">
        <v>1</v>
      </c>
      <c r="T181" s="14">
        <v>0</v>
      </c>
      <c r="U181" s="13">
        <v>1.4104000000000001</v>
      </c>
      <c r="V181">
        <f t="shared" si="28"/>
        <v>2015</v>
      </c>
      <c r="W181" t="str">
        <f t="shared" si="29"/>
        <v>Dec</v>
      </c>
      <c r="X181" t="str">
        <f t="shared" si="30"/>
        <v>Q4</v>
      </c>
      <c r="Y181" t="str">
        <f t="shared" si="31"/>
        <v>Tue</v>
      </c>
      <c r="Z181" s="16">
        <f t="shared" si="32"/>
        <v>4</v>
      </c>
      <c r="AA181" s="13">
        <f t="shared" si="33"/>
        <v>3.28</v>
      </c>
      <c r="AB181" s="14">
        <f t="shared" si="34"/>
        <v>0.43000000000000005</v>
      </c>
      <c r="AC181" t="str">
        <f t="shared" si="35"/>
        <v>No Discount</v>
      </c>
      <c r="AD181" t="str">
        <f t="shared" si="36"/>
        <v>Low (&lt;$50)</v>
      </c>
      <c r="AE181" t="str">
        <f t="shared" si="37"/>
        <v>Small (1-2 units)</v>
      </c>
      <c r="AF181" t="str">
        <f t="shared" si="38"/>
        <v>Profitable</v>
      </c>
      <c r="AG181" t="str">
        <f t="shared" si="39"/>
        <v>High Margin</v>
      </c>
      <c r="AH181" t="str">
        <f t="shared" si="40"/>
        <v>Single Purchase</v>
      </c>
      <c r="AI181" t="str">
        <f t="shared" si="41"/>
        <v>Standard (3-5 days)</v>
      </c>
    </row>
    <row r="182" spans="1:35" ht="15" customHeight="1" x14ac:dyDescent="0.3">
      <c r="A182">
        <v>181</v>
      </c>
      <c r="B182" t="s">
        <v>910</v>
      </c>
      <c r="C182" s="12">
        <v>41978</v>
      </c>
      <c r="D182" s="12">
        <v>41982</v>
      </c>
      <c r="E182" t="s">
        <v>206</v>
      </c>
      <c r="F182" t="s">
        <v>911</v>
      </c>
      <c r="G182" t="s">
        <v>912</v>
      </c>
      <c r="H182" t="s">
        <v>224</v>
      </c>
      <c r="I182" t="s">
        <v>210</v>
      </c>
      <c r="J182" t="s">
        <v>540</v>
      </c>
      <c r="K182" t="s">
        <v>394</v>
      </c>
      <c r="L182">
        <v>62521</v>
      </c>
      <c r="M182" t="s">
        <v>288</v>
      </c>
      <c r="N182" t="s">
        <v>913</v>
      </c>
      <c r="O182" t="s">
        <v>229</v>
      </c>
      <c r="P182" t="s">
        <v>242</v>
      </c>
      <c r="Q182" t="s">
        <v>914</v>
      </c>
      <c r="R182" s="13">
        <v>24.815999999999999</v>
      </c>
      <c r="S182">
        <v>2</v>
      </c>
      <c r="T182" s="14">
        <v>0.2</v>
      </c>
      <c r="U182" s="13">
        <v>1.8612</v>
      </c>
      <c r="V182">
        <f t="shared" si="28"/>
        <v>2014</v>
      </c>
      <c r="W182" t="str">
        <f t="shared" si="29"/>
        <v>Dec</v>
      </c>
      <c r="X182" t="str">
        <f t="shared" si="30"/>
        <v>Q4</v>
      </c>
      <c r="Y182" t="str">
        <f t="shared" si="31"/>
        <v>Fri</v>
      </c>
      <c r="Z182" s="16">
        <f t="shared" si="32"/>
        <v>4</v>
      </c>
      <c r="AA182" s="13">
        <f t="shared" si="33"/>
        <v>12.407999999999999</v>
      </c>
      <c r="AB182" s="14">
        <f t="shared" si="34"/>
        <v>7.4999999999999997E-2</v>
      </c>
      <c r="AC182" t="str">
        <f t="shared" si="35"/>
        <v>Low (1-20%)</v>
      </c>
      <c r="AD182" t="str">
        <f t="shared" si="36"/>
        <v>Low (&lt;$50)</v>
      </c>
      <c r="AE182" t="str">
        <f t="shared" si="37"/>
        <v>Small (1-2 units)</v>
      </c>
      <c r="AF182" t="str">
        <f t="shared" si="38"/>
        <v>Profitable</v>
      </c>
      <c r="AG182" t="str">
        <f t="shared" si="39"/>
        <v>Low Margin</v>
      </c>
      <c r="AH182" t="str">
        <f t="shared" si="40"/>
        <v>Repeat Customer</v>
      </c>
      <c r="AI182" t="str">
        <f t="shared" si="41"/>
        <v>Standard (3-5 days)</v>
      </c>
    </row>
    <row r="183" spans="1:35" ht="15" customHeight="1" x14ac:dyDescent="0.3">
      <c r="A183">
        <v>182</v>
      </c>
      <c r="B183" t="s">
        <v>910</v>
      </c>
      <c r="C183" s="12">
        <v>41978</v>
      </c>
      <c r="D183" s="12">
        <v>41982</v>
      </c>
      <c r="E183" t="s">
        <v>206</v>
      </c>
      <c r="F183" t="s">
        <v>911</v>
      </c>
      <c r="G183" t="s">
        <v>912</v>
      </c>
      <c r="H183" t="s">
        <v>224</v>
      </c>
      <c r="I183" t="s">
        <v>210</v>
      </c>
      <c r="J183" t="s">
        <v>540</v>
      </c>
      <c r="K183" t="s">
        <v>394</v>
      </c>
      <c r="L183">
        <v>62521</v>
      </c>
      <c r="M183" t="s">
        <v>288</v>
      </c>
      <c r="N183" t="s">
        <v>915</v>
      </c>
      <c r="O183" t="s">
        <v>254</v>
      </c>
      <c r="P183" t="s">
        <v>344</v>
      </c>
      <c r="Q183" t="s">
        <v>916</v>
      </c>
      <c r="R183" s="13">
        <v>408.74400000000003</v>
      </c>
      <c r="S183">
        <v>7</v>
      </c>
      <c r="T183" s="14">
        <v>0.2</v>
      </c>
      <c r="U183" s="13">
        <v>76.639499999999998</v>
      </c>
      <c r="V183">
        <f t="shared" si="28"/>
        <v>2014</v>
      </c>
      <c r="W183" t="str">
        <f t="shared" si="29"/>
        <v>Dec</v>
      </c>
      <c r="X183" t="str">
        <f t="shared" si="30"/>
        <v>Q4</v>
      </c>
      <c r="Y183" t="str">
        <f t="shared" si="31"/>
        <v>Fri</v>
      </c>
      <c r="Z183" s="16">
        <f t="shared" si="32"/>
        <v>4</v>
      </c>
      <c r="AA183" s="13">
        <f t="shared" si="33"/>
        <v>58.392000000000003</v>
      </c>
      <c r="AB183" s="14">
        <f t="shared" si="34"/>
        <v>0.18749999999999997</v>
      </c>
      <c r="AC183" t="str">
        <f t="shared" si="35"/>
        <v>Low (1-20%)</v>
      </c>
      <c r="AD183" t="str">
        <f t="shared" si="36"/>
        <v>High ($200-$500)</v>
      </c>
      <c r="AE183" t="str">
        <f t="shared" si="37"/>
        <v>Large (6+ units)</v>
      </c>
      <c r="AF183" t="str">
        <f t="shared" si="38"/>
        <v>Profitable</v>
      </c>
      <c r="AG183" t="str">
        <f t="shared" si="39"/>
        <v>Healthy Margin</v>
      </c>
      <c r="AH183" t="str">
        <f t="shared" si="40"/>
        <v>Repeat Customer</v>
      </c>
      <c r="AI183" t="str">
        <f t="shared" si="41"/>
        <v>Standard (3-5 days)</v>
      </c>
    </row>
    <row r="184" spans="1:35" ht="15" customHeight="1" x14ac:dyDescent="0.3">
      <c r="A184">
        <v>183</v>
      </c>
      <c r="B184" t="s">
        <v>917</v>
      </c>
      <c r="C184" s="12">
        <v>41962</v>
      </c>
      <c r="D184" s="12">
        <v>41967</v>
      </c>
      <c r="E184" t="s">
        <v>206</v>
      </c>
      <c r="F184" t="s">
        <v>918</v>
      </c>
      <c r="G184" t="s">
        <v>919</v>
      </c>
      <c r="H184" t="s">
        <v>285</v>
      </c>
      <c r="I184" t="s">
        <v>210</v>
      </c>
      <c r="J184" t="s">
        <v>920</v>
      </c>
      <c r="K184" t="s">
        <v>921</v>
      </c>
      <c r="L184">
        <v>71203</v>
      </c>
      <c r="M184" t="s">
        <v>213</v>
      </c>
      <c r="N184" t="s">
        <v>922</v>
      </c>
      <c r="O184" t="s">
        <v>254</v>
      </c>
      <c r="P184" t="s">
        <v>255</v>
      </c>
      <c r="Q184" t="s">
        <v>923</v>
      </c>
      <c r="R184" s="13">
        <v>503.96</v>
      </c>
      <c r="S184">
        <v>4</v>
      </c>
      <c r="T184" s="14">
        <v>0</v>
      </c>
      <c r="U184" s="13">
        <v>131.02959999999999</v>
      </c>
      <c r="V184">
        <f t="shared" si="28"/>
        <v>2014</v>
      </c>
      <c r="W184" t="str">
        <f t="shared" si="29"/>
        <v>Nov</v>
      </c>
      <c r="X184" t="str">
        <f t="shared" si="30"/>
        <v>Q4</v>
      </c>
      <c r="Y184" t="str">
        <f t="shared" si="31"/>
        <v>Wed</v>
      </c>
      <c r="Z184" s="16">
        <f t="shared" si="32"/>
        <v>5</v>
      </c>
      <c r="AA184" s="13">
        <f t="shared" si="33"/>
        <v>125.99</v>
      </c>
      <c r="AB184" s="14">
        <f t="shared" si="34"/>
        <v>0.26</v>
      </c>
      <c r="AC184" t="str">
        <f t="shared" si="35"/>
        <v>No Discount</v>
      </c>
      <c r="AD184" t="str">
        <f t="shared" si="36"/>
        <v>Premium ($500+)</v>
      </c>
      <c r="AE184" t="str">
        <f t="shared" si="37"/>
        <v>Medium (3-5 units)</v>
      </c>
      <c r="AF184" t="str">
        <f t="shared" si="38"/>
        <v>Profitable</v>
      </c>
      <c r="AG184" t="str">
        <f t="shared" si="39"/>
        <v>High Margin</v>
      </c>
      <c r="AH184" t="str">
        <f t="shared" si="40"/>
        <v>Repeat Customer</v>
      </c>
      <c r="AI184" t="str">
        <f t="shared" si="41"/>
        <v>Standard (3-5 days)</v>
      </c>
    </row>
    <row r="185" spans="1:35" ht="15" customHeight="1" x14ac:dyDescent="0.3">
      <c r="A185">
        <v>184</v>
      </c>
      <c r="B185" t="s">
        <v>917</v>
      </c>
      <c r="C185" s="12">
        <v>41962</v>
      </c>
      <c r="D185" s="12">
        <v>41967</v>
      </c>
      <c r="E185" t="s">
        <v>206</v>
      </c>
      <c r="F185" t="s">
        <v>918</v>
      </c>
      <c r="G185" t="s">
        <v>919</v>
      </c>
      <c r="H185" t="s">
        <v>285</v>
      </c>
      <c r="I185" t="s">
        <v>210</v>
      </c>
      <c r="J185" t="s">
        <v>920</v>
      </c>
      <c r="K185" t="s">
        <v>921</v>
      </c>
      <c r="L185">
        <v>71203</v>
      </c>
      <c r="M185" t="s">
        <v>213</v>
      </c>
      <c r="N185" t="s">
        <v>924</v>
      </c>
      <c r="O185" t="s">
        <v>254</v>
      </c>
      <c r="P185" t="s">
        <v>255</v>
      </c>
      <c r="Q185" t="s">
        <v>925</v>
      </c>
      <c r="R185" s="13">
        <v>149.94999999999999</v>
      </c>
      <c r="S185">
        <v>5</v>
      </c>
      <c r="T185" s="14">
        <v>0</v>
      </c>
      <c r="U185" s="13">
        <v>41.985999999999997</v>
      </c>
      <c r="V185">
        <f t="shared" si="28"/>
        <v>2014</v>
      </c>
      <c r="W185" t="str">
        <f t="shared" si="29"/>
        <v>Nov</v>
      </c>
      <c r="X185" t="str">
        <f t="shared" si="30"/>
        <v>Q4</v>
      </c>
      <c r="Y185" t="str">
        <f t="shared" si="31"/>
        <v>Wed</v>
      </c>
      <c r="Z185" s="16">
        <f t="shared" si="32"/>
        <v>5</v>
      </c>
      <c r="AA185" s="13">
        <f t="shared" si="33"/>
        <v>29.99</v>
      </c>
      <c r="AB185" s="14">
        <f t="shared" si="34"/>
        <v>0.28000000000000003</v>
      </c>
      <c r="AC185" t="str">
        <f t="shared" si="35"/>
        <v>No Discount</v>
      </c>
      <c r="AD185" t="str">
        <f t="shared" si="36"/>
        <v>Medium ($50-$200)</v>
      </c>
      <c r="AE185" t="str">
        <f t="shared" si="37"/>
        <v>Medium (3-5 units)</v>
      </c>
      <c r="AF185" t="str">
        <f t="shared" si="38"/>
        <v>Profitable</v>
      </c>
      <c r="AG185" t="str">
        <f t="shared" si="39"/>
        <v>High Margin</v>
      </c>
      <c r="AH185" t="str">
        <f t="shared" si="40"/>
        <v>Repeat Customer</v>
      </c>
      <c r="AI185" t="str">
        <f t="shared" si="41"/>
        <v>Standard (3-5 days)</v>
      </c>
    </row>
    <row r="186" spans="1:35" ht="15" customHeight="1" x14ac:dyDescent="0.3">
      <c r="A186">
        <v>185</v>
      </c>
      <c r="B186" t="s">
        <v>917</v>
      </c>
      <c r="C186" s="12">
        <v>41962</v>
      </c>
      <c r="D186" s="12">
        <v>41967</v>
      </c>
      <c r="E186" t="s">
        <v>206</v>
      </c>
      <c r="F186" t="s">
        <v>918</v>
      </c>
      <c r="G186" t="s">
        <v>919</v>
      </c>
      <c r="H186" t="s">
        <v>285</v>
      </c>
      <c r="I186" t="s">
        <v>210</v>
      </c>
      <c r="J186" t="s">
        <v>920</v>
      </c>
      <c r="K186" t="s">
        <v>921</v>
      </c>
      <c r="L186">
        <v>71203</v>
      </c>
      <c r="M186" t="s">
        <v>213</v>
      </c>
      <c r="N186" t="s">
        <v>926</v>
      </c>
      <c r="O186" t="s">
        <v>254</v>
      </c>
      <c r="P186" t="s">
        <v>344</v>
      </c>
      <c r="Q186" t="s">
        <v>927</v>
      </c>
      <c r="R186" s="13">
        <v>29</v>
      </c>
      <c r="S186">
        <v>2</v>
      </c>
      <c r="T186" s="14">
        <v>0</v>
      </c>
      <c r="U186" s="13">
        <v>7.25</v>
      </c>
      <c r="V186">
        <f t="shared" si="28"/>
        <v>2014</v>
      </c>
      <c r="W186" t="str">
        <f t="shared" si="29"/>
        <v>Nov</v>
      </c>
      <c r="X186" t="str">
        <f t="shared" si="30"/>
        <v>Q4</v>
      </c>
      <c r="Y186" t="str">
        <f t="shared" si="31"/>
        <v>Wed</v>
      </c>
      <c r="Z186" s="16">
        <f t="shared" si="32"/>
        <v>5</v>
      </c>
      <c r="AA186" s="13">
        <f t="shared" si="33"/>
        <v>14.5</v>
      </c>
      <c r="AB186" s="14">
        <f t="shared" si="34"/>
        <v>0.25</v>
      </c>
      <c r="AC186" t="str">
        <f t="shared" si="35"/>
        <v>No Discount</v>
      </c>
      <c r="AD186" t="str">
        <f t="shared" si="36"/>
        <v>Low (&lt;$50)</v>
      </c>
      <c r="AE186" t="str">
        <f t="shared" si="37"/>
        <v>Small (1-2 units)</v>
      </c>
      <c r="AF186" t="str">
        <f t="shared" si="38"/>
        <v>Profitable</v>
      </c>
      <c r="AG186" t="str">
        <f t="shared" si="39"/>
        <v>High Margin</v>
      </c>
      <c r="AH186" t="str">
        <f t="shared" si="40"/>
        <v>Repeat Customer</v>
      </c>
      <c r="AI186" t="str">
        <f t="shared" si="41"/>
        <v>Standard (3-5 days)</v>
      </c>
    </row>
    <row r="187" spans="1:35" ht="15" customHeight="1" x14ac:dyDescent="0.3">
      <c r="A187">
        <v>186</v>
      </c>
      <c r="B187" t="s">
        <v>928</v>
      </c>
      <c r="C187" s="12">
        <v>42702</v>
      </c>
      <c r="D187" s="12">
        <v>42706</v>
      </c>
      <c r="E187" t="s">
        <v>233</v>
      </c>
      <c r="F187" t="s">
        <v>929</v>
      </c>
      <c r="G187" t="s">
        <v>930</v>
      </c>
      <c r="H187" t="s">
        <v>209</v>
      </c>
      <c r="I187" t="s">
        <v>210</v>
      </c>
      <c r="J187" t="s">
        <v>931</v>
      </c>
      <c r="K187" t="s">
        <v>932</v>
      </c>
      <c r="L187">
        <v>6824</v>
      </c>
      <c r="M187" t="s">
        <v>331</v>
      </c>
      <c r="N187" t="s">
        <v>933</v>
      </c>
      <c r="O187" t="s">
        <v>229</v>
      </c>
      <c r="P187" t="s">
        <v>258</v>
      </c>
      <c r="Q187" t="s">
        <v>934</v>
      </c>
      <c r="R187" s="13">
        <v>7.16</v>
      </c>
      <c r="S187">
        <v>2</v>
      </c>
      <c r="T187" s="14">
        <v>0</v>
      </c>
      <c r="U187" s="13">
        <v>3.4367999999999999</v>
      </c>
      <c r="V187">
        <f t="shared" si="28"/>
        <v>2016</v>
      </c>
      <c r="W187" t="str">
        <f t="shared" si="29"/>
        <v>Nov</v>
      </c>
      <c r="X187" t="str">
        <f t="shared" si="30"/>
        <v>Q4</v>
      </c>
      <c r="Y187" t="str">
        <f t="shared" si="31"/>
        <v>Mon</v>
      </c>
      <c r="Z187" s="16">
        <f t="shared" si="32"/>
        <v>4</v>
      </c>
      <c r="AA187" s="13">
        <f t="shared" si="33"/>
        <v>3.58</v>
      </c>
      <c r="AB187" s="14">
        <f t="shared" si="34"/>
        <v>0.48</v>
      </c>
      <c r="AC187" t="str">
        <f t="shared" si="35"/>
        <v>No Discount</v>
      </c>
      <c r="AD187" t="str">
        <f t="shared" si="36"/>
        <v>Low (&lt;$50)</v>
      </c>
      <c r="AE187" t="str">
        <f t="shared" si="37"/>
        <v>Small (1-2 units)</v>
      </c>
      <c r="AF187" t="str">
        <f t="shared" si="38"/>
        <v>Profitable</v>
      </c>
      <c r="AG187" t="str">
        <f t="shared" si="39"/>
        <v>High Margin</v>
      </c>
      <c r="AH187" t="str">
        <f t="shared" si="40"/>
        <v>Single Purchase</v>
      </c>
      <c r="AI187" t="str">
        <f t="shared" si="41"/>
        <v>Standard (3-5 days)</v>
      </c>
    </row>
    <row r="188" spans="1:35" ht="15" customHeight="1" x14ac:dyDescent="0.3">
      <c r="A188">
        <v>187</v>
      </c>
      <c r="B188" t="s">
        <v>935</v>
      </c>
      <c r="C188" s="12">
        <v>41877</v>
      </c>
      <c r="D188" s="12">
        <v>41881</v>
      </c>
      <c r="E188" t="s">
        <v>233</v>
      </c>
      <c r="F188" t="s">
        <v>936</v>
      </c>
      <c r="G188" t="s">
        <v>937</v>
      </c>
      <c r="H188" t="s">
        <v>285</v>
      </c>
      <c r="I188" t="s">
        <v>210</v>
      </c>
      <c r="J188" t="s">
        <v>225</v>
      </c>
      <c r="K188" t="s">
        <v>226</v>
      </c>
      <c r="L188">
        <v>90032</v>
      </c>
      <c r="M188" t="s">
        <v>227</v>
      </c>
      <c r="N188" t="s">
        <v>938</v>
      </c>
      <c r="O188" t="s">
        <v>254</v>
      </c>
      <c r="P188" t="s">
        <v>344</v>
      </c>
      <c r="Q188" t="s">
        <v>939</v>
      </c>
      <c r="R188" s="13">
        <v>176.8</v>
      </c>
      <c r="S188">
        <v>8</v>
      </c>
      <c r="T188" s="14">
        <v>0</v>
      </c>
      <c r="U188" s="13">
        <v>22.984000000000002</v>
      </c>
      <c r="V188">
        <f t="shared" si="28"/>
        <v>2014</v>
      </c>
      <c r="W188" t="str">
        <f t="shared" si="29"/>
        <v>Aug</v>
      </c>
      <c r="X188" t="str">
        <f t="shared" si="30"/>
        <v>Q3</v>
      </c>
      <c r="Y188" t="str">
        <f t="shared" si="31"/>
        <v>Tue</v>
      </c>
      <c r="Z188" s="16">
        <f t="shared" si="32"/>
        <v>4</v>
      </c>
      <c r="AA188" s="13">
        <f t="shared" si="33"/>
        <v>22.1</v>
      </c>
      <c r="AB188" s="14">
        <f t="shared" si="34"/>
        <v>0.13</v>
      </c>
      <c r="AC188" t="str">
        <f t="shared" si="35"/>
        <v>No Discount</v>
      </c>
      <c r="AD188" t="str">
        <f t="shared" si="36"/>
        <v>Medium ($50-$200)</v>
      </c>
      <c r="AE188" t="str">
        <f t="shared" si="37"/>
        <v>Large (6+ units)</v>
      </c>
      <c r="AF188" t="str">
        <f t="shared" si="38"/>
        <v>Profitable</v>
      </c>
      <c r="AG188" t="str">
        <f t="shared" si="39"/>
        <v>Healthy Margin</v>
      </c>
      <c r="AH188" t="str">
        <f t="shared" si="40"/>
        <v>Single Purchase</v>
      </c>
      <c r="AI188" t="str">
        <f t="shared" si="41"/>
        <v>Standard (3-5 days)</v>
      </c>
    </row>
    <row r="189" spans="1:35" ht="15" customHeight="1" x14ac:dyDescent="0.3">
      <c r="A189">
        <v>188</v>
      </c>
      <c r="B189" t="s">
        <v>940</v>
      </c>
      <c r="C189" s="12">
        <v>42567</v>
      </c>
      <c r="D189" s="12">
        <v>42573</v>
      </c>
      <c r="E189" t="s">
        <v>233</v>
      </c>
      <c r="F189" t="s">
        <v>941</v>
      </c>
      <c r="G189" t="s">
        <v>942</v>
      </c>
      <c r="H189" t="s">
        <v>224</v>
      </c>
      <c r="I189" t="s">
        <v>210</v>
      </c>
      <c r="J189" t="s">
        <v>943</v>
      </c>
      <c r="K189" t="s">
        <v>287</v>
      </c>
      <c r="L189">
        <v>75051</v>
      </c>
      <c r="M189" t="s">
        <v>288</v>
      </c>
      <c r="N189" t="s">
        <v>944</v>
      </c>
      <c r="O189" t="s">
        <v>229</v>
      </c>
      <c r="P189" t="s">
        <v>242</v>
      </c>
      <c r="Q189" t="s">
        <v>945</v>
      </c>
      <c r="R189" s="13">
        <v>37.223999999999997</v>
      </c>
      <c r="S189">
        <v>3</v>
      </c>
      <c r="T189" s="14">
        <v>0.2</v>
      </c>
      <c r="U189" s="13">
        <v>3.7223999999999999</v>
      </c>
      <c r="V189">
        <f t="shared" si="28"/>
        <v>2016</v>
      </c>
      <c r="W189" t="str">
        <f t="shared" si="29"/>
        <v>Jul</v>
      </c>
      <c r="X189" t="str">
        <f t="shared" si="30"/>
        <v>Q3</v>
      </c>
      <c r="Y189" t="str">
        <f t="shared" si="31"/>
        <v>Sat</v>
      </c>
      <c r="Z189" s="16">
        <f t="shared" si="32"/>
        <v>6</v>
      </c>
      <c r="AA189" s="13">
        <f t="shared" si="33"/>
        <v>12.407999999999999</v>
      </c>
      <c r="AB189" s="14">
        <f t="shared" si="34"/>
        <v>0.1</v>
      </c>
      <c r="AC189" t="str">
        <f t="shared" si="35"/>
        <v>Low (1-20%)</v>
      </c>
      <c r="AD189" t="str">
        <f t="shared" si="36"/>
        <v>Low (&lt;$50)</v>
      </c>
      <c r="AE189" t="str">
        <f t="shared" si="37"/>
        <v>Medium (3-5 units)</v>
      </c>
      <c r="AF189" t="str">
        <f t="shared" si="38"/>
        <v>Profitable</v>
      </c>
      <c r="AG189" t="str">
        <f t="shared" si="39"/>
        <v>Healthy Margin</v>
      </c>
      <c r="AH189" t="str">
        <f t="shared" si="40"/>
        <v>Repeat Customer</v>
      </c>
      <c r="AI189" t="str">
        <f t="shared" si="41"/>
        <v>Slow (6+ days)</v>
      </c>
    </row>
    <row r="190" spans="1:35" ht="15" customHeight="1" x14ac:dyDescent="0.3">
      <c r="A190">
        <v>189</v>
      </c>
      <c r="B190" t="s">
        <v>940</v>
      </c>
      <c r="C190" s="12">
        <v>42567</v>
      </c>
      <c r="D190" s="12">
        <v>42573</v>
      </c>
      <c r="E190" t="s">
        <v>233</v>
      </c>
      <c r="F190" t="s">
        <v>941</v>
      </c>
      <c r="G190" t="s">
        <v>942</v>
      </c>
      <c r="H190" t="s">
        <v>224</v>
      </c>
      <c r="I190" t="s">
        <v>210</v>
      </c>
      <c r="J190" t="s">
        <v>943</v>
      </c>
      <c r="K190" t="s">
        <v>287</v>
      </c>
      <c r="L190">
        <v>75051</v>
      </c>
      <c r="M190" t="s">
        <v>288</v>
      </c>
      <c r="N190" t="s">
        <v>815</v>
      </c>
      <c r="O190" t="s">
        <v>229</v>
      </c>
      <c r="P190" t="s">
        <v>273</v>
      </c>
      <c r="Q190" t="s">
        <v>816</v>
      </c>
      <c r="R190" s="13">
        <v>20.015999999999998</v>
      </c>
      <c r="S190">
        <v>3</v>
      </c>
      <c r="T190" s="14">
        <v>0.2</v>
      </c>
      <c r="U190" s="13">
        <v>6.2549999999999999</v>
      </c>
      <c r="V190">
        <f t="shared" si="28"/>
        <v>2016</v>
      </c>
      <c r="W190" t="str">
        <f t="shared" si="29"/>
        <v>Jul</v>
      </c>
      <c r="X190" t="str">
        <f t="shared" si="30"/>
        <v>Q3</v>
      </c>
      <c r="Y190" t="str">
        <f t="shared" si="31"/>
        <v>Sat</v>
      </c>
      <c r="Z190" s="16">
        <f t="shared" si="32"/>
        <v>6</v>
      </c>
      <c r="AA190" s="13">
        <f t="shared" si="33"/>
        <v>6.6719999999999997</v>
      </c>
      <c r="AB190" s="14">
        <f t="shared" si="34"/>
        <v>0.3125</v>
      </c>
      <c r="AC190" t="str">
        <f t="shared" si="35"/>
        <v>Low (1-20%)</v>
      </c>
      <c r="AD190" t="str">
        <f t="shared" si="36"/>
        <v>Low (&lt;$50)</v>
      </c>
      <c r="AE190" t="str">
        <f t="shared" si="37"/>
        <v>Medium (3-5 units)</v>
      </c>
      <c r="AF190" t="str">
        <f t="shared" si="38"/>
        <v>Profitable</v>
      </c>
      <c r="AG190" t="str">
        <f t="shared" si="39"/>
        <v>High Margin</v>
      </c>
      <c r="AH190" t="str">
        <f t="shared" si="40"/>
        <v>Repeat Customer</v>
      </c>
      <c r="AI190" t="str">
        <f t="shared" si="41"/>
        <v>Slow (6+ days)</v>
      </c>
    </row>
    <row r="191" spans="1:35" ht="15" customHeight="1" x14ac:dyDescent="0.3">
      <c r="A191">
        <v>190</v>
      </c>
      <c r="B191" t="s">
        <v>946</v>
      </c>
      <c r="C191" s="12">
        <v>42289</v>
      </c>
      <c r="D191" s="12">
        <v>42291</v>
      </c>
      <c r="E191" t="s">
        <v>371</v>
      </c>
      <c r="F191" t="s">
        <v>947</v>
      </c>
      <c r="G191" t="s">
        <v>948</v>
      </c>
      <c r="H191" t="s">
        <v>285</v>
      </c>
      <c r="I191" t="s">
        <v>210</v>
      </c>
      <c r="J191" t="s">
        <v>449</v>
      </c>
      <c r="K191" t="s">
        <v>450</v>
      </c>
      <c r="L191">
        <v>10035</v>
      </c>
      <c r="M191" t="s">
        <v>331</v>
      </c>
      <c r="N191" t="s">
        <v>949</v>
      </c>
      <c r="O191" t="s">
        <v>215</v>
      </c>
      <c r="P191" t="s">
        <v>216</v>
      </c>
      <c r="Q191" t="s">
        <v>950</v>
      </c>
      <c r="R191" s="13">
        <v>899.13599999999997</v>
      </c>
      <c r="S191">
        <v>4</v>
      </c>
      <c r="T191" s="14">
        <v>0.2</v>
      </c>
      <c r="U191" s="13">
        <v>112.392</v>
      </c>
      <c r="V191">
        <f t="shared" si="28"/>
        <v>2015</v>
      </c>
      <c r="W191" t="str">
        <f t="shared" si="29"/>
        <v>Oct</v>
      </c>
      <c r="X191" t="str">
        <f t="shared" si="30"/>
        <v>Q4</v>
      </c>
      <c r="Y191" t="str">
        <f t="shared" si="31"/>
        <v>Mon</v>
      </c>
      <c r="Z191" s="16">
        <f t="shared" si="32"/>
        <v>2</v>
      </c>
      <c r="AA191" s="13">
        <f t="shared" si="33"/>
        <v>224.78399999999999</v>
      </c>
      <c r="AB191" s="14">
        <f t="shared" si="34"/>
        <v>0.125</v>
      </c>
      <c r="AC191" t="str">
        <f t="shared" si="35"/>
        <v>Low (1-20%)</v>
      </c>
      <c r="AD191" t="str">
        <f t="shared" si="36"/>
        <v>Premium ($500+)</v>
      </c>
      <c r="AE191" t="str">
        <f t="shared" si="37"/>
        <v>Medium (3-5 units)</v>
      </c>
      <c r="AF191" t="str">
        <f t="shared" si="38"/>
        <v>Profitable</v>
      </c>
      <c r="AG191" t="str">
        <f t="shared" si="39"/>
        <v>Healthy Margin</v>
      </c>
      <c r="AH191" t="str">
        <f t="shared" si="40"/>
        <v>Repeat Customer</v>
      </c>
      <c r="AI191" t="str">
        <f t="shared" si="41"/>
        <v>Fast (&lt;=2 days)</v>
      </c>
    </row>
    <row r="192" spans="1:35" ht="15" customHeight="1" x14ac:dyDescent="0.3">
      <c r="A192">
        <v>191</v>
      </c>
      <c r="B192" t="s">
        <v>946</v>
      </c>
      <c r="C192" s="12">
        <v>42289</v>
      </c>
      <c r="D192" s="12">
        <v>42291</v>
      </c>
      <c r="E192" t="s">
        <v>371</v>
      </c>
      <c r="F192" t="s">
        <v>947</v>
      </c>
      <c r="G192" t="s">
        <v>948</v>
      </c>
      <c r="H192" t="s">
        <v>285</v>
      </c>
      <c r="I192" t="s">
        <v>210</v>
      </c>
      <c r="J192" t="s">
        <v>449</v>
      </c>
      <c r="K192" t="s">
        <v>450</v>
      </c>
      <c r="L192">
        <v>10035</v>
      </c>
      <c r="M192" t="s">
        <v>331</v>
      </c>
      <c r="N192" t="s">
        <v>951</v>
      </c>
      <c r="O192" t="s">
        <v>254</v>
      </c>
      <c r="P192" t="s">
        <v>255</v>
      </c>
      <c r="Q192" t="s">
        <v>952</v>
      </c>
      <c r="R192" s="13">
        <v>71.760000000000005</v>
      </c>
      <c r="S192">
        <v>6</v>
      </c>
      <c r="T192" s="14">
        <v>0</v>
      </c>
      <c r="U192" s="13">
        <v>20.0928</v>
      </c>
      <c r="V192">
        <f t="shared" si="28"/>
        <v>2015</v>
      </c>
      <c r="W192" t="str">
        <f t="shared" si="29"/>
        <v>Oct</v>
      </c>
      <c r="X192" t="str">
        <f t="shared" si="30"/>
        <v>Q4</v>
      </c>
      <c r="Y192" t="str">
        <f t="shared" si="31"/>
        <v>Mon</v>
      </c>
      <c r="Z192" s="16">
        <f t="shared" si="32"/>
        <v>2</v>
      </c>
      <c r="AA192" s="13">
        <f t="shared" si="33"/>
        <v>11.96</v>
      </c>
      <c r="AB192" s="14">
        <f t="shared" si="34"/>
        <v>0.27999999999999997</v>
      </c>
      <c r="AC192" t="str">
        <f t="shared" si="35"/>
        <v>No Discount</v>
      </c>
      <c r="AD192" t="str">
        <f t="shared" si="36"/>
        <v>Medium ($50-$200)</v>
      </c>
      <c r="AE192" t="str">
        <f t="shared" si="37"/>
        <v>Large (6+ units)</v>
      </c>
      <c r="AF192" t="str">
        <f t="shared" si="38"/>
        <v>Profitable</v>
      </c>
      <c r="AG192" t="str">
        <f t="shared" si="39"/>
        <v>High Margin</v>
      </c>
      <c r="AH192" t="str">
        <f t="shared" si="40"/>
        <v>Repeat Customer</v>
      </c>
      <c r="AI192" t="str">
        <f t="shared" si="41"/>
        <v>Fast (&lt;=2 days)</v>
      </c>
    </row>
    <row r="193" spans="1:35" ht="15" customHeight="1" x14ac:dyDescent="0.3">
      <c r="A193">
        <v>192</v>
      </c>
      <c r="B193" t="s">
        <v>946</v>
      </c>
      <c r="C193" s="12">
        <v>42289</v>
      </c>
      <c r="D193" s="12">
        <v>42291</v>
      </c>
      <c r="E193" t="s">
        <v>371</v>
      </c>
      <c r="F193" t="s">
        <v>947</v>
      </c>
      <c r="G193" t="s">
        <v>948</v>
      </c>
      <c r="H193" t="s">
        <v>285</v>
      </c>
      <c r="I193" t="s">
        <v>210</v>
      </c>
      <c r="J193" t="s">
        <v>449</v>
      </c>
      <c r="K193" t="s">
        <v>450</v>
      </c>
      <c r="L193">
        <v>10035</v>
      </c>
      <c r="M193" t="s">
        <v>331</v>
      </c>
      <c r="N193" t="s">
        <v>953</v>
      </c>
      <c r="O193" t="s">
        <v>229</v>
      </c>
      <c r="P193" t="s">
        <v>273</v>
      </c>
      <c r="Q193" t="s">
        <v>954</v>
      </c>
      <c r="R193" s="13">
        <v>51.84</v>
      </c>
      <c r="S193">
        <v>8</v>
      </c>
      <c r="T193" s="14">
        <v>0</v>
      </c>
      <c r="U193" s="13">
        <v>24.883199999999999</v>
      </c>
      <c r="V193">
        <f t="shared" si="28"/>
        <v>2015</v>
      </c>
      <c r="W193" t="str">
        <f t="shared" si="29"/>
        <v>Oct</v>
      </c>
      <c r="X193" t="str">
        <f t="shared" si="30"/>
        <v>Q4</v>
      </c>
      <c r="Y193" t="str">
        <f t="shared" si="31"/>
        <v>Mon</v>
      </c>
      <c r="Z193" s="16">
        <f t="shared" si="32"/>
        <v>2</v>
      </c>
      <c r="AA193" s="13">
        <f t="shared" si="33"/>
        <v>6.48</v>
      </c>
      <c r="AB193" s="14">
        <f t="shared" si="34"/>
        <v>0.47999999999999993</v>
      </c>
      <c r="AC193" t="str">
        <f t="shared" si="35"/>
        <v>No Discount</v>
      </c>
      <c r="AD193" t="str">
        <f t="shared" si="36"/>
        <v>Medium ($50-$200)</v>
      </c>
      <c r="AE193" t="str">
        <f t="shared" si="37"/>
        <v>Large (6+ units)</v>
      </c>
      <c r="AF193" t="str">
        <f t="shared" si="38"/>
        <v>Profitable</v>
      </c>
      <c r="AG193" t="str">
        <f t="shared" si="39"/>
        <v>High Margin</v>
      </c>
      <c r="AH193" t="str">
        <f t="shared" si="40"/>
        <v>Repeat Customer</v>
      </c>
      <c r="AI193" t="str">
        <f t="shared" si="41"/>
        <v>Fast (&lt;=2 days)</v>
      </c>
    </row>
    <row r="194" spans="1:35" ht="15" customHeight="1" x14ac:dyDescent="0.3">
      <c r="A194">
        <v>193</v>
      </c>
      <c r="B194" t="s">
        <v>946</v>
      </c>
      <c r="C194" s="12">
        <v>42289</v>
      </c>
      <c r="D194" s="12">
        <v>42291</v>
      </c>
      <c r="E194" t="s">
        <v>371</v>
      </c>
      <c r="F194" t="s">
        <v>947</v>
      </c>
      <c r="G194" t="s">
        <v>948</v>
      </c>
      <c r="H194" t="s">
        <v>285</v>
      </c>
      <c r="I194" t="s">
        <v>210</v>
      </c>
      <c r="J194" t="s">
        <v>449</v>
      </c>
      <c r="K194" t="s">
        <v>450</v>
      </c>
      <c r="L194">
        <v>10035</v>
      </c>
      <c r="M194" t="s">
        <v>331</v>
      </c>
      <c r="N194" t="s">
        <v>384</v>
      </c>
      <c r="O194" t="s">
        <v>215</v>
      </c>
      <c r="P194" t="s">
        <v>216</v>
      </c>
      <c r="Q194" t="s">
        <v>385</v>
      </c>
      <c r="R194" s="13">
        <v>626.35199999999998</v>
      </c>
      <c r="S194">
        <v>3</v>
      </c>
      <c r="T194" s="14">
        <v>0.2</v>
      </c>
      <c r="U194" s="13">
        <v>46.976399999999998</v>
      </c>
      <c r="V194">
        <f t="shared" ref="V194:V257" si="42">YEAR(C194)</f>
        <v>2015</v>
      </c>
      <c r="W194" t="str">
        <f t="shared" ref="W194:W257" si="43">TEXT(C194,"mmm")</f>
        <v>Oct</v>
      </c>
      <c r="X194" t="str">
        <f t="shared" ref="X194:X257" si="44">"Q"&amp;ROUNDUP(MONTH(C194)/3,0)</f>
        <v>Q4</v>
      </c>
      <c r="Y194" t="str">
        <f t="shared" ref="Y194:Y257" si="45">TEXT(C194,"ddd")</f>
        <v>Mon</v>
      </c>
      <c r="Z194" s="16">
        <f t="shared" ref="Z194:Z257" si="46">D194-C194</f>
        <v>2</v>
      </c>
      <c r="AA194" s="13">
        <f t="shared" ref="AA194:AA257" si="47">IFERROR(R194/S194,0)</f>
        <v>208.78399999999999</v>
      </c>
      <c r="AB194" s="14">
        <f t="shared" ref="AB194:AB257" si="48">IFERROR(U194/R194,0)</f>
        <v>7.4999999999999997E-2</v>
      </c>
      <c r="AC194" t="str">
        <f t="shared" ref="AC194:AC257" si="49">IF(T194=0,"No Discount",IF(T194&lt;=0.2,"Low (1-20%)",IF(T194&lt;=0.4,"Medium (21-40%)","High (40%+)")))</f>
        <v>Low (1-20%)</v>
      </c>
      <c r="AD194" t="str">
        <f t="shared" ref="AD194:AD257" si="50">IF(R194&lt;50,"Low (&lt;$50)",IF(R194&lt;200,"Medium ($50-$200)",IF(R194&lt;500,"High ($200-$500)","Premium ($500+)")))</f>
        <v>Premium ($500+)</v>
      </c>
      <c r="AE194" t="str">
        <f t="shared" ref="AE194:AE257" si="51">IF(S194&lt;=2,"Small (1-2 units)",IF(S194&lt;=5,"Medium (3-5 units)","Large (6+ units)"))</f>
        <v>Medium (3-5 units)</v>
      </c>
      <c r="AF194" t="str">
        <f t="shared" ref="AF194:AF257" si="52">IF(U194&lt;0,"Loss-Making","Profitable")</f>
        <v>Profitable</v>
      </c>
      <c r="AG194" t="str">
        <f t="shared" ref="AG194:AG257" si="53">IF(AB194&lt;0,"Underperforming",IF(AB194&lt;0.1,"Low Margin",IF(AB194&lt;0.25,"Healthy Margin","High Margin")))</f>
        <v>Low Margin</v>
      </c>
      <c r="AH194" t="str">
        <f t="shared" ref="AH194:AH257" si="54">IF(COUNTIF($F$2:$F$1001,F194)&gt;1,"Repeat Customer","Single Purchase")</f>
        <v>Repeat Customer</v>
      </c>
      <c r="AI194" t="str">
        <f t="shared" ref="AI194:AI257" si="55">IF(Z194&lt;=2,"Fast (&lt;=2 days)",IF(Z194&lt;=5,"Standard (3-5 days)","Slow (6+ days)"))</f>
        <v>Fast (&lt;=2 days)</v>
      </c>
    </row>
    <row r="195" spans="1:35" ht="15" customHeight="1" x14ac:dyDescent="0.3">
      <c r="A195">
        <v>194</v>
      </c>
      <c r="B195" t="s">
        <v>946</v>
      </c>
      <c r="C195" s="12">
        <v>42289</v>
      </c>
      <c r="D195" s="12">
        <v>42291</v>
      </c>
      <c r="E195" t="s">
        <v>371</v>
      </c>
      <c r="F195" t="s">
        <v>947</v>
      </c>
      <c r="G195" t="s">
        <v>948</v>
      </c>
      <c r="H195" t="s">
        <v>285</v>
      </c>
      <c r="I195" t="s">
        <v>210</v>
      </c>
      <c r="J195" t="s">
        <v>449</v>
      </c>
      <c r="K195" t="s">
        <v>450</v>
      </c>
      <c r="L195">
        <v>10035</v>
      </c>
      <c r="M195" t="s">
        <v>331</v>
      </c>
      <c r="N195" t="s">
        <v>955</v>
      </c>
      <c r="O195" t="s">
        <v>229</v>
      </c>
      <c r="P195" t="s">
        <v>251</v>
      </c>
      <c r="Q195" t="s">
        <v>956</v>
      </c>
      <c r="R195" s="13">
        <v>19.899999999999999</v>
      </c>
      <c r="S195">
        <v>5</v>
      </c>
      <c r="T195" s="14">
        <v>0</v>
      </c>
      <c r="U195" s="13">
        <v>6.5670000000000002</v>
      </c>
      <c r="V195">
        <f t="shared" si="42"/>
        <v>2015</v>
      </c>
      <c r="W195" t="str">
        <f t="shared" si="43"/>
        <v>Oct</v>
      </c>
      <c r="X195" t="str">
        <f t="shared" si="44"/>
        <v>Q4</v>
      </c>
      <c r="Y195" t="str">
        <f t="shared" si="45"/>
        <v>Mon</v>
      </c>
      <c r="Z195" s="16">
        <f t="shared" si="46"/>
        <v>2</v>
      </c>
      <c r="AA195" s="13">
        <f t="shared" si="47"/>
        <v>3.9799999999999995</v>
      </c>
      <c r="AB195" s="14">
        <f t="shared" si="48"/>
        <v>0.33</v>
      </c>
      <c r="AC195" t="str">
        <f t="shared" si="49"/>
        <v>No Discount</v>
      </c>
      <c r="AD195" t="str">
        <f t="shared" si="50"/>
        <v>Low (&lt;$50)</v>
      </c>
      <c r="AE195" t="str">
        <f t="shared" si="51"/>
        <v>Medium (3-5 units)</v>
      </c>
      <c r="AF195" t="str">
        <f t="shared" si="52"/>
        <v>Profitable</v>
      </c>
      <c r="AG195" t="str">
        <f t="shared" si="53"/>
        <v>High Margin</v>
      </c>
      <c r="AH195" t="str">
        <f t="shared" si="54"/>
        <v>Repeat Customer</v>
      </c>
      <c r="AI195" t="str">
        <f t="shared" si="55"/>
        <v>Fast (&lt;=2 days)</v>
      </c>
    </row>
    <row r="196" spans="1:35" ht="15" customHeight="1" x14ac:dyDescent="0.3">
      <c r="A196">
        <v>195</v>
      </c>
      <c r="B196" t="s">
        <v>957</v>
      </c>
      <c r="C196" s="12">
        <v>42308</v>
      </c>
      <c r="D196" s="12">
        <v>42314</v>
      </c>
      <c r="E196" t="s">
        <v>233</v>
      </c>
      <c r="F196" t="s">
        <v>958</v>
      </c>
      <c r="G196" t="s">
        <v>959</v>
      </c>
      <c r="H196" t="s">
        <v>224</v>
      </c>
      <c r="I196" t="s">
        <v>210</v>
      </c>
      <c r="J196" t="s">
        <v>960</v>
      </c>
      <c r="K196" t="s">
        <v>226</v>
      </c>
      <c r="L196">
        <v>92374</v>
      </c>
      <c r="M196" t="s">
        <v>227</v>
      </c>
      <c r="N196" t="s">
        <v>355</v>
      </c>
      <c r="O196" t="s">
        <v>229</v>
      </c>
      <c r="P196" t="s">
        <v>356</v>
      </c>
      <c r="Q196" t="s">
        <v>357</v>
      </c>
      <c r="R196" s="13">
        <v>14.28</v>
      </c>
      <c r="S196">
        <v>7</v>
      </c>
      <c r="T196" s="14">
        <v>0</v>
      </c>
      <c r="U196" s="13">
        <v>6.7115999999999998</v>
      </c>
      <c r="V196">
        <f t="shared" si="42"/>
        <v>2015</v>
      </c>
      <c r="W196" t="str">
        <f t="shared" si="43"/>
        <v>Oct</v>
      </c>
      <c r="X196" t="str">
        <f t="shared" si="44"/>
        <v>Q4</v>
      </c>
      <c r="Y196" t="str">
        <f t="shared" si="45"/>
        <v>Sat</v>
      </c>
      <c r="Z196" s="16">
        <f t="shared" si="46"/>
        <v>6</v>
      </c>
      <c r="AA196" s="13">
        <f t="shared" si="47"/>
        <v>2.04</v>
      </c>
      <c r="AB196" s="14">
        <f t="shared" si="48"/>
        <v>0.47000000000000003</v>
      </c>
      <c r="AC196" t="str">
        <f t="shared" si="49"/>
        <v>No Discount</v>
      </c>
      <c r="AD196" t="str">
        <f t="shared" si="50"/>
        <v>Low (&lt;$50)</v>
      </c>
      <c r="AE196" t="str">
        <f t="shared" si="51"/>
        <v>Large (6+ units)</v>
      </c>
      <c r="AF196" t="str">
        <f t="shared" si="52"/>
        <v>Profitable</v>
      </c>
      <c r="AG196" t="str">
        <f t="shared" si="53"/>
        <v>High Margin</v>
      </c>
      <c r="AH196" t="str">
        <f t="shared" si="54"/>
        <v>Single Purchase</v>
      </c>
      <c r="AI196" t="str">
        <f t="shared" si="55"/>
        <v>Slow (6+ days)</v>
      </c>
    </row>
    <row r="197" spans="1:35" ht="15" customHeight="1" x14ac:dyDescent="0.3">
      <c r="A197">
        <v>196</v>
      </c>
      <c r="B197" t="s">
        <v>961</v>
      </c>
      <c r="C197" s="12">
        <v>41719</v>
      </c>
      <c r="D197" s="12">
        <v>41723</v>
      </c>
      <c r="E197" t="s">
        <v>233</v>
      </c>
      <c r="F197" t="s">
        <v>962</v>
      </c>
      <c r="G197" t="s">
        <v>963</v>
      </c>
      <c r="H197" t="s">
        <v>209</v>
      </c>
      <c r="I197" t="s">
        <v>210</v>
      </c>
      <c r="J197" t="s">
        <v>964</v>
      </c>
      <c r="K197" t="s">
        <v>681</v>
      </c>
      <c r="L197">
        <v>45011</v>
      </c>
      <c r="M197" t="s">
        <v>331</v>
      </c>
      <c r="N197" t="s">
        <v>965</v>
      </c>
      <c r="O197" t="s">
        <v>229</v>
      </c>
      <c r="P197" t="s">
        <v>251</v>
      </c>
      <c r="Q197" t="s">
        <v>966</v>
      </c>
      <c r="R197" s="13">
        <v>7.4080000000000004</v>
      </c>
      <c r="S197">
        <v>2</v>
      </c>
      <c r="T197" s="14">
        <v>0.2</v>
      </c>
      <c r="U197" s="13">
        <v>1.2038</v>
      </c>
      <c r="V197">
        <f t="shared" si="42"/>
        <v>2014</v>
      </c>
      <c r="W197" t="str">
        <f t="shared" si="43"/>
        <v>Mar</v>
      </c>
      <c r="X197" t="str">
        <f t="shared" si="44"/>
        <v>Q1</v>
      </c>
      <c r="Y197" t="str">
        <f t="shared" si="45"/>
        <v>Fri</v>
      </c>
      <c r="Z197" s="16">
        <f t="shared" si="46"/>
        <v>4</v>
      </c>
      <c r="AA197" s="13">
        <f t="shared" si="47"/>
        <v>3.7040000000000002</v>
      </c>
      <c r="AB197" s="14">
        <f t="shared" si="48"/>
        <v>0.16249999999999998</v>
      </c>
      <c r="AC197" t="str">
        <f t="shared" si="49"/>
        <v>Low (1-20%)</v>
      </c>
      <c r="AD197" t="str">
        <f t="shared" si="50"/>
        <v>Low (&lt;$50)</v>
      </c>
      <c r="AE197" t="str">
        <f t="shared" si="51"/>
        <v>Small (1-2 units)</v>
      </c>
      <c r="AF197" t="str">
        <f t="shared" si="52"/>
        <v>Profitable</v>
      </c>
      <c r="AG197" t="str">
        <f t="shared" si="53"/>
        <v>Healthy Margin</v>
      </c>
      <c r="AH197" t="str">
        <f t="shared" si="54"/>
        <v>Repeat Customer</v>
      </c>
      <c r="AI197" t="str">
        <f t="shared" si="55"/>
        <v>Standard (3-5 days)</v>
      </c>
    </row>
    <row r="198" spans="1:35" ht="15" customHeight="1" x14ac:dyDescent="0.3">
      <c r="A198">
        <v>197</v>
      </c>
      <c r="B198" t="s">
        <v>961</v>
      </c>
      <c r="C198" s="12">
        <v>41719</v>
      </c>
      <c r="D198" s="12">
        <v>41723</v>
      </c>
      <c r="E198" t="s">
        <v>233</v>
      </c>
      <c r="F198" t="s">
        <v>962</v>
      </c>
      <c r="G198" t="s">
        <v>963</v>
      </c>
      <c r="H198" t="s">
        <v>209</v>
      </c>
      <c r="I198" t="s">
        <v>210</v>
      </c>
      <c r="J198" t="s">
        <v>964</v>
      </c>
      <c r="K198" t="s">
        <v>681</v>
      </c>
      <c r="L198">
        <v>45011</v>
      </c>
      <c r="M198" t="s">
        <v>331</v>
      </c>
      <c r="N198" t="s">
        <v>967</v>
      </c>
      <c r="O198" t="s">
        <v>229</v>
      </c>
      <c r="P198" t="s">
        <v>251</v>
      </c>
      <c r="Q198" t="s">
        <v>968</v>
      </c>
      <c r="R198" s="13">
        <v>6.048</v>
      </c>
      <c r="S198">
        <v>3</v>
      </c>
      <c r="T198" s="14">
        <v>0.2</v>
      </c>
      <c r="U198" s="13">
        <v>1.5875999999999999</v>
      </c>
      <c r="V198">
        <f t="shared" si="42"/>
        <v>2014</v>
      </c>
      <c r="W198" t="str">
        <f t="shared" si="43"/>
        <v>Mar</v>
      </c>
      <c r="X198" t="str">
        <f t="shared" si="44"/>
        <v>Q1</v>
      </c>
      <c r="Y198" t="str">
        <f t="shared" si="45"/>
        <v>Fri</v>
      </c>
      <c r="Z198" s="16">
        <f t="shared" si="46"/>
        <v>4</v>
      </c>
      <c r="AA198" s="13">
        <f t="shared" si="47"/>
        <v>2.016</v>
      </c>
      <c r="AB198" s="14">
        <f t="shared" si="48"/>
        <v>0.26249999999999996</v>
      </c>
      <c r="AC198" t="str">
        <f t="shared" si="49"/>
        <v>Low (1-20%)</v>
      </c>
      <c r="AD198" t="str">
        <f t="shared" si="50"/>
        <v>Low (&lt;$50)</v>
      </c>
      <c r="AE198" t="str">
        <f t="shared" si="51"/>
        <v>Medium (3-5 units)</v>
      </c>
      <c r="AF198" t="str">
        <f t="shared" si="52"/>
        <v>Profitable</v>
      </c>
      <c r="AG198" t="str">
        <f t="shared" si="53"/>
        <v>High Margin</v>
      </c>
      <c r="AH198" t="str">
        <f t="shared" si="54"/>
        <v>Repeat Customer</v>
      </c>
      <c r="AI198" t="str">
        <f t="shared" si="55"/>
        <v>Standard (3-5 days)</v>
      </c>
    </row>
    <row r="199" spans="1:35" ht="15" customHeight="1" x14ac:dyDescent="0.3">
      <c r="A199">
        <v>198</v>
      </c>
      <c r="B199" t="s">
        <v>969</v>
      </c>
      <c r="C199" s="12">
        <v>43045</v>
      </c>
      <c r="D199" s="12">
        <v>43052</v>
      </c>
      <c r="E199" t="s">
        <v>233</v>
      </c>
      <c r="F199" t="s">
        <v>970</v>
      </c>
      <c r="G199" t="s">
        <v>971</v>
      </c>
      <c r="H199" t="s">
        <v>285</v>
      </c>
      <c r="I199" t="s">
        <v>210</v>
      </c>
      <c r="J199" t="s">
        <v>972</v>
      </c>
      <c r="K199" t="s">
        <v>973</v>
      </c>
      <c r="L199">
        <v>7090</v>
      </c>
      <c r="M199" t="s">
        <v>331</v>
      </c>
      <c r="N199" t="s">
        <v>974</v>
      </c>
      <c r="O199" t="s">
        <v>229</v>
      </c>
      <c r="P199" t="s">
        <v>242</v>
      </c>
      <c r="Q199" t="s">
        <v>975</v>
      </c>
      <c r="R199" s="13">
        <v>46.26</v>
      </c>
      <c r="S199">
        <v>3</v>
      </c>
      <c r="T199" s="14">
        <v>0</v>
      </c>
      <c r="U199" s="13">
        <v>12.0276</v>
      </c>
      <c r="V199">
        <f t="shared" si="42"/>
        <v>2017</v>
      </c>
      <c r="W199" t="str">
        <f t="shared" si="43"/>
        <v>Nov</v>
      </c>
      <c r="X199" t="str">
        <f t="shared" si="44"/>
        <v>Q4</v>
      </c>
      <c r="Y199" t="str">
        <f t="shared" si="45"/>
        <v>Mon</v>
      </c>
      <c r="Z199" s="16">
        <f t="shared" si="46"/>
        <v>7</v>
      </c>
      <c r="AA199" s="13">
        <f t="shared" si="47"/>
        <v>15.42</v>
      </c>
      <c r="AB199" s="14">
        <f t="shared" si="48"/>
        <v>0.26</v>
      </c>
      <c r="AC199" t="str">
        <f t="shared" si="49"/>
        <v>No Discount</v>
      </c>
      <c r="AD199" t="str">
        <f t="shared" si="50"/>
        <v>Low (&lt;$50)</v>
      </c>
      <c r="AE199" t="str">
        <f t="shared" si="51"/>
        <v>Medium (3-5 units)</v>
      </c>
      <c r="AF199" t="str">
        <f t="shared" si="52"/>
        <v>Profitable</v>
      </c>
      <c r="AG199" t="str">
        <f t="shared" si="53"/>
        <v>High Margin</v>
      </c>
      <c r="AH199" t="str">
        <f t="shared" si="54"/>
        <v>Single Purchase</v>
      </c>
      <c r="AI199" t="str">
        <f t="shared" si="55"/>
        <v>Slow (6+ days)</v>
      </c>
    </row>
    <row r="200" spans="1:35" ht="15" customHeight="1" x14ac:dyDescent="0.3">
      <c r="A200">
        <v>199</v>
      </c>
      <c r="B200" t="s">
        <v>976</v>
      </c>
      <c r="C200" s="12">
        <v>42922</v>
      </c>
      <c r="D200" s="12">
        <v>42929</v>
      </c>
      <c r="E200" t="s">
        <v>233</v>
      </c>
      <c r="F200" t="s">
        <v>977</v>
      </c>
      <c r="G200" t="s">
        <v>978</v>
      </c>
      <c r="H200" t="s">
        <v>224</v>
      </c>
      <c r="I200" t="s">
        <v>210</v>
      </c>
      <c r="J200" t="s">
        <v>329</v>
      </c>
      <c r="K200" t="s">
        <v>330</v>
      </c>
      <c r="L200">
        <v>19120</v>
      </c>
      <c r="M200" t="s">
        <v>331</v>
      </c>
      <c r="N200" t="s">
        <v>979</v>
      </c>
      <c r="O200" t="s">
        <v>229</v>
      </c>
      <c r="P200" t="s">
        <v>258</v>
      </c>
      <c r="Q200" t="s">
        <v>980</v>
      </c>
      <c r="R200" s="13">
        <v>2.9460000000000002</v>
      </c>
      <c r="S200">
        <v>2</v>
      </c>
      <c r="T200" s="14">
        <v>0.7</v>
      </c>
      <c r="U200" s="13">
        <v>-2.2585999999999999</v>
      </c>
      <c r="V200">
        <f t="shared" si="42"/>
        <v>2017</v>
      </c>
      <c r="W200" t="str">
        <f t="shared" si="43"/>
        <v>Jul</v>
      </c>
      <c r="X200" t="str">
        <f t="shared" si="44"/>
        <v>Q3</v>
      </c>
      <c r="Y200" t="str">
        <f t="shared" si="45"/>
        <v>Thu</v>
      </c>
      <c r="Z200" s="16">
        <f t="shared" si="46"/>
        <v>7</v>
      </c>
      <c r="AA200" s="13">
        <f t="shared" si="47"/>
        <v>1.4730000000000001</v>
      </c>
      <c r="AB200" s="14">
        <f t="shared" si="48"/>
        <v>-0.76666666666666661</v>
      </c>
      <c r="AC200" t="str">
        <f t="shared" si="49"/>
        <v>High (40%+)</v>
      </c>
      <c r="AD200" t="str">
        <f t="shared" si="50"/>
        <v>Low (&lt;$50)</v>
      </c>
      <c r="AE200" t="str">
        <f t="shared" si="51"/>
        <v>Small (1-2 units)</v>
      </c>
      <c r="AF200" t="str">
        <f t="shared" si="52"/>
        <v>Loss-Making</v>
      </c>
      <c r="AG200" t="str">
        <f t="shared" si="53"/>
        <v>Underperforming</v>
      </c>
      <c r="AH200" t="str">
        <f t="shared" si="54"/>
        <v>Repeat Customer</v>
      </c>
      <c r="AI200" t="str">
        <f t="shared" si="55"/>
        <v>Slow (6+ days)</v>
      </c>
    </row>
    <row r="201" spans="1:35" ht="15" customHeight="1" x14ac:dyDescent="0.3">
      <c r="A201">
        <v>200</v>
      </c>
      <c r="B201" t="s">
        <v>976</v>
      </c>
      <c r="C201" s="12">
        <v>42922</v>
      </c>
      <c r="D201" s="12">
        <v>42929</v>
      </c>
      <c r="E201" t="s">
        <v>233</v>
      </c>
      <c r="F201" t="s">
        <v>977</v>
      </c>
      <c r="G201" t="s">
        <v>978</v>
      </c>
      <c r="H201" t="s">
        <v>224</v>
      </c>
      <c r="I201" t="s">
        <v>210</v>
      </c>
      <c r="J201" t="s">
        <v>329</v>
      </c>
      <c r="K201" t="s">
        <v>330</v>
      </c>
      <c r="L201">
        <v>19120</v>
      </c>
      <c r="M201" t="s">
        <v>331</v>
      </c>
      <c r="N201" t="s">
        <v>981</v>
      </c>
      <c r="O201" t="s">
        <v>229</v>
      </c>
      <c r="P201" t="s">
        <v>273</v>
      </c>
      <c r="Q201" t="s">
        <v>982</v>
      </c>
      <c r="R201" s="13">
        <v>16.056000000000001</v>
      </c>
      <c r="S201">
        <v>3</v>
      </c>
      <c r="T201" s="14">
        <v>0.2</v>
      </c>
      <c r="U201" s="13">
        <v>5.8202999999999996</v>
      </c>
      <c r="V201">
        <f t="shared" si="42"/>
        <v>2017</v>
      </c>
      <c r="W201" t="str">
        <f t="shared" si="43"/>
        <v>Jul</v>
      </c>
      <c r="X201" t="str">
        <f t="shared" si="44"/>
        <v>Q3</v>
      </c>
      <c r="Y201" t="str">
        <f t="shared" si="45"/>
        <v>Thu</v>
      </c>
      <c r="Z201" s="16">
        <f t="shared" si="46"/>
        <v>7</v>
      </c>
      <c r="AA201" s="13">
        <f t="shared" si="47"/>
        <v>5.3520000000000003</v>
      </c>
      <c r="AB201" s="14">
        <f t="shared" si="48"/>
        <v>0.36249999999999993</v>
      </c>
      <c r="AC201" t="str">
        <f t="shared" si="49"/>
        <v>Low (1-20%)</v>
      </c>
      <c r="AD201" t="str">
        <f t="shared" si="50"/>
        <v>Low (&lt;$50)</v>
      </c>
      <c r="AE201" t="str">
        <f t="shared" si="51"/>
        <v>Medium (3-5 units)</v>
      </c>
      <c r="AF201" t="str">
        <f t="shared" si="52"/>
        <v>Profitable</v>
      </c>
      <c r="AG201" t="str">
        <f t="shared" si="53"/>
        <v>High Margin</v>
      </c>
      <c r="AH201" t="str">
        <f t="shared" si="54"/>
        <v>Repeat Customer</v>
      </c>
      <c r="AI201" t="str">
        <f t="shared" si="55"/>
        <v>Slow (6+ days)</v>
      </c>
    </row>
    <row r="202" spans="1:35" ht="15" customHeight="1" x14ac:dyDescent="0.3">
      <c r="A202">
        <v>201</v>
      </c>
      <c r="B202" t="s">
        <v>983</v>
      </c>
      <c r="C202" s="12">
        <v>42910</v>
      </c>
      <c r="D202" s="12">
        <v>42915</v>
      </c>
      <c r="E202" t="s">
        <v>233</v>
      </c>
      <c r="F202" t="s">
        <v>984</v>
      </c>
      <c r="G202" t="s">
        <v>985</v>
      </c>
      <c r="H202" t="s">
        <v>209</v>
      </c>
      <c r="I202" t="s">
        <v>210</v>
      </c>
      <c r="J202" t="s">
        <v>986</v>
      </c>
      <c r="K202" t="s">
        <v>681</v>
      </c>
      <c r="L202">
        <v>44312</v>
      </c>
      <c r="M202" t="s">
        <v>331</v>
      </c>
      <c r="N202" t="s">
        <v>987</v>
      </c>
      <c r="O202" t="s">
        <v>229</v>
      </c>
      <c r="P202" t="s">
        <v>273</v>
      </c>
      <c r="Q202" t="s">
        <v>988</v>
      </c>
      <c r="R202" s="13">
        <v>21.744</v>
      </c>
      <c r="S202">
        <v>3</v>
      </c>
      <c r="T202" s="14">
        <v>0.2</v>
      </c>
      <c r="U202" s="13">
        <v>6.7949999999999999</v>
      </c>
      <c r="V202">
        <f t="shared" si="42"/>
        <v>2017</v>
      </c>
      <c r="W202" t="str">
        <f t="shared" si="43"/>
        <v>Jun</v>
      </c>
      <c r="X202" t="str">
        <f t="shared" si="44"/>
        <v>Q2</v>
      </c>
      <c r="Y202" t="str">
        <f t="shared" si="45"/>
        <v>Sat</v>
      </c>
      <c r="Z202" s="16">
        <f t="shared" si="46"/>
        <v>5</v>
      </c>
      <c r="AA202" s="13">
        <f t="shared" si="47"/>
        <v>7.2480000000000002</v>
      </c>
      <c r="AB202" s="14">
        <f t="shared" si="48"/>
        <v>0.3125</v>
      </c>
      <c r="AC202" t="str">
        <f t="shared" si="49"/>
        <v>Low (1-20%)</v>
      </c>
      <c r="AD202" t="str">
        <f t="shared" si="50"/>
        <v>Low (&lt;$50)</v>
      </c>
      <c r="AE202" t="str">
        <f t="shared" si="51"/>
        <v>Medium (3-5 units)</v>
      </c>
      <c r="AF202" t="str">
        <f t="shared" si="52"/>
        <v>Profitable</v>
      </c>
      <c r="AG202" t="str">
        <f t="shared" si="53"/>
        <v>High Margin</v>
      </c>
      <c r="AH202" t="str">
        <f t="shared" si="54"/>
        <v>Single Purchase</v>
      </c>
      <c r="AI202" t="str">
        <f t="shared" si="55"/>
        <v>Standard (3-5 days)</v>
      </c>
    </row>
    <row r="203" spans="1:35" ht="15" customHeight="1" x14ac:dyDescent="0.3">
      <c r="A203">
        <v>202</v>
      </c>
      <c r="B203" t="s">
        <v>989</v>
      </c>
      <c r="C203" s="12">
        <v>41854</v>
      </c>
      <c r="D203" s="12">
        <v>41856</v>
      </c>
      <c r="E203" t="s">
        <v>371</v>
      </c>
      <c r="F203" t="s">
        <v>990</v>
      </c>
      <c r="G203" t="s">
        <v>991</v>
      </c>
      <c r="H203" t="s">
        <v>209</v>
      </c>
      <c r="I203" t="s">
        <v>210</v>
      </c>
      <c r="J203" t="s">
        <v>992</v>
      </c>
      <c r="K203" t="s">
        <v>640</v>
      </c>
      <c r="L203">
        <v>80219</v>
      </c>
      <c r="M203" t="s">
        <v>227</v>
      </c>
      <c r="N203" t="s">
        <v>993</v>
      </c>
      <c r="O203" t="s">
        <v>215</v>
      </c>
      <c r="P203" t="s">
        <v>239</v>
      </c>
      <c r="Q203" t="s">
        <v>994</v>
      </c>
      <c r="R203" s="13">
        <v>218.75</v>
      </c>
      <c r="S203">
        <v>2</v>
      </c>
      <c r="T203" s="14">
        <v>0.5</v>
      </c>
      <c r="U203" s="13">
        <v>-161.875</v>
      </c>
      <c r="V203">
        <f t="shared" si="42"/>
        <v>2014</v>
      </c>
      <c r="W203" t="str">
        <f t="shared" si="43"/>
        <v>Aug</v>
      </c>
      <c r="X203" t="str">
        <f t="shared" si="44"/>
        <v>Q3</v>
      </c>
      <c r="Y203" t="str">
        <f t="shared" si="45"/>
        <v>Sun</v>
      </c>
      <c r="Z203" s="16">
        <f t="shared" si="46"/>
        <v>2</v>
      </c>
      <c r="AA203" s="13">
        <f t="shared" si="47"/>
        <v>109.375</v>
      </c>
      <c r="AB203" s="14">
        <f t="shared" si="48"/>
        <v>-0.74</v>
      </c>
      <c r="AC203" t="str">
        <f t="shared" si="49"/>
        <v>High (40%+)</v>
      </c>
      <c r="AD203" t="str">
        <f t="shared" si="50"/>
        <v>High ($200-$500)</v>
      </c>
      <c r="AE203" t="str">
        <f t="shared" si="51"/>
        <v>Small (1-2 units)</v>
      </c>
      <c r="AF203" t="str">
        <f t="shared" si="52"/>
        <v>Loss-Making</v>
      </c>
      <c r="AG203" t="str">
        <f t="shared" si="53"/>
        <v>Underperforming</v>
      </c>
      <c r="AH203" t="str">
        <f t="shared" si="54"/>
        <v>Repeat Customer</v>
      </c>
      <c r="AI203" t="str">
        <f t="shared" si="55"/>
        <v>Fast (&lt;=2 days)</v>
      </c>
    </row>
    <row r="204" spans="1:35" ht="15" customHeight="1" x14ac:dyDescent="0.3">
      <c r="A204">
        <v>203</v>
      </c>
      <c r="B204" t="s">
        <v>989</v>
      </c>
      <c r="C204" s="12">
        <v>41854</v>
      </c>
      <c r="D204" s="12">
        <v>41856</v>
      </c>
      <c r="E204" t="s">
        <v>371</v>
      </c>
      <c r="F204" t="s">
        <v>990</v>
      </c>
      <c r="G204" t="s">
        <v>991</v>
      </c>
      <c r="H204" t="s">
        <v>209</v>
      </c>
      <c r="I204" t="s">
        <v>210</v>
      </c>
      <c r="J204" t="s">
        <v>992</v>
      </c>
      <c r="K204" t="s">
        <v>640</v>
      </c>
      <c r="L204">
        <v>80219</v>
      </c>
      <c r="M204" t="s">
        <v>227</v>
      </c>
      <c r="N204" t="s">
        <v>995</v>
      </c>
      <c r="O204" t="s">
        <v>229</v>
      </c>
      <c r="P204" t="s">
        <v>261</v>
      </c>
      <c r="Q204" t="s">
        <v>996</v>
      </c>
      <c r="R204" s="13">
        <v>2.6</v>
      </c>
      <c r="S204">
        <v>1</v>
      </c>
      <c r="T204" s="14">
        <v>0.2</v>
      </c>
      <c r="U204" s="13">
        <v>0.29249999999999998</v>
      </c>
      <c r="V204">
        <f t="shared" si="42"/>
        <v>2014</v>
      </c>
      <c r="W204" t="str">
        <f t="shared" si="43"/>
        <v>Aug</v>
      </c>
      <c r="X204" t="str">
        <f t="shared" si="44"/>
        <v>Q3</v>
      </c>
      <c r="Y204" t="str">
        <f t="shared" si="45"/>
        <v>Sun</v>
      </c>
      <c r="Z204" s="16">
        <f t="shared" si="46"/>
        <v>2</v>
      </c>
      <c r="AA204" s="13">
        <f t="shared" si="47"/>
        <v>2.6</v>
      </c>
      <c r="AB204" s="14">
        <f t="shared" si="48"/>
        <v>0.11249999999999999</v>
      </c>
      <c r="AC204" t="str">
        <f t="shared" si="49"/>
        <v>Low (1-20%)</v>
      </c>
      <c r="AD204" t="str">
        <f t="shared" si="50"/>
        <v>Low (&lt;$50)</v>
      </c>
      <c r="AE204" t="str">
        <f t="shared" si="51"/>
        <v>Small (1-2 units)</v>
      </c>
      <c r="AF204" t="str">
        <f t="shared" si="52"/>
        <v>Profitable</v>
      </c>
      <c r="AG204" t="str">
        <f t="shared" si="53"/>
        <v>Healthy Margin</v>
      </c>
      <c r="AH204" t="str">
        <f t="shared" si="54"/>
        <v>Repeat Customer</v>
      </c>
      <c r="AI204" t="str">
        <f t="shared" si="55"/>
        <v>Fast (&lt;=2 days)</v>
      </c>
    </row>
    <row r="205" spans="1:35" ht="15" customHeight="1" x14ac:dyDescent="0.3">
      <c r="A205">
        <v>204</v>
      </c>
      <c r="B205" t="s">
        <v>997</v>
      </c>
      <c r="C205" s="12">
        <v>43086</v>
      </c>
      <c r="D205" s="12">
        <v>43090</v>
      </c>
      <c r="E205" t="s">
        <v>206</v>
      </c>
      <c r="F205" t="s">
        <v>998</v>
      </c>
      <c r="G205" t="s">
        <v>999</v>
      </c>
      <c r="H205" t="s">
        <v>209</v>
      </c>
      <c r="I205" t="s">
        <v>210</v>
      </c>
      <c r="J205" t="s">
        <v>1000</v>
      </c>
      <c r="K205" t="s">
        <v>287</v>
      </c>
      <c r="L205">
        <v>75220</v>
      </c>
      <c r="M205" t="s">
        <v>288</v>
      </c>
      <c r="N205" t="s">
        <v>1001</v>
      </c>
      <c r="O205" t="s">
        <v>229</v>
      </c>
      <c r="P205" t="s">
        <v>261</v>
      </c>
      <c r="Q205" t="s">
        <v>1002</v>
      </c>
      <c r="R205" s="13">
        <v>66.284000000000006</v>
      </c>
      <c r="S205">
        <v>2</v>
      </c>
      <c r="T205" s="14">
        <v>0.8</v>
      </c>
      <c r="U205" s="13">
        <v>-178.96680000000001</v>
      </c>
      <c r="V205">
        <f t="shared" si="42"/>
        <v>2017</v>
      </c>
      <c r="W205" t="str">
        <f t="shared" si="43"/>
        <v>Dec</v>
      </c>
      <c r="X205" t="str">
        <f t="shared" si="44"/>
        <v>Q4</v>
      </c>
      <c r="Y205" t="str">
        <f t="shared" si="45"/>
        <v>Sun</v>
      </c>
      <c r="Z205" s="16">
        <f t="shared" si="46"/>
        <v>4</v>
      </c>
      <c r="AA205" s="13">
        <f t="shared" si="47"/>
        <v>33.142000000000003</v>
      </c>
      <c r="AB205" s="14">
        <f t="shared" si="48"/>
        <v>-2.6999999999999997</v>
      </c>
      <c r="AC205" t="str">
        <f t="shared" si="49"/>
        <v>High (40%+)</v>
      </c>
      <c r="AD205" t="str">
        <f t="shared" si="50"/>
        <v>Medium ($50-$200)</v>
      </c>
      <c r="AE205" t="str">
        <f t="shared" si="51"/>
        <v>Small (1-2 units)</v>
      </c>
      <c r="AF205" t="str">
        <f t="shared" si="52"/>
        <v>Loss-Making</v>
      </c>
      <c r="AG205" t="str">
        <f t="shared" si="53"/>
        <v>Underperforming</v>
      </c>
      <c r="AH205" t="str">
        <f t="shared" si="54"/>
        <v>Repeat Customer</v>
      </c>
      <c r="AI205" t="str">
        <f t="shared" si="55"/>
        <v>Standard (3-5 days)</v>
      </c>
    </row>
    <row r="206" spans="1:35" ht="15" customHeight="1" x14ac:dyDescent="0.3">
      <c r="A206">
        <v>205</v>
      </c>
      <c r="B206" t="s">
        <v>1003</v>
      </c>
      <c r="C206" s="12">
        <v>42889</v>
      </c>
      <c r="D206" s="12">
        <v>42893</v>
      </c>
      <c r="E206" t="s">
        <v>233</v>
      </c>
      <c r="F206" t="s">
        <v>1004</v>
      </c>
      <c r="G206" t="s">
        <v>1005</v>
      </c>
      <c r="H206" t="s">
        <v>224</v>
      </c>
      <c r="I206" t="s">
        <v>210</v>
      </c>
      <c r="J206" t="s">
        <v>796</v>
      </c>
      <c r="K206" t="s">
        <v>518</v>
      </c>
      <c r="L206">
        <v>37064</v>
      </c>
      <c r="M206" t="s">
        <v>213</v>
      </c>
      <c r="N206" t="s">
        <v>1006</v>
      </c>
      <c r="O206" t="s">
        <v>215</v>
      </c>
      <c r="P206" t="s">
        <v>248</v>
      </c>
      <c r="Q206" t="s">
        <v>1007</v>
      </c>
      <c r="R206" s="13">
        <v>35.167999999999999</v>
      </c>
      <c r="S206">
        <v>7</v>
      </c>
      <c r="T206" s="14">
        <v>0.2</v>
      </c>
      <c r="U206" s="13">
        <v>9.6712000000000007</v>
      </c>
      <c r="V206">
        <f t="shared" si="42"/>
        <v>2017</v>
      </c>
      <c r="W206" t="str">
        <f t="shared" si="43"/>
        <v>Jun</v>
      </c>
      <c r="X206" t="str">
        <f t="shared" si="44"/>
        <v>Q2</v>
      </c>
      <c r="Y206" t="str">
        <f t="shared" si="45"/>
        <v>Sat</v>
      </c>
      <c r="Z206" s="16">
        <f t="shared" si="46"/>
        <v>4</v>
      </c>
      <c r="AA206" s="13">
        <f t="shared" si="47"/>
        <v>5.024</v>
      </c>
      <c r="AB206" s="14">
        <f t="shared" si="48"/>
        <v>0.27500000000000002</v>
      </c>
      <c r="AC206" t="str">
        <f t="shared" si="49"/>
        <v>Low (1-20%)</v>
      </c>
      <c r="AD206" t="str">
        <f t="shared" si="50"/>
        <v>Low (&lt;$50)</v>
      </c>
      <c r="AE206" t="str">
        <f t="shared" si="51"/>
        <v>Large (6+ units)</v>
      </c>
      <c r="AF206" t="str">
        <f t="shared" si="52"/>
        <v>Profitable</v>
      </c>
      <c r="AG206" t="str">
        <f t="shared" si="53"/>
        <v>High Margin</v>
      </c>
      <c r="AH206" t="str">
        <f t="shared" si="54"/>
        <v>Repeat Customer</v>
      </c>
      <c r="AI206" t="str">
        <f t="shared" si="55"/>
        <v>Standard (3-5 days)</v>
      </c>
    </row>
    <row r="207" spans="1:35" ht="15" customHeight="1" x14ac:dyDescent="0.3">
      <c r="A207">
        <v>206</v>
      </c>
      <c r="B207" t="s">
        <v>1008</v>
      </c>
      <c r="C207" s="12">
        <v>43078</v>
      </c>
      <c r="D207" s="12">
        <v>43083</v>
      </c>
      <c r="E207" t="s">
        <v>233</v>
      </c>
      <c r="F207" t="s">
        <v>1009</v>
      </c>
      <c r="G207" t="s">
        <v>1010</v>
      </c>
      <c r="H207" t="s">
        <v>209</v>
      </c>
      <c r="I207" t="s">
        <v>210</v>
      </c>
      <c r="J207" t="s">
        <v>1011</v>
      </c>
      <c r="K207" t="s">
        <v>226</v>
      </c>
      <c r="L207">
        <v>90604</v>
      </c>
      <c r="M207" t="s">
        <v>227</v>
      </c>
      <c r="N207" t="s">
        <v>1012</v>
      </c>
      <c r="O207" t="s">
        <v>254</v>
      </c>
      <c r="P207" t="s">
        <v>255</v>
      </c>
      <c r="Q207" t="s">
        <v>1013</v>
      </c>
      <c r="R207" s="13">
        <v>444.76799999999997</v>
      </c>
      <c r="S207">
        <v>4</v>
      </c>
      <c r="T207" s="14">
        <v>0.2</v>
      </c>
      <c r="U207" s="13">
        <v>44.476799999999997</v>
      </c>
      <c r="V207">
        <f t="shared" si="42"/>
        <v>2017</v>
      </c>
      <c r="W207" t="str">
        <f t="shared" si="43"/>
        <v>Dec</v>
      </c>
      <c r="X207" t="str">
        <f t="shared" si="44"/>
        <v>Q4</v>
      </c>
      <c r="Y207" t="str">
        <f t="shared" si="45"/>
        <v>Sat</v>
      </c>
      <c r="Z207" s="16">
        <f t="shared" si="46"/>
        <v>5</v>
      </c>
      <c r="AA207" s="13">
        <f t="shared" si="47"/>
        <v>111.19199999999999</v>
      </c>
      <c r="AB207" s="14">
        <f t="shared" si="48"/>
        <v>0.1</v>
      </c>
      <c r="AC207" t="str">
        <f t="shared" si="49"/>
        <v>Low (1-20%)</v>
      </c>
      <c r="AD207" t="str">
        <f t="shared" si="50"/>
        <v>High ($200-$500)</v>
      </c>
      <c r="AE207" t="str">
        <f t="shared" si="51"/>
        <v>Medium (3-5 units)</v>
      </c>
      <c r="AF207" t="str">
        <f t="shared" si="52"/>
        <v>Profitable</v>
      </c>
      <c r="AG207" t="str">
        <f t="shared" si="53"/>
        <v>Healthy Margin</v>
      </c>
      <c r="AH207" t="str">
        <f t="shared" si="54"/>
        <v>Repeat Customer</v>
      </c>
      <c r="AI207" t="str">
        <f t="shared" si="55"/>
        <v>Standard (3-5 days)</v>
      </c>
    </row>
    <row r="208" spans="1:35" ht="15" customHeight="1" x14ac:dyDescent="0.3">
      <c r="A208">
        <v>207</v>
      </c>
      <c r="B208" t="s">
        <v>1014</v>
      </c>
      <c r="C208" s="12">
        <v>43070</v>
      </c>
      <c r="D208" s="12">
        <v>43076</v>
      </c>
      <c r="E208" t="s">
        <v>233</v>
      </c>
      <c r="F208" t="s">
        <v>1015</v>
      </c>
      <c r="G208" t="s">
        <v>1016</v>
      </c>
      <c r="H208" t="s">
        <v>209</v>
      </c>
      <c r="I208" t="s">
        <v>210</v>
      </c>
      <c r="J208" t="s">
        <v>1017</v>
      </c>
      <c r="K208" t="s">
        <v>421</v>
      </c>
      <c r="L208">
        <v>48601</v>
      </c>
      <c r="M208" t="s">
        <v>288</v>
      </c>
      <c r="N208" t="s">
        <v>1018</v>
      </c>
      <c r="O208" t="s">
        <v>229</v>
      </c>
      <c r="P208" t="s">
        <v>242</v>
      </c>
      <c r="Q208" t="s">
        <v>1019</v>
      </c>
      <c r="R208" s="13">
        <v>83.92</v>
      </c>
      <c r="S208">
        <v>4</v>
      </c>
      <c r="T208" s="14">
        <v>0</v>
      </c>
      <c r="U208" s="13">
        <v>5.8743999999999899</v>
      </c>
      <c r="V208">
        <f t="shared" si="42"/>
        <v>2017</v>
      </c>
      <c r="W208" t="str">
        <f t="shared" si="43"/>
        <v>Dec</v>
      </c>
      <c r="X208" t="str">
        <f t="shared" si="44"/>
        <v>Q4</v>
      </c>
      <c r="Y208" t="str">
        <f t="shared" si="45"/>
        <v>Fri</v>
      </c>
      <c r="Z208" s="16">
        <f t="shared" si="46"/>
        <v>6</v>
      </c>
      <c r="AA208" s="13">
        <f t="shared" si="47"/>
        <v>20.98</v>
      </c>
      <c r="AB208" s="14">
        <f t="shared" si="48"/>
        <v>6.9999999999999882E-2</v>
      </c>
      <c r="AC208" t="str">
        <f t="shared" si="49"/>
        <v>No Discount</v>
      </c>
      <c r="AD208" t="str">
        <f t="shared" si="50"/>
        <v>Medium ($50-$200)</v>
      </c>
      <c r="AE208" t="str">
        <f t="shared" si="51"/>
        <v>Medium (3-5 units)</v>
      </c>
      <c r="AF208" t="str">
        <f t="shared" si="52"/>
        <v>Profitable</v>
      </c>
      <c r="AG208" t="str">
        <f t="shared" si="53"/>
        <v>Low Margin</v>
      </c>
      <c r="AH208" t="str">
        <f t="shared" si="54"/>
        <v>Repeat Customer</v>
      </c>
      <c r="AI208" t="str">
        <f t="shared" si="55"/>
        <v>Slow (6+ days)</v>
      </c>
    </row>
    <row r="209" spans="1:35" ht="15" customHeight="1" x14ac:dyDescent="0.3">
      <c r="A209">
        <v>208</v>
      </c>
      <c r="B209" t="s">
        <v>1014</v>
      </c>
      <c r="C209" s="12">
        <v>43070</v>
      </c>
      <c r="D209" s="12">
        <v>43076</v>
      </c>
      <c r="E209" t="s">
        <v>233</v>
      </c>
      <c r="F209" t="s">
        <v>1015</v>
      </c>
      <c r="G209" t="s">
        <v>1016</v>
      </c>
      <c r="H209" t="s">
        <v>209</v>
      </c>
      <c r="I209" t="s">
        <v>210</v>
      </c>
      <c r="J209" t="s">
        <v>1017</v>
      </c>
      <c r="K209" t="s">
        <v>421</v>
      </c>
      <c r="L209">
        <v>48601</v>
      </c>
      <c r="M209" t="s">
        <v>288</v>
      </c>
      <c r="N209" t="s">
        <v>1020</v>
      </c>
      <c r="O209" t="s">
        <v>254</v>
      </c>
      <c r="P209" t="s">
        <v>255</v>
      </c>
      <c r="Q209" t="s">
        <v>1021</v>
      </c>
      <c r="R209" s="13">
        <v>131.97999999999999</v>
      </c>
      <c r="S209">
        <v>2</v>
      </c>
      <c r="T209" s="14">
        <v>0</v>
      </c>
      <c r="U209" s="13">
        <v>35.634599999999999</v>
      </c>
      <c r="V209">
        <f t="shared" si="42"/>
        <v>2017</v>
      </c>
      <c r="W209" t="str">
        <f t="shared" si="43"/>
        <v>Dec</v>
      </c>
      <c r="X209" t="str">
        <f t="shared" si="44"/>
        <v>Q4</v>
      </c>
      <c r="Y209" t="str">
        <f t="shared" si="45"/>
        <v>Fri</v>
      </c>
      <c r="Z209" s="16">
        <f t="shared" si="46"/>
        <v>6</v>
      </c>
      <c r="AA209" s="13">
        <f t="shared" si="47"/>
        <v>65.989999999999995</v>
      </c>
      <c r="AB209" s="14">
        <f t="shared" si="48"/>
        <v>0.27</v>
      </c>
      <c r="AC209" t="str">
        <f t="shared" si="49"/>
        <v>No Discount</v>
      </c>
      <c r="AD209" t="str">
        <f t="shared" si="50"/>
        <v>Medium ($50-$200)</v>
      </c>
      <c r="AE209" t="str">
        <f t="shared" si="51"/>
        <v>Small (1-2 units)</v>
      </c>
      <c r="AF209" t="str">
        <f t="shared" si="52"/>
        <v>Profitable</v>
      </c>
      <c r="AG209" t="str">
        <f t="shared" si="53"/>
        <v>High Margin</v>
      </c>
      <c r="AH209" t="str">
        <f t="shared" si="54"/>
        <v>Repeat Customer</v>
      </c>
      <c r="AI209" t="str">
        <f t="shared" si="55"/>
        <v>Slow (6+ days)</v>
      </c>
    </row>
    <row r="210" spans="1:35" ht="15" customHeight="1" x14ac:dyDescent="0.3">
      <c r="A210">
        <v>209</v>
      </c>
      <c r="B210" t="s">
        <v>1014</v>
      </c>
      <c r="C210" s="12">
        <v>43070</v>
      </c>
      <c r="D210" s="12">
        <v>43076</v>
      </c>
      <c r="E210" t="s">
        <v>233</v>
      </c>
      <c r="F210" t="s">
        <v>1015</v>
      </c>
      <c r="G210" t="s">
        <v>1016</v>
      </c>
      <c r="H210" t="s">
        <v>209</v>
      </c>
      <c r="I210" t="s">
        <v>210</v>
      </c>
      <c r="J210" t="s">
        <v>1017</v>
      </c>
      <c r="K210" t="s">
        <v>421</v>
      </c>
      <c r="L210">
        <v>48601</v>
      </c>
      <c r="M210" t="s">
        <v>288</v>
      </c>
      <c r="N210" t="s">
        <v>728</v>
      </c>
      <c r="O210" t="s">
        <v>229</v>
      </c>
      <c r="P210" t="s">
        <v>258</v>
      </c>
      <c r="Q210" t="s">
        <v>729</v>
      </c>
      <c r="R210" s="13">
        <v>15.92</v>
      </c>
      <c r="S210">
        <v>4</v>
      </c>
      <c r="T210" s="14">
        <v>0</v>
      </c>
      <c r="U210" s="13">
        <v>7.4824000000000002</v>
      </c>
      <c r="V210">
        <f t="shared" si="42"/>
        <v>2017</v>
      </c>
      <c r="W210" t="str">
        <f t="shared" si="43"/>
        <v>Dec</v>
      </c>
      <c r="X210" t="str">
        <f t="shared" si="44"/>
        <v>Q4</v>
      </c>
      <c r="Y210" t="str">
        <f t="shared" si="45"/>
        <v>Fri</v>
      </c>
      <c r="Z210" s="16">
        <f t="shared" si="46"/>
        <v>6</v>
      </c>
      <c r="AA210" s="13">
        <f t="shared" si="47"/>
        <v>3.98</v>
      </c>
      <c r="AB210" s="14">
        <f t="shared" si="48"/>
        <v>0.47000000000000003</v>
      </c>
      <c r="AC210" t="str">
        <f t="shared" si="49"/>
        <v>No Discount</v>
      </c>
      <c r="AD210" t="str">
        <f t="shared" si="50"/>
        <v>Low (&lt;$50)</v>
      </c>
      <c r="AE210" t="str">
        <f t="shared" si="51"/>
        <v>Medium (3-5 units)</v>
      </c>
      <c r="AF210" t="str">
        <f t="shared" si="52"/>
        <v>Profitable</v>
      </c>
      <c r="AG210" t="str">
        <f t="shared" si="53"/>
        <v>High Margin</v>
      </c>
      <c r="AH210" t="str">
        <f t="shared" si="54"/>
        <v>Repeat Customer</v>
      </c>
      <c r="AI210" t="str">
        <f t="shared" si="55"/>
        <v>Slow (6+ days)</v>
      </c>
    </row>
    <row r="211" spans="1:35" ht="15" customHeight="1" x14ac:dyDescent="0.3">
      <c r="A211">
        <v>210</v>
      </c>
      <c r="B211" t="s">
        <v>1014</v>
      </c>
      <c r="C211" s="12">
        <v>43070</v>
      </c>
      <c r="D211" s="12">
        <v>43076</v>
      </c>
      <c r="E211" t="s">
        <v>233</v>
      </c>
      <c r="F211" t="s">
        <v>1015</v>
      </c>
      <c r="G211" t="s">
        <v>1016</v>
      </c>
      <c r="H211" t="s">
        <v>209</v>
      </c>
      <c r="I211" t="s">
        <v>210</v>
      </c>
      <c r="J211" t="s">
        <v>1017</v>
      </c>
      <c r="K211" t="s">
        <v>421</v>
      </c>
      <c r="L211">
        <v>48601</v>
      </c>
      <c r="M211" t="s">
        <v>288</v>
      </c>
      <c r="N211" t="s">
        <v>1022</v>
      </c>
      <c r="O211" t="s">
        <v>229</v>
      </c>
      <c r="P211" t="s">
        <v>452</v>
      </c>
      <c r="Q211" t="s">
        <v>1023</v>
      </c>
      <c r="R211" s="13">
        <v>52.29</v>
      </c>
      <c r="S211">
        <v>9</v>
      </c>
      <c r="T211" s="14">
        <v>0</v>
      </c>
      <c r="U211" s="13">
        <v>16.209900000000001</v>
      </c>
      <c r="V211">
        <f t="shared" si="42"/>
        <v>2017</v>
      </c>
      <c r="W211" t="str">
        <f t="shared" si="43"/>
        <v>Dec</v>
      </c>
      <c r="X211" t="str">
        <f t="shared" si="44"/>
        <v>Q4</v>
      </c>
      <c r="Y211" t="str">
        <f t="shared" si="45"/>
        <v>Fri</v>
      </c>
      <c r="Z211" s="16">
        <f t="shared" si="46"/>
        <v>6</v>
      </c>
      <c r="AA211" s="13">
        <f t="shared" si="47"/>
        <v>5.81</v>
      </c>
      <c r="AB211" s="14">
        <f t="shared" si="48"/>
        <v>0.31000000000000005</v>
      </c>
      <c r="AC211" t="str">
        <f t="shared" si="49"/>
        <v>No Discount</v>
      </c>
      <c r="AD211" t="str">
        <f t="shared" si="50"/>
        <v>Medium ($50-$200)</v>
      </c>
      <c r="AE211" t="str">
        <f t="shared" si="51"/>
        <v>Large (6+ units)</v>
      </c>
      <c r="AF211" t="str">
        <f t="shared" si="52"/>
        <v>Profitable</v>
      </c>
      <c r="AG211" t="str">
        <f t="shared" si="53"/>
        <v>High Margin</v>
      </c>
      <c r="AH211" t="str">
        <f t="shared" si="54"/>
        <v>Repeat Customer</v>
      </c>
      <c r="AI211" t="str">
        <f t="shared" si="55"/>
        <v>Slow (6+ days)</v>
      </c>
    </row>
    <row r="212" spans="1:35" ht="15" customHeight="1" x14ac:dyDescent="0.3">
      <c r="A212">
        <v>211</v>
      </c>
      <c r="B212" t="s">
        <v>1014</v>
      </c>
      <c r="C212" s="12">
        <v>43070</v>
      </c>
      <c r="D212" s="12">
        <v>43076</v>
      </c>
      <c r="E212" t="s">
        <v>233</v>
      </c>
      <c r="F212" t="s">
        <v>1015</v>
      </c>
      <c r="G212" t="s">
        <v>1016</v>
      </c>
      <c r="H212" t="s">
        <v>209</v>
      </c>
      <c r="I212" t="s">
        <v>210</v>
      </c>
      <c r="J212" t="s">
        <v>1017</v>
      </c>
      <c r="K212" t="s">
        <v>421</v>
      </c>
      <c r="L212">
        <v>48601</v>
      </c>
      <c r="M212" t="s">
        <v>288</v>
      </c>
      <c r="N212" t="s">
        <v>1024</v>
      </c>
      <c r="O212" t="s">
        <v>229</v>
      </c>
      <c r="P212" t="s">
        <v>242</v>
      </c>
      <c r="Q212" t="s">
        <v>1025</v>
      </c>
      <c r="R212" s="13">
        <v>91.99</v>
      </c>
      <c r="S212">
        <v>1</v>
      </c>
      <c r="T212" s="14">
        <v>0</v>
      </c>
      <c r="U212" s="13">
        <v>3.67959999999999</v>
      </c>
      <c r="V212">
        <f t="shared" si="42"/>
        <v>2017</v>
      </c>
      <c r="W212" t="str">
        <f t="shared" si="43"/>
        <v>Dec</v>
      </c>
      <c r="X212" t="str">
        <f t="shared" si="44"/>
        <v>Q4</v>
      </c>
      <c r="Y212" t="str">
        <f t="shared" si="45"/>
        <v>Fri</v>
      </c>
      <c r="Z212" s="16">
        <f t="shared" si="46"/>
        <v>6</v>
      </c>
      <c r="AA212" s="13">
        <f t="shared" si="47"/>
        <v>91.99</v>
      </c>
      <c r="AB212" s="14">
        <f t="shared" si="48"/>
        <v>3.9999999999999897E-2</v>
      </c>
      <c r="AC212" t="str">
        <f t="shared" si="49"/>
        <v>No Discount</v>
      </c>
      <c r="AD212" t="str">
        <f t="shared" si="50"/>
        <v>Medium ($50-$200)</v>
      </c>
      <c r="AE212" t="str">
        <f t="shared" si="51"/>
        <v>Small (1-2 units)</v>
      </c>
      <c r="AF212" t="str">
        <f t="shared" si="52"/>
        <v>Profitable</v>
      </c>
      <c r="AG212" t="str">
        <f t="shared" si="53"/>
        <v>Low Margin</v>
      </c>
      <c r="AH212" t="str">
        <f t="shared" si="54"/>
        <v>Repeat Customer</v>
      </c>
      <c r="AI212" t="str">
        <f t="shared" si="55"/>
        <v>Slow (6+ days)</v>
      </c>
    </row>
    <row r="213" spans="1:35" ht="15" customHeight="1" x14ac:dyDescent="0.3">
      <c r="A213">
        <v>212</v>
      </c>
      <c r="B213" t="s">
        <v>1026</v>
      </c>
      <c r="C213" s="12">
        <v>42044</v>
      </c>
      <c r="D213" s="12">
        <v>42048</v>
      </c>
      <c r="E213" t="s">
        <v>206</v>
      </c>
      <c r="F213" t="s">
        <v>1027</v>
      </c>
      <c r="G213" t="s">
        <v>1028</v>
      </c>
      <c r="H213" t="s">
        <v>224</v>
      </c>
      <c r="I213" t="s">
        <v>210</v>
      </c>
      <c r="J213" t="s">
        <v>1000</v>
      </c>
      <c r="K213" t="s">
        <v>287</v>
      </c>
      <c r="L213">
        <v>75220</v>
      </c>
      <c r="M213" t="s">
        <v>288</v>
      </c>
      <c r="N213" t="s">
        <v>1029</v>
      </c>
      <c r="O213" t="s">
        <v>254</v>
      </c>
      <c r="P213" t="s">
        <v>344</v>
      </c>
      <c r="Q213" t="s">
        <v>1030</v>
      </c>
      <c r="R213" s="13">
        <v>20.8</v>
      </c>
      <c r="S213">
        <v>2</v>
      </c>
      <c r="T213" s="14">
        <v>0.2</v>
      </c>
      <c r="U213" s="13">
        <v>6.5</v>
      </c>
      <c r="V213">
        <f t="shared" si="42"/>
        <v>2015</v>
      </c>
      <c r="W213" t="str">
        <f t="shared" si="43"/>
        <v>Feb</v>
      </c>
      <c r="X213" t="str">
        <f t="shared" si="44"/>
        <v>Q1</v>
      </c>
      <c r="Y213" t="str">
        <f t="shared" si="45"/>
        <v>Mon</v>
      </c>
      <c r="Z213" s="16">
        <f t="shared" si="46"/>
        <v>4</v>
      </c>
      <c r="AA213" s="13">
        <f t="shared" si="47"/>
        <v>10.4</v>
      </c>
      <c r="AB213" s="14">
        <f t="shared" si="48"/>
        <v>0.3125</v>
      </c>
      <c r="AC213" t="str">
        <f t="shared" si="49"/>
        <v>Low (1-20%)</v>
      </c>
      <c r="AD213" t="str">
        <f t="shared" si="50"/>
        <v>Low (&lt;$50)</v>
      </c>
      <c r="AE213" t="str">
        <f t="shared" si="51"/>
        <v>Small (1-2 units)</v>
      </c>
      <c r="AF213" t="str">
        <f t="shared" si="52"/>
        <v>Profitable</v>
      </c>
      <c r="AG213" t="str">
        <f t="shared" si="53"/>
        <v>High Margin</v>
      </c>
      <c r="AH213" t="str">
        <f t="shared" si="54"/>
        <v>Single Purchase</v>
      </c>
      <c r="AI213" t="str">
        <f t="shared" si="55"/>
        <v>Standard (3-5 days)</v>
      </c>
    </row>
    <row r="214" spans="1:35" ht="15" customHeight="1" x14ac:dyDescent="0.3">
      <c r="A214">
        <v>213</v>
      </c>
      <c r="B214" t="s">
        <v>1031</v>
      </c>
      <c r="C214" s="12">
        <v>42006</v>
      </c>
      <c r="D214" s="12">
        <v>42013</v>
      </c>
      <c r="E214" t="s">
        <v>233</v>
      </c>
      <c r="F214" t="s">
        <v>1032</v>
      </c>
      <c r="G214" t="s">
        <v>1033</v>
      </c>
      <c r="H214" t="s">
        <v>224</v>
      </c>
      <c r="I214" t="s">
        <v>210</v>
      </c>
      <c r="J214" t="s">
        <v>1034</v>
      </c>
      <c r="K214" t="s">
        <v>681</v>
      </c>
      <c r="L214">
        <v>44256</v>
      </c>
      <c r="M214" t="s">
        <v>331</v>
      </c>
      <c r="N214" t="s">
        <v>1035</v>
      </c>
      <c r="O214" t="s">
        <v>229</v>
      </c>
      <c r="P214" t="s">
        <v>230</v>
      </c>
      <c r="Q214" t="s">
        <v>1036</v>
      </c>
      <c r="R214" s="13">
        <v>23.68</v>
      </c>
      <c r="S214">
        <v>2</v>
      </c>
      <c r="T214" s="14">
        <v>0.2</v>
      </c>
      <c r="U214" s="13">
        <v>8.8800000000000008</v>
      </c>
      <c r="V214">
        <f t="shared" si="42"/>
        <v>2015</v>
      </c>
      <c r="W214" t="str">
        <f t="shared" si="43"/>
        <v>Jan</v>
      </c>
      <c r="X214" t="str">
        <f t="shared" si="44"/>
        <v>Q1</v>
      </c>
      <c r="Y214" t="str">
        <f t="shared" si="45"/>
        <v>Fri</v>
      </c>
      <c r="Z214" s="16">
        <f t="shared" si="46"/>
        <v>7</v>
      </c>
      <c r="AA214" s="13">
        <f t="shared" si="47"/>
        <v>11.84</v>
      </c>
      <c r="AB214" s="14">
        <f t="shared" si="48"/>
        <v>0.37500000000000006</v>
      </c>
      <c r="AC214" t="str">
        <f t="shared" si="49"/>
        <v>Low (1-20%)</v>
      </c>
      <c r="AD214" t="str">
        <f t="shared" si="50"/>
        <v>Low (&lt;$50)</v>
      </c>
      <c r="AE214" t="str">
        <f t="shared" si="51"/>
        <v>Small (1-2 units)</v>
      </c>
      <c r="AF214" t="str">
        <f t="shared" si="52"/>
        <v>Profitable</v>
      </c>
      <c r="AG214" t="str">
        <f t="shared" si="53"/>
        <v>High Margin</v>
      </c>
      <c r="AH214" t="str">
        <f t="shared" si="54"/>
        <v>Repeat Customer</v>
      </c>
      <c r="AI214" t="str">
        <f t="shared" si="55"/>
        <v>Slow (6+ days)</v>
      </c>
    </row>
    <row r="215" spans="1:35" ht="15" customHeight="1" x14ac:dyDescent="0.3">
      <c r="A215">
        <v>214</v>
      </c>
      <c r="B215" t="s">
        <v>1031</v>
      </c>
      <c r="C215" s="12">
        <v>42006</v>
      </c>
      <c r="D215" s="12">
        <v>42013</v>
      </c>
      <c r="E215" t="s">
        <v>233</v>
      </c>
      <c r="F215" t="s">
        <v>1032</v>
      </c>
      <c r="G215" t="s">
        <v>1033</v>
      </c>
      <c r="H215" t="s">
        <v>224</v>
      </c>
      <c r="I215" t="s">
        <v>210</v>
      </c>
      <c r="J215" t="s">
        <v>1034</v>
      </c>
      <c r="K215" t="s">
        <v>681</v>
      </c>
      <c r="L215">
        <v>44256</v>
      </c>
      <c r="M215" t="s">
        <v>331</v>
      </c>
      <c r="N215" t="s">
        <v>1037</v>
      </c>
      <c r="O215" t="s">
        <v>215</v>
      </c>
      <c r="P215" t="s">
        <v>216</v>
      </c>
      <c r="Q215" t="s">
        <v>1038</v>
      </c>
      <c r="R215" s="13">
        <v>452.45</v>
      </c>
      <c r="S215">
        <v>5</v>
      </c>
      <c r="T215" s="14">
        <v>0.5</v>
      </c>
      <c r="U215" s="13">
        <v>-244.32300000000001</v>
      </c>
      <c r="V215">
        <f t="shared" si="42"/>
        <v>2015</v>
      </c>
      <c r="W215" t="str">
        <f t="shared" si="43"/>
        <v>Jan</v>
      </c>
      <c r="X215" t="str">
        <f t="shared" si="44"/>
        <v>Q1</v>
      </c>
      <c r="Y215" t="str">
        <f t="shared" si="45"/>
        <v>Fri</v>
      </c>
      <c r="Z215" s="16">
        <f t="shared" si="46"/>
        <v>7</v>
      </c>
      <c r="AA215" s="13">
        <f t="shared" si="47"/>
        <v>90.49</v>
      </c>
      <c r="AB215" s="14">
        <f t="shared" si="48"/>
        <v>-0.54</v>
      </c>
      <c r="AC215" t="str">
        <f t="shared" si="49"/>
        <v>High (40%+)</v>
      </c>
      <c r="AD215" t="str">
        <f t="shared" si="50"/>
        <v>High ($200-$500)</v>
      </c>
      <c r="AE215" t="str">
        <f t="shared" si="51"/>
        <v>Medium (3-5 units)</v>
      </c>
      <c r="AF215" t="str">
        <f t="shared" si="52"/>
        <v>Loss-Making</v>
      </c>
      <c r="AG215" t="str">
        <f t="shared" si="53"/>
        <v>Underperforming</v>
      </c>
      <c r="AH215" t="str">
        <f t="shared" si="54"/>
        <v>Repeat Customer</v>
      </c>
      <c r="AI215" t="str">
        <f t="shared" si="55"/>
        <v>Slow (6+ days)</v>
      </c>
    </row>
    <row r="216" spans="1:35" ht="15" customHeight="1" x14ac:dyDescent="0.3">
      <c r="A216">
        <v>215</v>
      </c>
      <c r="B216" t="s">
        <v>1031</v>
      </c>
      <c r="C216" s="12">
        <v>42006</v>
      </c>
      <c r="D216" s="12">
        <v>42013</v>
      </c>
      <c r="E216" t="s">
        <v>233</v>
      </c>
      <c r="F216" t="s">
        <v>1032</v>
      </c>
      <c r="G216" t="s">
        <v>1033</v>
      </c>
      <c r="H216" t="s">
        <v>224</v>
      </c>
      <c r="I216" t="s">
        <v>210</v>
      </c>
      <c r="J216" t="s">
        <v>1034</v>
      </c>
      <c r="K216" t="s">
        <v>681</v>
      </c>
      <c r="L216">
        <v>44256</v>
      </c>
      <c r="M216" t="s">
        <v>331</v>
      </c>
      <c r="N216" t="s">
        <v>653</v>
      </c>
      <c r="O216" t="s">
        <v>254</v>
      </c>
      <c r="P216" t="s">
        <v>255</v>
      </c>
      <c r="Q216" t="s">
        <v>654</v>
      </c>
      <c r="R216" s="13">
        <v>62.981999999999999</v>
      </c>
      <c r="S216">
        <v>3</v>
      </c>
      <c r="T216" s="14">
        <v>0.4</v>
      </c>
      <c r="U216" s="13">
        <v>-14.6958</v>
      </c>
      <c r="V216">
        <f t="shared" si="42"/>
        <v>2015</v>
      </c>
      <c r="W216" t="str">
        <f t="shared" si="43"/>
        <v>Jan</v>
      </c>
      <c r="X216" t="str">
        <f t="shared" si="44"/>
        <v>Q1</v>
      </c>
      <c r="Y216" t="str">
        <f t="shared" si="45"/>
        <v>Fri</v>
      </c>
      <c r="Z216" s="16">
        <f t="shared" si="46"/>
        <v>7</v>
      </c>
      <c r="AA216" s="13">
        <f t="shared" si="47"/>
        <v>20.994</v>
      </c>
      <c r="AB216" s="14">
        <f t="shared" si="48"/>
        <v>-0.23333333333333334</v>
      </c>
      <c r="AC216" t="str">
        <f t="shared" si="49"/>
        <v>Medium (21-40%)</v>
      </c>
      <c r="AD216" t="str">
        <f t="shared" si="50"/>
        <v>Medium ($50-$200)</v>
      </c>
      <c r="AE216" t="str">
        <f t="shared" si="51"/>
        <v>Medium (3-5 units)</v>
      </c>
      <c r="AF216" t="str">
        <f t="shared" si="52"/>
        <v>Loss-Making</v>
      </c>
      <c r="AG216" t="str">
        <f t="shared" si="53"/>
        <v>Underperforming</v>
      </c>
      <c r="AH216" t="str">
        <f t="shared" si="54"/>
        <v>Repeat Customer</v>
      </c>
      <c r="AI216" t="str">
        <f t="shared" si="55"/>
        <v>Slow (6+ days)</v>
      </c>
    </row>
    <row r="217" spans="1:35" ht="15" customHeight="1" x14ac:dyDescent="0.3">
      <c r="A217">
        <v>216</v>
      </c>
      <c r="B217" t="s">
        <v>1031</v>
      </c>
      <c r="C217" s="12">
        <v>42006</v>
      </c>
      <c r="D217" s="12">
        <v>42013</v>
      </c>
      <c r="E217" t="s">
        <v>233</v>
      </c>
      <c r="F217" t="s">
        <v>1032</v>
      </c>
      <c r="G217" t="s">
        <v>1033</v>
      </c>
      <c r="H217" t="s">
        <v>224</v>
      </c>
      <c r="I217" t="s">
        <v>210</v>
      </c>
      <c r="J217" t="s">
        <v>1034</v>
      </c>
      <c r="K217" t="s">
        <v>681</v>
      </c>
      <c r="L217">
        <v>44256</v>
      </c>
      <c r="M217" t="s">
        <v>331</v>
      </c>
      <c r="N217" t="s">
        <v>1039</v>
      </c>
      <c r="O217" t="s">
        <v>254</v>
      </c>
      <c r="P217" t="s">
        <v>867</v>
      </c>
      <c r="Q217" t="s">
        <v>1040</v>
      </c>
      <c r="R217" s="13">
        <v>1188</v>
      </c>
      <c r="S217">
        <v>9</v>
      </c>
      <c r="T217" s="14">
        <v>0.7</v>
      </c>
      <c r="U217" s="13">
        <v>-950.4</v>
      </c>
      <c r="V217">
        <f t="shared" si="42"/>
        <v>2015</v>
      </c>
      <c r="W217" t="str">
        <f t="shared" si="43"/>
        <v>Jan</v>
      </c>
      <c r="X217" t="str">
        <f t="shared" si="44"/>
        <v>Q1</v>
      </c>
      <c r="Y217" t="str">
        <f t="shared" si="45"/>
        <v>Fri</v>
      </c>
      <c r="Z217" s="16">
        <f t="shared" si="46"/>
        <v>7</v>
      </c>
      <c r="AA217" s="13">
        <f t="shared" si="47"/>
        <v>132</v>
      </c>
      <c r="AB217" s="14">
        <f t="shared" si="48"/>
        <v>-0.79999999999999993</v>
      </c>
      <c r="AC217" t="str">
        <f t="shared" si="49"/>
        <v>High (40%+)</v>
      </c>
      <c r="AD217" t="str">
        <f t="shared" si="50"/>
        <v>Premium ($500+)</v>
      </c>
      <c r="AE217" t="str">
        <f t="shared" si="51"/>
        <v>Large (6+ units)</v>
      </c>
      <c r="AF217" t="str">
        <f t="shared" si="52"/>
        <v>Loss-Making</v>
      </c>
      <c r="AG217" t="str">
        <f t="shared" si="53"/>
        <v>Underperforming</v>
      </c>
      <c r="AH217" t="str">
        <f t="shared" si="54"/>
        <v>Repeat Customer</v>
      </c>
      <c r="AI217" t="str">
        <f t="shared" si="55"/>
        <v>Slow (6+ days)</v>
      </c>
    </row>
    <row r="218" spans="1:35" ht="15" customHeight="1" x14ac:dyDescent="0.3">
      <c r="A218">
        <v>217</v>
      </c>
      <c r="B218" t="s">
        <v>1031</v>
      </c>
      <c r="C218" s="12">
        <v>42006</v>
      </c>
      <c r="D218" s="12">
        <v>42013</v>
      </c>
      <c r="E218" t="s">
        <v>233</v>
      </c>
      <c r="F218" t="s">
        <v>1032</v>
      </c>
      <c r="G218" t="s">
        <v>1033</v>
      </c>
      <c r="H218" t="s">
        <v>224</v>
      </c>
      <c r="I218" t="s">
        <v>210</v>
      </c>
      <c r="J218" t="s">
        <v>1034</v>
      </c>
      <c r="K218" t="s">
        <v>681</v>
      </c>
      <c r="L218">
        <v>44256</v>
      </c>
      <c r="M218" t="s">
        <v>331</v>
      </c>
      <c r="N218" t="s">
        <v>1041</v>
      </c>
      <c r="O218" t="s">
        <v>254</v>
      </c>
      <c r="P218" t="s">
        <v>344</v>
      </c>
      <c r="Q218" t="s">
        <v>1042</v>
      </c>
      <c r="R218" s="13">
        <v>89.584000000000003</v>
      </c>
      <c r="S218">
        <v>2</v>
      </c>
      <c r="T218" s="14">
        <v>0.2</v>
      </c>
      <c r="U218" s="13">
        <v>4.4792000000000103</v>
      </c>
      <c r="V218">
        <f t="shared" si="42"/>
        <v>2015</v>
      </c>
      <c r="W218" t="str">
        <f t="shared" si="43"/>
        <v>Jan</v>
      </c>
      <c r="X218" t="str">
        <f t="shared" si="44"/>
        <v>Q1</v>
      </c>
      <c r="Y218" t="str">
        <f t="shared" si="45"/>
        <v>Fri</v>
      </c>
      <c r="Z218" s="16">
        <f t="shared" si="46"/>
        <v>7</v>
      </c>
      <c r="AA218" s="13">
        <f t="shared" si="47"/>
        <v>44.792000000000002</v>
      </c>
      <c r="AB218" s="14">
        <f t="shared" si="48"/>
        <v>5.0000000000000114E-2</v>
      </c>
      <c r="AC218" t="str">
        <f t="shared" si="49"/>
        <v>Low (1-20%)</v>
      </c>
      <c r="AD218" t="str">
        <f t="shared" si="50"/>
        <v>Medium ($50-$200)</v>
      </c>
      <c r="AE218" t="str">
        <f t="shared" si="51"/>
        <v>Small (1-2 units)</v>
      </c>
      <c r="AF218" t="str">
        <f t="shared" si="52"/>
        <v>Profitable</v>
      </c>
      <c r="AG218" t="str">
        <f t="shared" si="53"/>
        <v>Low Margin</v>
      </c>
      <c r="AH218" t="str">
        <f t="shared" si="54"/>
        <v>Repeat Customer</v>
      </c>
      <c r="AI218" t="str">
        <f t="shared" si="55"/>
        <v>Slow (6+ days)</v>
      </c>
    </row>
    <row r="219" spans="1:35" ht="15" customHeight="1" x14ac:dyDescent="0.3">
      <c r="A219">
        <v>218</v>
      </c>
      <c r="B219" t="s">
        <v>1043</v>
      </c>
      <c r="C219" s="12">
        <v>42671</v>
      </c>
      <c r="D219" s="12">
        <v>42675</v>
      </c>
      <c r="E219" t="s">
        <v>233</v>
      </c>
      <c r="F219" t="s">
        <v>1044</v>
      </c>
      <c r="G219" t="s">
        <v>1045</v>
      </c>
      <c r="H219" t="s">
        <v>209</v>
      </c>
      <c r="I219" t="s">
        <v>210</v>
      </c>
      <c r="J219" t="s">
        <v>225</v>
      </c>
      <c r="K219" t="s">
        <v>226</v>
      </c>
      <c r="L219">
        <v>90032</v>
      </c>
      <c r="M219" t="s">
        <v>227</v>
      </c>
      <c r="N219" t="s">
        <v>944</v>
      </c>
      <c r="O219" t="s">
        <v>229</v>
      </c>
      <c r="P219" t="s">
        <v>242</v>
      </c>
      <c r="Q219" t="s">
        <v>945</v>
      </c>
      <c r="R219" s="13">
        <v>93.06</v>
      </c>
      <c r="S219">
        <v>6</v>
      </c>
      <c r="T219" s="14">
        <v>0</v>
      </c>
      <c r="U219" s="13">
        <v>26.056799999999999</v>
      </c>
      <c r="V219">
        <f t="shared" si="42"/>
        <v>2016</v>
      </c>
      <c r="W219" t="str">
        <f t="shared" si="43"/>
        <v>Oct</v>
      </c>
      <c r="X219" t="str">
        <f t="shared" si="44"/>
        <v>Q4</v>
      </c>
      <c r="Y219" t="str">
        <f t="shared" si="45"/>
        <v>Fri</v>
      </c>
      <c r="Z219" s="16">
        <f t="shared" si="46"/>
        <v>4</v>
      </c>
      <c r="AA219" s="13">
        <f t="shared" si="47"/>
        <v>15.51</v>
      </c>
      <c r="AB219" s="14">
        <f t="shared" si="48"/>
        <v>0.27999999999999997</v>
      </c>
      <c r="AC219" t="str">
        <f t="shared" si="49"/>
        <v>No Discount</v>
      </c>
      <c r="AD219" t="str">
        <f t="shared" si="50"/>
        <v>Medium ($50-$200)</v>
      </c>
      <c r="AE219" t="str">
        <f t="shared" si="51"/>
        <v>Large (6+ units)</v>
      </c>
      <c r="AF219" t="str">
        <f t="shared" si="52"/>
        <v>Profitable</v>
      </c>
      <c r="AG219" t="str">
        <f t="shared" si="53"/>
        <v>High Margin</v>
      </c>
      <c r="AH219" t="str">
        <f t="shared" si="54"/>
        <v>Repeat Customer</v>
      </c>
      <c r="AI219" t="str">
        <f t="shared" si="55"/>
        <v>Standard (3-5 days)</v>
      </c>
    </row>
    <row r="220" spans="1:35" ht="15" customHeight="1" x14ac:dyDescent="0.3">
      <c r="A220">
        <v>219</v>
      </c>
      <c r="B220" t="s">
        <v>1043</v>
      </c>
      <c r="C220" s="12">
        <v>42671</v>
      </c>
      <c r="D220" s="12">
        <v>42675</v>
      </c>
      <c r="E220" t="s">
        <v>233</v>
      </c>
      <c r="F220" t="s">
        <v>1044</v>
      </c>
      <c r="G220" t="s">
        <v>1045</v>
      </c>
      <c r="H220" t="s">
        <v>209</v>
      </c>
      <c r="I220" t="s">
        <v>210</v>
      </c>
      <c r="J220" t="s">
        <v>225</v>
      </c>
      <c r="K220" t="s">
        <v>226</v>
      </c>
      <c r="L220">
        <v>90032</v>
      </c>
      <c r="M220" t="s">
        <v>227</v>
      </c>
      <c r="N220" t="s">
        <v>1046</v>
      </c>
      <c r="O220" t="s">
        <v>254</v>
      </c>
      <c r="P220" t="s">
        <v>255</v>
      </c>
      <c r="Q220" t="s">
        <v>1047</v>
      </c>
      <c r="R220" s="13">
        <v>302.37599999999998</v>
      </c>
      <c r="S220">
        <v>3</v>
      </c>
      <c r="T220" s="14">
        <v>0.2</v>
      </c>
      <c r="U220" s="13">
        <v>22.6782</v>
      </c>
      <c r="V220">
        <f t="shared" si="42"/>
        <v>2016</v>
      </c>
      <c r="W220" t="str">
        <f t="shared" si="43"/>
        <v>Oct</v>
      </c>
      <c r="X220" t="str">
        <f t="shared" si="44"/>
        <v>Q4</v>
      </c>
      <c r="Y220" t="str">
        <f t="shared" si="45"/>
        <v>Fri</v>
      </c>
      <c r="Z220" s="16">
        <f t="shared" si="46"/>
        <v>4</v>
      </c>
      <c r="AA220" s="13">
        <f t="shared" si="47"/>
        <v>100.79199999999999</v>
      </c>
      <c r="AB220" s="14">
        <f t="shared" si="48"/>
        <v>7.5000000000000011E-2</v>
      </c>
      <c r="AC220" t="str">
        <f t="shared" si="49"/>
        <v>Low (1-20%)</v>
      </c>
      <c r="AD220" t="str">
        <f t="shared" si="50"/>
        <v>High ($200-$500)</v>
      </c>
      <c r="AE220" t="str">
        <f t="shared" si="51"/>
        <v>Medium (3-5 units)</v>
      </c>
      <c r="AF220" t="str">
        <f t="shared" si="52"/>
        <v>Profitable</v>
      </c>
      <c r="AG220" t="str">
        <f t="shared" si="53"/>
        <v>Low Margin</v>
      </c>
      <c r="AH220" t="str">
        <f t="shared" si="54"/>
        <v>Repeat Customer</v>
      </c>
      <c r="AI220" t="str">
        <f t="shared" si="55"/>
        <v>Standard (3-5 days)</v>
      </c>
    </row>
    <row r="221" spans="1:35" ht="15" customHeight="1" x14ac:dyDescent="0.3">
      <c r="A221">
        <v>220</v>
      </c>
      <c r="B221" t="s">
        <v>1048</v>
      </c>
      <c r="C221" s="12">
        <v>42362</v>
      </c>
      <c r="D221" s="12">
        <v>42365</v>
      </c>
      <c r="E221" t="s">
        <v>371</v>
      </c>
      <c r="F221" t="s">
        <v>1049</v>
      </c>
      <c r="G221" t="s">
        <v>1050</v>
      </c>
      <c r="H221" t="s">
        <v>209</v>
      </c>
      <c r="I221" t="s">
        <v>210</v>
      </c>
      <c r="J221" t="s">
        <v>1051</v>
      </c>
      <c r="K221" t="s">
        <v>681</v>
      </c>
      <c r="L221">
        <v>43017</v>
      </c>
      <c r="M221" t="s">
        <v>331</v>
      </c>
      <c r="N221" t="s">
        <v>1052</v>
      </c>
      <c r="O221" t="s">
        <v>229</v>
      </c>
      <c r="P221" t="s">
        <v>452</v>
      </c>
      <c r="Q221" t="s">
        <v>1053</v>
      </c>
      <c r="R221" s="13">
        <v>5.5839999999999996</v>
      </c>
      <c r="S221">
        <v>2</v>
      </c>
      <c r="T221" s="14">
        <v>0.2</v>
      </c>
      <c r="U221" s="13">
        <v>1.8148</v>
      </c>
      <c r="V221">
        <f t="shared" si="42"/>
        <v>2015</v>
      </c>
      <c r="W221" t="str">
        <f t="shared" si="43"/>
        <v>Dec</v>
      </c>
      <c r="X221" t="str">
        <f t="shared" si="44"/>
        <v>Q4</v>
      </c>
      <c r="Y221" t="str">
        <f t="shared" si="45"/>
        <v>Thu</v>
      </c>
      <c r="Z221" s="16">
        <f t="shared" si="46"/>
        <v>3</v>
      </c>
      <c r="AA221" s="13">
        <f t="shared" si="47"/>
        <v>2.7919999999999998</v>
      </c>
      <c r="AB221" s="14">
        <f t="shared" si="48"/>
        <v>0.32500000000000001</v>
      </c>
      <c r="AC221" t="str">
        <f t="shared" si="49"/>
        <v>Low (1-20%)</v>
      </c>
      <c r="AD221" t="str">
        <f t="shared" si="50"/>
        <v>Low (&lt;$50)</v>
      </c>
      <c r="AE221" t="str">
        <f t="shared" si="51"/>
        <v>Small (1-2 units)</v>
      </c>
      <c r="AF221" t="str">
        <f t="shared" si="52"/>
        <v>Profitable</v>
      </c>
      <c r="AG221" t="str">
        <f t="shared" si="53"/>
        <v>High Margin</v>
      </c>
      <c r="AH221" t="str">
        <f t="shared" si="54"/>
        <v>Repeat Customer</v>
      </c>
      <c r="AI221" t="str">
        <f t="shared" si="55"/>
        <v>Standard (3-5 days)</v>
      </c>
    </row>
    <row r="222" spans="1:35" ht="15" customHeight="1" x14ac:dyDescent="0.3">
      <c r="A222">
        <v>221</v>
      </c>
      <c r="B222" t="s">
        <v>1048</v>
      </c>
      <c r="C222" s="12">
        <v>42362</v>
      </c>
      <c r="D222" s="12">
        <v>42365</v>
      </c>
      <c r="E222" t="s">
        <v>371</v>
      </c>
      <c r="F222" t="s">
        <v>1049</v>
      </c>
      <c r="G222" t="s">
        <v>1050</v>
      </c>
      <c r="H222" t="s">
        <v>209</v>
      </c>
      <c r="I222" t="s">
        <v>210</v>
      </c>
      <c r="J222" t="s">
        <v>1051</v>
      </c>
      <c r="K222" t="s">
        <v>681</v>
      </c>
      <c r="L222">
        <v>43017</v>
      </c>
      <c r="M222" t="s">
        <v>331</v>
      </c>
      <c r="N222" t="s">
        <v>1054</v>
      </c>
      <c r="O222" t="s">
        <v>229</v>
      </c>
      <c r="P222" t="s">
        <v>273</v>
      </c>
      <c r="Q222" t="s">
        <v>1055</v>
      </c>
      <c r="R222" s="13">
        <v>22.704000000000001</v>
      </c>
      <c r="S222">
        <v>6</v>
      </c>
      <c r="T222" s="14">
        <v>0.2</v>
      </c>
      <c r="U222" s="13">
        <v>8.2302</v>
      </c>
      <c r="V222">
        <f t="shared" si="42"/>
        <v>2015</v>
      </c>
      <c r="W222" t="str">
        <f t="shared" si="43"/>
        <v>Dec</v>
      </c>
      <c r="X222" t="str">
        <f t="shared" si="44"/>
        <v>Q4</v>
      </c>
      <c r="Y222" t="str">
        <f t="shared" si="45"/>
        <v>Thu</v>
      </c>
      <c r="Z222" s="16">
        <f t="shared" si="46"/>
        <v>3</v>
      </c>
      <c r="AA222" s="13">
        <f t="shared" si="47"/>
        <v>3.7840000000000003</v>
      </c>
      <c r="AB222" s="14">
        <f t="shared" si="48"/>
        <v>0.36249999999999999</v>
      </c>
      <c r="AC222" t="str">
        <f t="shared" si="49"/>
        <v>Low (1-20%)</v>
      </c>
      <c r="AD222" t="str">
        <f t="shared" si="50"/>
        <v>Low (&lt;$50)</v>
      </c>
      <c r="AE222" t="str">
        <f t="shared" si="51"/>
        <v>Large (6+ units)</v>
      </c>
      <c r="AF222" t="str">
        <f t="shared" si="52"/>
        <v>Profitable</v>
      </c>
      <c r="AG222" t="str">
        <f t="shared" si="53"/>
        <v>High Margin</v>
      </c>
      <c r="AH222" t="str">
        <f t="shared" si="54"/>
        <v>Repeat Customer</v>
      </c>
      <c r="AI222" t="str">
        <f t="shared" si="55"/>
        <v>Standard (3-5 days)</v>
      </c>
    </row>
    <row r="223" spans="1:35" ht="15" customHeight="1" x14ac:dyDescent="0.3">
      <c r="A223">
        <v>222</v>
      </c>
      <c r="B223" t="s">
        <v>1048</v>
      </c>
      <c r="C223" s="12">
        <v>42362</v>
      </c>
      <c r="D223" s="12">
        <v>42365</v>
      </c>
      <c r="E223" t="s">
        <v>371</v>
      </c>
      <c r="F223" t="s">
        <v>1049</v>
      </c>
      <c r="G223" t="s">
        <v>1050</v>
      </c>
      <c r="H223" t="s">
        <v>209</v>
      </c>
      <c r="I223" t="s">
        <v>210</v>
      </c>
      <c r="J223" t="s">
        <v>1051</v>
      </c>
      <c r="K223" t="s">
        <v>681</v>
      </c>
      <c r="L223">
        <v>43017</v>
      </c>
      <c r="M223" t="s">
        <v>331</v>
      </c>
      <c r="N223" t="s">
        <v>597</v>
      </c>
      <c r="O223" t="s">
        <v>229</v>
      </c>
      <c r="P223" t="s">
        <v>258</v>
      </c>
      <c r="Q223" t="s">
        <v>598</v>
      </c>
      <c r="R223" s="13">
        <v>19.776</v>
      </c>
      <c r="S223">
        <v>4</v>
      </c>
      <c r="T223" s="14">
        <v>0.7</v>
      </c>
      <c r="U223" s="13">
        <v>-13.8432</v>
      </c>
      <c r="V223">
        <f t="shared" si="42"/>
        <v>2015</v>
      </c>
      <c r="W223" t="str">
        <f t="shared" si="43"/>
        <v>Dec</v>
      </c>
      <c r="X223" t="str">
        <f t="shared" si="44"/>
        <v>Q4</v>
      </c>
      <c r="Y223" t="str">
        <f t="shared" si="45"/>
        <v>Thu</v>
      </c>
      <c r="Z223" s="16">
        <f t="shared" si="46"/>
        <v>3</v>
      </c>
      <c r="AA223" s="13">
        <f t="shared" si="47"/>
        <v>4.944</v>
      </c>
      <c r="AB223" s="14">
        <f t="shared" si="48"/>
        <v>-0.7</v>
      </c>
      <c r="AC223" t="str">
        <f t="shared" si="49"/>
        <v>High (40%+)</v>
      </c>
      <c r="AD223" t="str">
        <f t="shared" si="50"/>
        <v>Low (&lt;$50)</v>
      </c>
      <c r="AE223" t="str">
        <f t="shared" si="51"/>
        <v>Medium (3-5 units)</v>
      </c>
      <c r="AF223" t="str">
        <f t="shared" si="52"/>
        <v>Loss-Making</v>
      </c>
      <c r="AG223" t="str">
        <f t="shared" si="53"/>
        <v>Underperforming</v>
      </c>
      <c r="AH223" t="str">
        <f t="shared" si="54"/>
        <v>Repeat Customer</v>
      </c>
      <c r="AI223" t="str">
        <f t="shared" si="55"/>
        <v>Standard (3-5 days)</v>
      </c>
    </row>
    <row r="224" spans="1:35" ht="15" customHeight="1" x14ac:dyDescent="0.3">
      <c r="A224">
        <v>223</v>
      </c>
      <c r="B224" t="s">
        <v>1048</v>
      </c>
      <c r="C224" s="12">
        <v>42362</v>
      </c>
      <c r="D224" s="12">
        <v>42365</v>
      </c>
      <c r="E224" t="s">
        <v>371</v>
      </c>
      <c r="F224" t="s">
        <v>1049</v>
      </c>
      <c r="G224" t="s">
        <v>1050</v>
      </c>
      <c r="H224" t="s">
        <v>209</v>
      </c>
      <c r="I224" t="s">
        <v>210</v>
      </c>
      <c r="J224" t="s">
        <v>1051</v>
      </c>
      <c r="K224" t="s">
        <v>681</v>
      </c>
      <c r="L224">
        <v>43017</v>
      </c>
      <c r="M224" t="s">
        <v>331</v>
      </c>
      <c r="N224" t="s">
        <v>1056</v>
      </c>
      <c r="O224" t="s">
        <v>215</v>
      </c>
      <c r="P224" t="s">
        <v>248</v>
      </c>
      <c r="Q224" t="s">
        <v>1057</v>
      </c>
      <c r="R224" s="13">
        <v>72.703999999999994</v>
      </c>
      <c r="S224">
        <v>4</v>
      </c>
      <c r="T224" s="14">
        <v>0.2</v>
      </c>
      <c r="U224" s="13">
        <v>19.084800000000001</v>
      </c>
      <c r="V224">
        <f t="shared" si="42"/>
        <v>2015</v>
      </c>
      <c r="W224" t="str">
        <f t="shared" si="43"/>
        <v>Dec</v>
      </c>
      <c r="X224" t="str">
        <f t="shared" si="44"/>
        <v>Q4</v>
      </c>
      <c r="Y224" t="str">
        <f t="shared" si="45"/>
        <v>Thu</v>
      </c>
      <c r="Z224" s="16">
        <f t="shared" si="46"/>
        <v>3</v>
      </c>
      <c r="AA224" s="13">
        <f t="shared" si="47"/>
        <v>18.175999999999998</v>
      </c>
      <c r="AB224" s="14">
        <f t="shared" si="48"/>
        <v>0.26250000000000007</v>
      </c>
      <c r="AC224" t="str">
        <f t="shared" si="49"/>
        <v>Low (1-20%)</v>
      </c>
      <c r="AD224" t="str">
        <f t="shared" si="50"/>
        <v>Medium ($50-$200)</v>
      </c>
      <c r="AE224" t="str">
        <f t="shared" si="51"/>
        <v>Medium (3-5 units)</v>
      </c>
      <c r="AF224" t="str">
        <f t="shared" si="52"/>
        <v>Profitable</v>
      </c>
      <c r="AG224" t="str">
        <f t="shared" si="53"/>
        <v>High Margin</v>
      </c>
      <c r="AH224" t="str">
        <f t="shared" si="54"/>
        <v>Repeat Customer</v>
      </c>
      <c r="AI224" t="str">
        <f t="shared" si="55"/>
        <v>Standard (3-5 days)</v>
      </c>
    </row>
    <row r="225" spans="1:35" ht="15" customHeight="1" x14ac:dyDescent="0.3">
      <c r="A225">
        <v>224</v>
      </c>
      <c r="B225" t="s">
        <v>1048</v>
      </c>
      <c r="C225" s="12">
        <v>42362</v>
      </c>
      <c r="D225" s="12">
        <v>42365</v>
      </c>
      <c r="E225" t="s">
        <v>371</v>
      </c>
      <c r="F225" t="s">
        <v>1049</v>
      </c>
      <c r="G225" t="s">
        <v>1050</v>
      </c>
      <c r="H225" t="s">
        <v>209</v>
      </c>
      <c r="I225" t="s">
        <v>210</v>
      </c>
      <c r="J225" t="s">
        <v>1051</v>
      </c>
      <c r="K225" t="s">
        <v>681</v>
      </c>
      <c r="L225">
        <v>43017</v>
      </c>
      <c r="M225" t="s">
        <v>331</v>
      </c>
      <c r="N225" t="s">
        <v>1058</v>
      </c>
      <c r="O225" t="s">
        <v>254</v>
      </c>
      <c r="P225" t="s">
        <v>867</v>
      </c>
      <c r="Q225" t="s">
        <v>1059</v>
      </c>
      <c r="R225" s="13">
        <v>479.988</v>
      </c>
      <c r="S225">
        <v>4</v>
      </c>
      <c r="T225" s="14">
        <v>0.7</v>
      </c>
      <c r="U225" s="13">
        <v>-383.99040000000002</v>
      </c>
      <c r="V225">
        <f t="shared" si="42"/>
        <v>2015</v>
      </c>
      <c r="W225" t="str">
        <f t="shared" si="43"/>
        <v>Dec</v>
      </c>
      <c r="X225" t="str">
        <f t="shared" si="44"/>
        <v>Q4</v>
      </c>
      <c r="Y225" t="str">
        <f t="shared" si="45"/>
        <v>Thu</v>
      </c>
      <c r="Z225" s="16">
        <f t="shared" si="46"/>
        <v>3</v>
      </c>
      <c r="AA225" s="13">
        <f t="shared" si="47"/>
        <v>119.997</v>
      </c>
      <c r="AB225" s="14">
        <f t="shared" si="48"/>
        <v>-0.8</v>
      </c>
      <c r="AC225" t="str">
        <f t="shared" si="49"/>
        <v>High (40%+)</v>
      </c>
      <c r="AD225" t="str">
        <f t="shared" si="50"/>
        <v>High ($200-$500)</v>
      </c>
      <c r="AE225" t="str">
        <f t="shared" si="51"/>
        <v>Medium (3-5 units)</v>
      </c>
      <c r="AF225" t="str">
        <f t="shared" si="52"/>
        <v>Loss-Making</v>
      </c>
      <c r="AG225" t="str">
        <f t="shared" si="53"/>
        <v>Underperforming</v>
      </c>
      <c r="AH225" t="str">
        <f t="shared" si="54"/>
        <v>Repeat Customer</v>
      </c>
      <c r="AI225" t="str">
        <f t="shared" si="55"/>
        <v>Standard (3-5 days)</v>
      </c>
    </row>
    <row r="226" spans="1:35" ht="15" customHeight="1" x14ac:dyDescent="0.3">
      <c r="A226">
        <v>225</v>
      </c>
      <c r="B226" t="s">
        <v>1048</v>
      </c>
      <c r="C226" s="12">
        <v>42362</v>
      </c>
      <c r="D226" s="12">
        <v>42365</v>
      </c>
      <c r="E226" t="s">
        <v>371</v>
      </c>
      <c r="F226" t="s">
        <v>1049</v>
      </c>
      <c r="G226" t="s">
        <v>1050</v>
      </c>
      <c r="H226" t="s">
        <v>209</v>
      </c>
      <c r="I226" t="s">
        <v>210</v>
      </c>
      <c r="J226" t="s">
        <v>1051</v>
      </c>
      <c r="K226" t="s">
        <v>681</v>
      </c>
      <c r="L226">
        <v>43017</v>
      </c>
      <c r="M226" t="s">
        <v>331</v>
      </c>
      <c r="N226" t="s">
        <v>1060</v>
      </c>
      <c r="O226" t="s">
        <v>229</v>
      </c>
      <c r="P226" t="s">
        <v>251</v>
      </c>
      <c r="Q226" t="s">
        <v>1061</v>
      </c>
      <c r="R226" s="13">
        <v>27.167999999999999</v>
      </c>
      <c r="S226">
        <v>2</v>
      </c>
      <c r="T226" s="14">
        <v>0.2</v>
      </c>
      <c r="U226" s="13">
        <v>2.7168000000000001</v>
      </c>
      <c r="V226">
        <f t="shared" si="42"/>
        <v>2015</v>
      </c>
      <c r="W226" t="str">
        <f t="shared" si="43"/>
        <v>Dec</v>
      </c>
      <c r="X226" t="str">
        <f t="shared" si="44"/>
        <v>Q4</v>
      </c>
      <c r="Y226" t="str">
        <f t="shared" si="45"/>
        <v>Thu</v>
      </c>
      <c r="Z226" s="16">
        <f t="shared" si="46"/>
        <v>3</v>
      </c>
      <c r="AA226" s="13">
        <f t="shared" si="47"/>
        <v>13.584</v>
      </c>
      <c r="AB226" s="14">
        <f t="shared" si="48"/>
        <v>0.1</v>
      </c>
      <c r="AC226" t="str">
        <f t="shared" si="49"/>
        <v>Low (1-20%)</v>
      </c>
      <c r="AD226" t="str">
        <f t="shared" si="50"/>
        <v>Low (&lt;$50)</v>
      </c>
      <c r="AE226" t="str">
        <f t="shared" si="51"/>
        <v>Small (1-2 units)</v>
      </c>
      <c r="AF226" t="str">
        <f t="shared" si="52"/>
        <v>Profitable</v>
      </c>
      <c r="AG226" t="str">
        <f t="shared" si="53"/>
        <v>Healthy Margin</v>
      </c>
      <c r="AH226" t="str">
        <f t="shared" si="54"/>
        <v>Repeat Customer</v>
      </c>
      <c r="AI226" t="str">
        <f t="shared" si="55"/>
        <v>Standard (3-5 days)</v>
      </c>
    </row>
    <row r="227" spans="1:35" ht="15" customHeight="1" x14ac:dyDescent="0.3">
      <c r="A227">
        <v>226</v>
      </c>
      <c r="B227" t="s">
        <v>1062</v>
      </c>
      <c r="C227" s="12">
        <v>42225</v>
      </c>
      <c r="D227" s="12">
        <v>42232</v>
      </c>
      <c r="E227" t="s">
        <v>233</v>
      </c>
      <c r="F227" t="s">
        <v>1063</v>
      </c>
      <c r="G227" t="s">
        <v>1064</v>
      </c>
      <c r="H227" t="s">
        <v>224</v>
      </c>
      <c r="I227" t="s">
        <v>210</v>
      </c>
      <c r="J227" t="s">
        <v>1065</v>
      </c>
      <c r="K227" t="s">
        <v>421</v>
      </c>
      <c r="L227">
        <v>48227</v>
      </c>
      <c r="M227" t="s">
        <v>288</v>
      </c>
      <c r="N227" t="s">
        <v>1066</v>
      </c>
      <c r="O227" t="s">
        <v>229</v>
      </c>
      <c r="P227" t="s">
        <v>251</v>
      </c>
      <c r="Q227" t="s">
        <v>1067</v>
      </c>
      <c r="R227" s="13">
        <v>2.2000000000000002</v>
      </c>
      <c r="S227">
        <v>1</v>
      </c>
      <c r="T227" s="14">
        <v>0</v>
      </c>
      <c r="U227" s="13">
        <v>0.96799999999999997</v>
      </c>
      <c r="V227">
        <f t="shared" si="42"/>
        <v>2015</v>
      </c>
      <c r="W227" t="str">
        <f t="shared" si="43"/>
        <v>Aug</v>
      </c>
      <c r="X227" t="str">
        <f t="shared" si="44"/>
        <v>Q3</v>
      </c>
      <c r="Y227" t="str">
        <f t="shared" si="45"/>
        <v>Sun</v>
      </c>
      <c r="Z227" s="16">
        <f t="shared" si="46"/>
        <v>7</v>
      </c>
      <c r="AA227" s="13">
        <f t="shared" si="47"/>
        <v>2.2000000000000002</v>
      </c>
      <c r="AB227" s="14">
        <f t="shared" si="48"/>
        <v>0.43999999999999995</v>
      </c>
      <c r="AC227" t="str">
        <f t="shared" si="49"/>
        <v>No Discount</v>
      </c>
      <c r="AD227" t="str">
        <f t="shared" si="50"/>
        <v>Low (&lt;$50)</v>
      </c>
      <c r="AE227" t="str">
        <f t="shared" si="51"/>
        <v>Small (1-2 units)</v>
      </c>
      <c r="AF227" t="str">
        <f t="shared" si="52"/>
        <v>Profitable</v>
      </c>
      <c r="AG227" t="str">
        <f t="shared" si="53"/>
        <v>High Margin</v>
      </c>
      <c r="AH227" t="str">
        <f t="shared" si="54"/>
        <v>Repeat Customer</v>
      </c>
      <c r="AI227" t="str">
        <f t="shared" si="55"/>
        <v>Slow (6+ days)</v>
      </c>
    </row>
    <row r="228" spans="1:35" ht="15" customHeight="1" x14ac:dyDescent="0.3">
      <c r="A228">
        <v>227</v>
      </c>
      <c r="B228" t="s">
        <v>1062</v>
      </c>
      <c r="C228" s="12">
        <v>42225</v>
      </c>
      <c r="D228" s="12">
        <v>42232</v>
      </c>
      <c r="E228" t="s">
        <v>233</v>
      </c>
      <c r="F228" t="s">
        <v>1063</v>
      </c>
      <c r="G228" t="s">
        <v>1064</v>
      </c>
      <c r="H228" t="s">
        <v>224</v>
      </c>
      <c r="I228" t="s">
        <v>210</v>
      </c>
      <c r="J228" t="s">
        <v>1065</v>
      </c>
      <c r="K228" t="s">
        <v>421</v>
      </c>
      <c r="L228">
        <v>48227</v>
      </c>
      <c r="M228" t="s">
        <v>288</v>
      </c>
      <c r="N228" t="s">
        <v>1068</v>
      </c>
      <c r="O228" t="s">
        <v>215</v>
      </c>
      <c r="P228" t="s">
        <v>239</v>
      </c>
      <c r="Q228" t="s">
        <v>1069</v>
      </c>
      <c r="R228" s="13">
        <v>622.45000000000005</v>
      </c>
      <c r="S228">
        <v>5</v>
      </c>
      <c r="T228" s="14">
        <v>0</v>
      </c>
      <c r="U228" s="13">
        <v>136.93899999999999</v>
      </c>
      <c r="V228">
        <f t="shared" si="42"/>
        <v>2015</v>
      </c>
      <c r="W228" t="str">
        <f t="shared" si="43"/>
        <v>Aug</v>
      </c>
      <c r="X228" t="str">
        <f t="shared" si="44"/>
        <v>Q3</v>
      </c>
      <c r="Y228" t="str">
        <f t="shared" si="45"/>
        <v>Sun</v>
      </c>
      <c r="Z228" s="16">
        <f t="shared" si="46"/>
        <v>7</v>
      </c>
      <c r="AA228" s="13">
        <f t="shared" si="47"/>
        <v>124.49000000000001</v>
      </c>
      <c r="AB228" s="14">
        <f t="shared" si="48"/>
        <v>0.21999999999999997</v>
      </c>
      <c r="AC228" t="str">
        <f t="shared" si="49"/>
        <v>No Discount</v>
      </c>
      <c r="AD228" t="str">
        <f t="shared" si="50"/>
        <v>Premium ($500+)</v>
      </c>
      <c r="AE228" t="str">
        <f t="shared" si="51"/>
        <v>Medium (3-5 units)</v>
      </c>
      <c r="AF228" t="str">
        <f t="shared" si="52"/>
        <v>Profitable</v>
      </c>
      <c r="AG228" t="str">
        <f t="shared" si="53"/>
        <v>Healthy Margin</v>
      </c>
      <c r="AH228" t="str">
        <f t="shared" si="54"/>
        <v>Repeat Customer</v>
      </c>
      <c r="AI228" t="str">
        <f t="shared" si="55"/>
        <v>Slow (6+ days)</v>
      </c>
    </row>
    <row r="229" spans="1:35" ht="15" customHeight="1" x14ac:dyDescent="0.3">
      <c r="A229">
        <v>228</v>
      </c>
      <c r="B229" t="s">
        <v>1062</v>
      </c>
      <c r="C229" s="12">
        <v>42225</v>
      </c>
      <c r="D229" s="12">
        <v>42232</v>
      </c>
      <c r="E229" t="s">
        <v>233</v>
      </c>
      <c r="F229" t="s">
        <v>1063</v>
      </c>
      <c r="G229" t="s">
        <v>1064</v>
      </c>
      <c r="H229" t="s">
        <v>224</v>
      </c>
      <c r="I229" t="s">
        <v>210</v>
      </c>
      <c r="J229" t="s">
        <v>1065</v>
      </c>
      <c r="K229" t="s">
        <v>421</v>
      </c>
      <c r="L229">
        <v>48227</v>
      </c>
      <c r="M229" t="s">
        <v>288</v>
      </c>
      <c r="N229" t="s">
        <v>1070</v>
      </c>
      <c r="O229" t="s">
        <v>229</v>
      </c>
      <c r="P229" t="s">
        <v>242</v>
      </c>
      <c r="Q229" t="s">
        <v>1071</v>
      </c>
      <c r="R229" s="13">
        <v>21.98</v>
      </c>
      <c r="S229">
        <v>1</v>
      </c>
      <c r="T229" s="14">
        <v>0</v>
      </c>
      <c r="U229" s="13">
        <v>0.219799999999999</v>
      </c>
      <c r="V229">
        <f t="shared" si="42"/>
        <v>2015</v>
      </c>
      <c r="W229" t="str">
        <f t="shared" si="43"/>
        <v>Aug</v>
      </c>
      <c r="X229" t="str">
        <f t="shared" si="44"/>
        <v>Q3</v>
      </c>
      <c r="Y229" t="str">
        <f t="shared" si="45"/>
        <v>Sun</v>
      </c>
      <c r="Z229" s="16">
        <f t="shared" si="46"/>
        <v>7</v>
      </c>
      <c r="AA229" s="13">
        <f t="shared" si="47"/>
        <v>21.98</v>
      </c>
      <c r="AB229" s="14">
        <f t="shared" si="48"/>
        <v>9.9999999999999534E-3</v>
      </c>
      <c r="AC229" t="str">
        <f t="shared" si="49"/>
        <v>No Discount</v>
      </c>
      <c r="AD229" t="str">
        <f t="shared" si="50"/>
        <v>Low (&lt;$50)</v>
      </c>
      <c r="AE229" t="str">
        <f t="shared" si="51"/>
        <v>Small (1-2 units)</v>
      </c>
      <c r="AF229" t="str">
        <f t="shared" si="52"/>
        <v>Profitable</v>
      </c>
      <c r="AG229" t="str">
        <f t="shared" si="53"/>
        <v>Low Margin</v>
      </c>
      <c r="AH229" t="str">
        <f t="shared" si="54"/>
        <v>Repeat Customer</v>
      </c>
      <c r="AI229" t="str">
        <f t="shared" si="55"/>
        <v>Slow (6+ days)</v>
      </c>
    </row>
    <row r="230" spans="1:35" ht="15" customHeight="1" x14ac:dyDescent="0.3">
      <c r="A230">
        <v>229</v>
      </c>
      <c r="B230" t="s">
        <v>1072</v>
      </c>
      <c r="C230" s="12">
        <v>42063</v>
      </c>
      <c r="D230" s="12">
        <v>42067</v>
      </c>
      <c r="E230" t="s">
        <v>233</v>
      </c>
      <c r="F230" t="s">
        <v>1073</v>
      </c>
      <c r="G230" t="s">
        <v>1074</v>
      </c>
      <c r="H230" t="s">
        <v>209</v>
      </c>
      <c r="I230" t="s">
        <v>210</v>
      </c>
      <c r="J230" t="s">
        <v>565</v>
      </c>
      <c r="K230" t="s">
        <v>518</v>
      </c>
      <c r="L230">
        <v>38401</v>
      </c>
      <c r="M230" t="s">
        <v>213</v>
      </c>
      <c r="N230" t="s">
        <v>1075</v>
      </c>
      <c r="O230" t="s">
        <v>215</v>
      </c>
      <c r="P230" t="s">
        <v>219</v>
      </c>
      <c r="Q230" t="s">
        <v>1076</v>
      </c>
      <c r="R230" s="13">
        <v>161.56800000000001</v>
      </c>
      <c r="S230">
        <v>2</v>
      </c>
      <c r="T230" s="14">
        <v>0.2</v>
      </c>
      <c r="U230" s="13">
        <v>-28.2744</v>
      </c>
      <c r="V230">
        <f t="shared" si="42"/>
        <v>2015</v>
      </c>
      <c r="W230" t="str">
        <f t="shared" si="43"/>
        <v>Feb</v>
      </c>
      <c r="X230" t="str">
        <f t="shared" si="44"/>
        <v>Q1</v>
      </c>
      <c r="Y230" t="str">
        <f t="shared" si="45"/>
        <v>Sat</v>
      </c>
      <c r="Z230" s="16">
        <f t="shared" si="46"/>
        <v>4</v>
      </c>
      <c r="AA230" s="13">
        <f t="shared" si="47"/>
        <v>80.784000000000006</v>
      </c>
      <c r="AB230" s="14">
        <f t="shared" si="48"/>
        <v>-0.17499999999999999</v>
      </c>
      <c r="AC230" t="str">
        <f t="shared" si="49"/>
        <v>Low (1-20%)</v>
      </c>
      <c r="AD230" t="str">
        <f t="shared" si="50"/>
        <v>Medium ($50-$200)</v>
      </c>
      <c r="AE230" t="str">
        <f t="shared" si="51"/>
        <v>Small (1-2 units)</v>
      </c>
      <c r="AF230" t="str">
        <f t="shared" si="52"/>
        <v>Loss-Making</v>
      </c>
      <c r="AG230" t="str">
        <f t="shared" si="53"/>
        <v>Underperforming</v>
      </c>
      <c r="AH230" t="str">
        <f t="shared" si="54"/>
        <v>Repeat Customer</v>
      </c>
      <c r="AI230" t="str">
        <f t="shared" si="55"/>
        <v>Standard (3-5 days)</v>
      </c>
    </row>
    <row r="231" spans="1:35" ht="15" customHeight="1" x14ac:dyDescent="0.3">
      <c r="A231">
        <v>230</v>
      </c>
      <c r="B231" t="s">
        <v>1072</v>
      </c>
      <c r="C231" s="12">
        <v>42063</v>
      </c>
      <c r="D231" s="12">
        <v>42067</v>
      </c>
      <c r="E231" t="s">
        <v>233</v>
      </c>
      <c r="F231" t="s">
        <v>1073</v>
      </c>
      <c r="G231" t="s">
        <v>1074</v>
      </c>
      <c r="H231" t="s">
        <v>209</v>
      </c>
      <c r="I231" t="s">
        <v>210</v>
      </c>
      <c r="J231" t="s">
        <v>565</v>
      </c>
      <c r="K231" t="s">
        <v>518</v>
      </c>
      <c r="L231">
        <v>38401</v>
      </c>
      <c r="M231" t="s">
        <v>213</v>
      </c>
      <c r="N231" t="s">
        <v>1077</v>
      </c>
      <c r="O231" t="s">
        <v>215</v>
      </c>
      <c r="P231" t="s">
        <v>219</v>
      </c>
      <c r="Q231" t="s">
        <v>1078</v>
      </c>
      <c r="R231" s="13">
        <v>389.69600000000003</v>
      </c>
      <c r="S231">
        <v>8</v>
      </c>
      <c r="T231" s="14">
        <v>0.2</v>
      </c>
      <c r="U231" s="13">
        <v>43.840800000000002</v>
      </c>
      <c r="V231">
        <f t="shared" si="42"/>
        <v>2015</v>
      </c>
      <c r="W231" t="str">
        <f t="shared" si="43"/>
        <v>Feb</v>
      </c>
      <c r="X231" t="str">
        <f t="shared" si="44"/>
        <v>Q1</v>
      </c>
      <c r="Y231" t="str">
        <f t="shared" si="45"/>
        <v>Sat</v>
      </c>
      <c r="Z231" s="16">
        <f t="shared" si="46"/>
        <v>4</v>
      </c>
      <c r="AA231" s="13">
        <f t="shared" si="47"/>
        <v>48.712000000000003</v>
      </c>
      <c r="AB231" s="14">
        <f t="shared" si="48"/>
        <v>0.1125</v>
      </c>
      <c r="AC231" t="str">
        <f t="shared" si="49"/>
        <v>Low (1-20%)</v>
      </c>
      <c r="AD231" t="str">
        <f t="shared" si="50"/>
        <v>High ($200-$500)</v>
      </c>
      <c r="AE231" t="str">
        <f t="shared" si="51"/>
        <v>Large (6+ units)</v>
      </c>
      <c r="AF231" t="str">
        <f t="shared" si="52"/>
        <v>Profitable</v>
      </c>
      <c r="AG231" t="str">
        <f t="shared" si="53"/>
        <v>Healthy Margin</v>
      </c>
      <c r="AH231" t="str">
        <f t="shared" si="54"/>
        <v>Repeat Customer</v>
      </c>
      <c r="AI231" t="str">
        <f t="shared" si="55"/>
        <v>Standard (3-5 days)</v>
      </c>
    </row>
    <row r="232" spans="1:35" ht="15" customHeight="1" x14ac:dyDescent="0.3">
      <c r="A232">
        <v>231</v>
      </c>
      <c r="B232" t="s">
        <v>1079</v>
      </c>
      <c r="C232" s="12">
        <v>41895</v>
      </c>
      <c r="D232" s="12">
        <v>41899</v>
      </c>
      <c r="E232" t="s">
        <v>233</v>
      </c>
      <c r="F232" t="s">
        <v>1080</v>
      </c>
      <c r="G232" t="s">
        <v>1081</v>
      </c>
      <c r="H232" t="s">
        <v>224</v>
      </c>
      <c r="I232" t="s">
        <v>210</v>
      </c>
      <c r="J232" t="s">
        <v>650</v>
      </c>
      <c r="K232" t="s">
        <v>271</v>
      </c>
      <c r="L232">
        <v>28205</v>
      </c>
      <c r="M232" t="s">
        <v>213</v>
      </c>
      <c r="N232" t="s">
        <v>1082</v>
      </c>
      <c r="O232" t="s">
        <v>229</v>
      </c>
      <c r="P232" t="s">
        <v>258</v>
      </c>
      <c r="Q232" t="s">
        <v>1083</v>
      </c>
      <c r="R232" s="13">
        <v>18.648</v>
      </c>
      <c r="S232">
        <v>7</v>
      </c>
      <c r="T232" s="14">
        <v>0.7</v>
      </c>
      <c r="U232" s="13">
        <v>-12.432</v>
      </c>
      <c r="V232">
        <f t="shared" si="42"/>
        <v>2014</v>
      </c>
      <c r="W232" t="str">
        <f t="shared" si="43"/>
        <v>Sep</v>
      </c>
      <c r="X232" t="str">
        <f t="shared" si="44"/>
        <v>Q3</v>
      </c>
      <c r="Y232" t="str">
        <f t="shared" si="45"/>
        <v>Sat</v>
      </c>
      <c r="Z232" s="16">
        <f t="shared" si="46"/>
        <v>4</v>
      </c>
      <c r="AA232" s="13">
        <f t="shared" si="47"/>
        <v>2.6640000000000001</v>
      </c>
      <c r="AB232" s="14">
        <f t="shared" si="48"/>
        <v>-0.66666666666666674</v>
      </c>
      <c r="AC232" t="str">
        <f t="shared" si="49"/>
        <v>High (40%+)</v>
      </c>
      <c r="AD232" t="str">
        <f t="shared" si="50"/>
        <v>Low (&lt;$50)</v>
      </c>
      <c r="AE232" t="str">
        <f t="shared" si="51"/>
        <v>Large (6+ units)</v>
      </c>
      <c r="AF232" t="str">
        <f t="shared" si="52"/>
        <v>Loss-Making</v>
      </c>
      <c r="AG232" t="str">
        <f t="shared" si="53"/>
        <v>Underperforming</v>
      </c>
      <c r="AH232" t="str">
        <f t="shared" si="54"/>
        <v>Repeat Customer</v>
      </c>
      <c r="AI232" t="str">
        <f t="shared" si="55"/>
        <v>Standard (3-5 days)</v>
      </c>
    </row>
    <row r="233" spans="1:35" ht="15" customHeight="1" x14ac:dyDescent="0.3">
      <c r="A233">
        <v>232</v>
      </c>
      <c r="B233" t="s">
        <v>1084</v>
      </c>
      <c r="C233" s="12">
        <v>42832</v>
      </c>
      <c r="D233" s="12">
        <v>42837</v>
      </c>
      <c r="E233" t="s">
        <v>233</v>
      </c>
      <c r="F233" t="s">
        <v>560</v>
      </c>
      <c r="G233" t="s">
        <v>561</v>
      </c>
      <c r="H233" t="s">
        <v>285</v>
      </c>
      <c r="I233" t="s">
        <v>210</v>
      </c>
      <c r="J233" t="s">
        <v>1085</v>
      </c>
      <c r="K233" t="s">
        <v>237</v>
      </c>
      <c r="L233">
        <v>33614</v>
      </c>
      <c r="M233" t="s">
        <v>213</v>
      </c>
      <c r="N233" t="s">
        <v>1086</v>
      </c>
      <c r="O233" t="s">
        <v>215</v>
      </c>
      <c r="P233" t="s">
        <v>239</v>
      </c>
      <c r="Q233" t="s">
        <v>1087</v>
      </c>
      <c r="R233" s="13">
        <v>233.86</v>
      </c>
      <c r="S233">
        <v>2</v>
      </c>
      <c r="T233" s="14">
        <v>0.45</v>
      </c>
      <c r="U233" s="13">
        <v>-102.048</v>
      </c>
      <c r="V233">
        <f t="shared" si="42"/>
        <v>2017</v>
      </c>
      <c r="W233" t="str">
        <f t="shared" si="43"/>
        <v>Apr</v>
      </c>
      <c r="X233" t="str">
        <f t="shared" si="44"/>
        <v>Q2</v>
      </c>
      <c r="Y233" t="str">
        <f t="shared" si="45"/>
        <v>Fri</v>
      </c>
      <c r="Z233" s="16">
        <f t="shared" si="46"/>
        <v>5</v>
      </c>
      <c r="AA233" s="13">
        <f t="shared" si="47"/>
        <v>116.93</v>
      </c>
      <c r="AB233" s="14">
        <f t="shared" si="48"/>
        <v>-0.43636363636363634</v>
      </c>
      <c r="AC233" t="str">
        <f t="shared" si="49"/>
        <v>High (40%+)</v>
      </c>
      <c r="AD233" t="str">
        <f t="shared" si="50"/>
        <v>High ($200-$500)</v>
      </c>
      <c r="AE233" t="str">
        <f t="shared" si="51"/>
        <v>Small (1-2 units)</v>
      </c>
      <c r="AF233" t="str">
        <f t="shared" si="52"/>
        <v>Loss-Making</v>
      </c>
      <c r="AG233" t="str">
        <f t="shared" si="53"/>
        <v>Underperforming</v>
      </c>
      <c r="AH233" t="str">
        <f t="shared" si="54"/>
        <v>Repeat Customer</v>
      </c>
      <c r="AI233" t="str">
        <f t="shared" si="55"/>
        <v>Standard (3-5 days)</v>
      </c>
    </row>
    <row r="234" spans="1:35" ht="15" customHeight="1" x14ac:dyDescent="0.3">
      <c r="A234">
        <v>233</v>
      </c>
      <c r="B234" t="s">
        <v>1084</v>
      </c>
      <c r="C234" s="12">
        <v>42832</v>
      </c>
      <c r="D234" s="12">
        <v>42837</v>
      </c>
      <c r="E234" t="s">
        <v>233</v>
      </c>
      <c r="F234" t="s">
        <v>560</v>
      </c>
      <c r="G234" t="s">
        <v>561</v>
      </c>
      <c r="H234" t="s">
        <v>285</v>
      </c>
      <c r="I234" t="s">
        <v>210</v>
      </c>
      <c r="J234" t="s">
        <v>1085</v>
      </c>
      <c r="K234" t="s">
        <v>237</v>
      </c>
      <c r="L234">
        <v>33614</v>
      </c>
      <c r="M234" t="s">
        <v>213</v>
      </c>
      <c r="N234" t="s">
        <v>1088</v>
      </c>
      <c r="O234" t="s">
        <v>215</v>
      </c>
      <c r="P234" t="s">
        <v>239</v>
      </c>
      <c r="Q234" t="s">
        <v>1089</v>
      </c>
      <c r="R234" s="13">
        <v>620.61450000000002</v>
      </c>
      <c r="S234">
        <v>3</v>
      </c>
      <c r="T234" s="14">
        <v>0.45</v>
      </c>
      <c r="U234" s="13">
        <v>-248.2458</v>
      </c>
      <c r="V234">
        <f t="shared" si="42"/>
        <v>2017</v>
      </c>
      <c r="W234" t="str">
        <f t="shared" si="43"/>
        <v>Apr</v>
      </c>
      <c r="X234" t="str">
        <f t="shared" si="44"/>
        <v>Q2</v>
      </c>
      <c r="Y234" t="str">
        <f t="shared" si="45"/>
        <v>Fri</v>
      </c>
      <c r="Z234" s="16">
        <f t="shared" si="46"/>
        <v>5</v>
      </c>
      <c r="AA234" s="13">
        <f t="shared" si="47"/>
        <v>206.8715</v>
      </c>
      <c r="AB234" s="14">
        <f t="shared" si="48"/>
        <v>-0.39999999999999997</v>
      </c>
      <c r="AC234" t="str">
        <f t="shared" si="49"/>
        <v>High (40%+)</v>
      </c>
      <c r="AD234" t="str">
        <f t="shared" si="50"/>
        <v>Premium ($500+)</v>
      </c>
      <c r="AE234" t="str">
        <f t="shared" si="51"/>
        <v>Medium (3-5 units)</v>
      </c>
      <c r="AF234" t="str">
        <f t="shared" si="52"/>
        <v>Loss-Making</v>
      </c>
      <c r="AG234" t="str">
        <f t="shared" si="53"/>
        <v>Underperforming</v>
      </c>
      <c r="AH234" t="str">
        <f t="shared" si="54"/>
        <v>Repeat Customer</v>
      </c>
      <c r="AI234" t="str">
        <f t="shared" si="55"/>
        <v>Standard (3-5 days)</v>
      </c>
    </row>
    <row r="235" spans="1:35" ht="15" customHeight="1" x14ac:dyDescent="0.3">
      <c r="A235">
        <v>234</v>
      </c>
      <c r="B235" t="s">
        <v>1084</v>
      </c>
      <c r="C235" s="12">
        <v>42832</v>
      </c>
      <c r="D235" s="12">
        <v>42837</v>
      </c>
      <c r="E235" t="s">
        <v>233</v>
      </c>
      <c r="F235" t="s">
        <v>560</v>
      </c>
      <c r="G235" t="s">
        <v>561</v>
      </c>
      <c r="H235" t="s">
        <v>285</v>
      </c>
      <c r="I235" t="s">
        <v>210</v>
      </c>
      <c r="J235" t="s">
        <v>1085</v>
      </c>
      <c r="K235" t="s">
        <v>237</v>
      </c>
      <c r="L235">
        <v>33614</v>
      </c>
      <c r="M235" t="s">
        <v>213</v>
      </c>
      <c r="N235" t="s">
        <v>1082</v>
      </c>
      <c r="O235" t="s">
        <v>229</v>
      </c>
      <c r="P235" t="s">
        <v>258</v>
      </c>
      <c r="Q235" t="s">
        <v>1083</v>
      </c>
      <c r="R235" s="13">
        <v>5.3280000000000003</v>
      </c>
      <c r="S235">
        <v>2</v>
      </c>
      <c r="T235" s="14">
        <v>0.7</v>
      </c>
      <c r="U235" s="13">
        <v>-3.552</v>
      </c>
      <c r="V235">
        <f t="shared" si="42"/>
        <v>2017</v>
      </c>
      <c r="W235" t="str">
        <f t="shared" si="43"/>
        <v>Apr</v>
      </c>
      <c r="X235" t="str">
        <f t="shared" si="44"/>
        <v>Q2</v>
      </c>
      <c r="Y235" t="str">
        <f t="shared" si="45"/>
        <v>Fri</v>
      </c>
      <c r="Z235" s="16">
        <f t="shared" si="46"/>
        <v>5</v>
      </c>
      <c r="AA235" s="13">
        <f t="shared" si="47"/>
        <v>2.6640000000000001</v>
      </c>
      <c r="AB235" s="14">
        <f t="shared" si="48"/>
        <v>-0.66666666666666663</v>
      </c>
      <c r="AC235" t="str">
        <f t="shared" si="49"/>
        <v>High (40%+)</v>
      </c>
      <c r="AD235" t="str">
        <f t="shared" si="50"/>
        <v>Low (&lt;$50)</v>
      </c>
      <c r="AE235" t="str">
        <f t="shared" si="51"/>
        <v>Small (1-2 units)</v>
      </c>
      <c r="AF235" t="str">
        <f t="shared" si="52"/>
        <v>Loss-Making</v>
      </c>
      <c r="AG235" t="str">
        <f t="shared" si="53"/>
        <v>Underperforming</v>
      </c>
      <c r="AH235" t="str">
        <f t="shared" si="54"/>
        <v>Repeat Customer</v>
      </c>
      <c r="AI235" t="str">
        <f t="shared" si="55"/>
        <v>Standard (3-5 days)</v>
      </c>
    </row>
    <row r="236" spans="1:35" ht="15" customHeight="1" x14ac:dyDescent="0.3">
      <c r="A236">
        <v>235</v>
      </c>
      <c r="B236" t="s">
        <v>1084</v>
      </c>
      <c r="C236" s="12">
        <v>42832</v>
      </c>
      <c r="D236" s="12">
        <v>42837</v>
      </c>
      <c r="E236" t="s">
        <v>233</v>
      </c>
      <c r="F236" t="s">
        <v>560</v>
      </c>
      <c r="G236" t="s">
        <v>561</v>
      </c>
      <c r="H236" t="s">
        <v>285</v>
      </c>
      <c r="I236" t="s">
        <v>210</v>
      </c>
      <c r="J236" t="s">
        <v>1085</v>
      </c>
      <c r="K236" t="s">
        <v>237</v>
      </c>
      <c r="L236">
        <v>33614</v>
      </c>
      <c r="M236" t="s">
        <v>213</v>
      </c>
      <c r="N236" t="s">
        <v>1090</v>
      </c>
      <c r="O236" t="s">
        <v>215</v>
      </c>
      <c r="P236" t="s">
        <v>248</v>
      </c>
      <c r="Q236" t="s">
        <v>1091</v>
      </c>
      <c r="R236" s="13">
        <v>258.072</v>
      </c>
      <c r="S236">
        <v>3</v>
      </c>
      <c r="T236" s="14">
        <v>0.2</v>
      </c>
      <c r="U236" s="13">
        <v>0</v>
      </c>
      <c r="V236">
        <f t="shared" si="42"/>
        <v>2017</v>
      </c>
      <c r="W236" t="str">
        <f t="shared" si="43"/>
        <v>Apr</v>
      </c>
      <c r="X236" t="str">
        <f t="shared" si="44"/>
        <v>Q2</v>
      </c>
      <c r="Y236" t="str">
        <f t="shared" si="45"/>
        <v>Fri</v>
      </c>
      <c r="Z236" s="16">
        <f t="shared" si="46"/>
        <v>5</v>
      </c>
      <c r="AA236" s="13">
        <f t="shared" si="47"/>
        <v>86.024000000000001</v>
      </c>
      <c r="AB236" s="14">
        <f t="shared" si="48"/>
        <v>0</v>
      </c>
      <c r="AC236" t="str">
        <f t="shared" si="49"/>
        <v>Low (1-20%)</v>
      </c>
      <c r="AD236" t="str">
        <f t="shared" si="50"/>
        <v>High ($200-$500)</v>
      </c>
      <c r="AE236" t="str">
        <f t="shared" si="51"/>
        <v>Medium (3-5 units)</v>
      </c>
      <c r="AF236" t="str">
        <f t="shared" si="52"/>
        <v>Profitable</v>
      </c>
      <c r="AG236" t="str">
        <f t="shared" si="53"/>
        <v>Low Margin</v>
      </c>
      <c r="AH236" t="str">
        <f t="shared" si="54"/>
        <v>Repeat Customer</v>
      </c>
      <c r="AI236" t="str">
        <f t="shared" si="55"/>
        <v>Standard (3-5 days)</v>
      </c>
    </row>
    <row r="237" spans="1:35" ht="15" customHeight="1" x14ac:dyDescent="0.3">
      <c r="A237">
        <v>236</v>
      </c>
      <c r="B237" t="s">
        <v>1084</v>
      </c>
      <c r="C237" s="12">
        <v>42832</v>
      </c>
      <c r="D237" s="12">
        <v>42837</v>
      </c>
      <c r="E237" t="s">
        <v>233</v>
      </c>
      <c r="F237" t="s">
        <v>560</v>
      </c>
      <c r="G237" t="s">
        <v>561</v>
      </c>
      <c r="H237" t="s">
        <v>285</v>
      </c>
      <c r="I237" t="s">
        <v>210</v>
      </c>
      <c r="J237" t="s">
        <v>1085</v>
      </c>
      <c r="K237" t="s">
        <v>237</v>
      </c>
      <c r="L237">
        <v>33614</v>
      </c>
      <c r="M237" t="s">
        <v>213</v>
      </c>
      <c r="N237" t="s">
        <v>1092</v>
      </c>
      <c r="O237" t="s">
        <v>254</v>
      </c>
      <c r="P237" t="s">
        <v>344</v>
      </c>
      <c r="Q237" t="s">
        <v>1093</v>
      </c>
      <c r="R237" s="13">
        <v>617.976</v>
      </c>
      <c r="S237">
        <v>3</v>
      </c>
      <c r="T237" s="14">
        <v>0.2</v>
      </c>
      <c r="U237" s="13">
        <v>-7.7247000000000998</v>
      </c>
      <c r="V237">
        <f t="shared" si="42"/>
        <v>2017</v>
      </c>
      <c r="W237" t="str">
        <f t="shared" si="43"/>
        <v>Apr</v>
      </c>
      <c r="X237" t="str">
        <f t="shared" si="44"/>
        <v>Q2</v>
      </c>
      <c r="Y237" t="str">
        <f t="shared" si="45"/>
        <v>Fri</v>
      </c>
      <c r="Z237" s="16">
        <f t="shared" si="46"/>
        <v>5</v>
      </c>
      <c r="AA237" s="13">
        <f t="shared" si="47"/>
        <v>205.99199999999999</v>
      </c>
      <c r="AB237" s="14">
        <f t="shared" si="48"/>
        <v>-1.2500000000000162E-2</v>
      </c>
      <c r="AC237" t="str">
        <f t="shared" si="49"/>
        <v>Low (1-20%)</v>
      </c>
      <c r="AD237" t="str">
        <f t="shared" si="50"/>
        <v>Premium ($500+)</v>
      </c>
      <c r="AE237" t="str">
        <f t="shared" si="51"/>
        <v>Medium (3-5 units)</v>
      </c>
      <c r="AF237" t="str">
        <f t="shared" si="52"/>
        <v>Loss-Making</v>
      </c>
      <c r="AG237" t="str">
        <f t="shared" si="53"/>
        <v>Underperforming</v>
      </c>
      <c r="AH237" t="str">
        <f t="shared" si="54"/>
        <v>Repeat Customer</v>
      </c>
      <c r="AI237" t="str">
        <f t="shared" si="55"/>
        <v>Standard (3-5 days)</v>
      </c>
    </row>
    <row r="238" spans="1:35" ht="15" customHeight="1" x14ac:dyDescent="0.3">
      <c r="A238">
        <v>237</v>
      </c>
      <c r="B238" t="s">
        <v>1094</v>
      </c>
      <c r="C238" s="12">
        <v>43051</v>
      </c>
      <c r="D238" s="12">
        <v>43055</v>
      </c>
      <c r="E238" t="s">
        <v>233</v>
      </c>
      <c r="F238" t="s">
        <v>1095</v>
      </c>
      <c r="G238" t="s">
        <v>1096</v>
      </c>
      <c r="H238" t="s">
        <v>224</v>
      </c>
      <c r="I238" t="s">
        <v>210</v>
      </c>
      <c r="J238" t="s">
        <v>1097</v>
      </c>
      <c r="K238" t="s">
        <v>226</v>
      </c>
      <c r="L238">
        <v>95051</v>
      </c>
      <c r="M238" t="s">
        <v>227</v>
      </c>
      <c r="N238" t="s">
        <v>1098</v>
      </c>
      <c r="O238" t="s">
        <v>229</v>
      </c>
      <c r="P238" t="s">
        <v>273</v>
      </c>
      <c r="Q238" t="s">
        <v>1099</v>
      </c>
      <c r="R238" s="13">
        <v>10.56</v>
      </c>
      <c r="S238">
        <v>2</v>
      </c>
      <c r="T238" s="14">
        <v>0</v>
      </c>
      <c r="U238" s="13">
        <v>4.7519999999999998</v>
      </c>
      <c r="V238">
        <f t="shared" si="42"/>
        <v>2017</v>
      </c>
      <c r="W238" t="str">
        <f t="shared" si="43"/>
        <v>Nov</v>
      </c>
      <c r="X238" t="str">
        <f t="shared" si="44"/>
        <v>Q4</v>
      </c>
      <c r="Y238" t="str">
        <f t="shared" si="45"/>
        <v>Sun</v>
      </c>
      <c r="Z238" s="16">
        <f t="shared" si="46"/>
        <v>4</v>
      </c>
      <c r="AA238" s="13">
        <f t="shared" si="47"/>
        <v>5.28</v>
      </c>
      <c r="AB238" s="14">
        <f t="shared" si="48"/>
        <v>0.44999999999999996</v>
      </c>
      <c r="AC238" t="str">
        <f t="shared" si="49"/>
        <v>No Discount</v>
      </c>
      <c r="AD238" t="str">
        <f t="shared" si="50"/>
        <v>Low (&lt;$50)</v>
      </c>
      <c r="AE238" t="str">
        <f t="shared" si="51"/>
        <v>Small (1-2 units)</v>
      </c>
      <c r="AF238" t="str">
        <f t="shared" si="52"/>
        <v>Profitable</v>
      </c>
      <c r="AG238" t="str">
        <f t="shared" si="53"/>
        <v>High Margin</v>
      </c>
      <c r="AH238" t="str">
        <f t="shared" si="54"/>
        <v>Repeat Customer</v>
      </c>
      <c r="AI238" t="str">
        <f t="shared" si="55"/>
        <v>Standard (3-5 days)</v>
      </c>
    </row>
    <row r="239" spans="1:35" ht="15" customHeight="1" x14ac:dyDescent="0.3">
      <c r="A239">
        <v>238</v>
      </c>
      <c r="B239" t="s">
        <v>1100</v>
      </c>
      <c r="C239" s="12">
        <v>42525</v>
      </c>
      <c r="D239" s="12">
        <v>42530</v>
      </c>
      <c r="E239" t="s">
        <v>206</v>
      </c>
      <c r="F239" t="s">
        <v>1101</v>
      </c>
      <c r="G239" t="s">
        <v>1102</v>
      </c>
      <c r="H239" t="s">
        <v>209</v>
      </c>
      <c r="I239" t="s">
        <v>210</v>
      </c>
      <c r="J239" t="s">
        <v>486</v>
      </c>
      <c r="K239" t="s">
        <v>394</v>
      </c>
      <c r="L239">
        <v>60610</v>
      </c>
      <c r="M239" t="s">
        <v>288</v>
      </c>
      <c r="N239" t="s">
        <v>1103</v>
      </c>
      <c r="O239" t="s">
        <v>229</v>
      </c>
      <c r="P239" t="s">
        <v>273</v>
      </c>
      <c r="Q239" t="s">
        <v>1104</v>
      </c>
      <c r="R239" s="13">
        <v>25.92</v>
      </c>
      <c r="S239">
        <v>5</v>
      </c>
      <c r="T239" s="14">
        <v>0.2</v>
      </c>
      <c r="U239" s="13">
        <v>9.3960000000000008</v>
      </c>
      <c r="V239">
        <f t="shared" si="42"/>
        <v>2016</v>
      </c>
      <c r="W239" t="str">
        <f t="shared" si="43"/>
        <v>Jun</v>
      </c>
      <c r="X239" t="str">
        <f t="shared" si="44"/>
        <v>Q2</v>
      </c>
      <c r="Y239" t="str">
        <f t="shared" si="45"/>
        <v>Sat</v>
      </c>
      <c r="Z239" s="16">
        <f t="shared" si="46"/>
        <v>5</v>
      </c>
      <c r="AA239" s="13">
        <f t="shared" si="47"/>
        <v>5.1840000000000002</v>
      </c>
      <c r="AB239" s="14">
        <f t="shared" si="48"/>
        <v>0.36249999999999999</v>
      </c>
      <c r="AC239" t="str">
        <f t="shared" si="49"/>
        <v>Low (1-20%)</v>
      </c>
      <c r="AD239" t="str">
        <f t="shared" si="50"/>
        <v>Low (&lt;$50)</v>
      </c>
      <c r="AE239" t="str">
        <f t="shared" si="51"/>
        <v>Medium (3-5 units)</v>
      </c>
      <c r="AF239" t="str">
        <f t="shared" si="52"/>
        <v>Profitable</v>
      </c>
      <c r="AG239" t="str">
        <f t="shared" si="53"/>
        <v>High Margin</v>
      </c>
      <c r="AH239" t="str">
        <f t="shared" si="54"/>
        <v>Repeat Customer</v>
      </c>
      <c r="AI239" t="str">
        <f t="shared" si="55"/>
        <v>Standard (3-5 days)</v>
      </c>
    </row>
    <row r="240" spans="1:35" ht="15" customHeight="1" x14ac:dyDescent="0.3">
      <c r="A240">
        <v>239</v>
      </c>
      <c r="B240" t="s">
        <v>1100</v>
      </c>
      <c r="C240" s="12">
        <v>42525</v>
      </c>
      <c r="D240" s="12">
        <v>42530</v>
      </c>
      <c r="E240" t="s">
        <v>206</v>
      </c>
      <c r="F240" t="s">
        <v>1101</v>
      </c>
      <c r="G240" t="s">
        <v>1102</v>
      </c>
      <c r="H240" t="s">
        <v>209</v>
      </c>
      <c r="I240" t="s">
        <v>210</v>
      </c>
      <c r="J240" t="s">
        <v>486</v>
      </c>
      <c r="K240" t="s">
        <v>394</v>
      </c>
      <c r="L240">
        <v>60610</v>
      </c>
      <c r="M240" t="s">
        <v>288</v>
      </c>
      <c r="N240" t="s">
        <v>1105</v>
      </c>
      <c r="O240" t="s">
        <v>215</v>
      </c>
      <c r="P240" t="s">
        <v>248</v>
      </c>
      <c r="Q240" t="s">
        <v>1106</v>
      </c>
      <c r="R240" s="13">
        <v>419.68</v>
      </c>
      <c r="S240">
        <v>5</v>
      </c>
      <c r="T240" s="14">
        <v>0.6</v>
      </c>
      <c r="U240" s="13">
        <v>-356.72800000000001</v>
      </c>
      <c r="V240">
        <f t="shared" si="42"/>
        <v>2016</v>
      </c>
      <c r="W240" t="str">
        <f t="shared" si="43"/>
        <v>Jun</v>
      </c>
      <c r="X240" t="str">
        <f t="shared" si="44"/>
        <v>Q2</v>
      </c>
      <c r="Y240" t="str">
        <f t="shared" si="45"/>
        <v>Sat</v>
      </c>
      <c r="Z240" s="16">
        <f t="shared" si="46"/>
        <v>5</v>
      </c>
      <c r="AA240" s="13">
        <f t="shared" si="47"/>
        <v>83.936000000000007</v>
      </c>
      <c r="AB240" s="14">
        <f t="shared" si="48"/>
        <v>-0.85</v>
      </c>
      <c r="AC240" t="str">
        <f t="shared" si="49"/>
        <v>High (40%+)</v>
      </c>
      <c r="AD240" t="str">
        <f t="shared" si="50"/>
        <v>High ($200-$500)</v>
      </c>
      <c r="AE240" t="str">
        <f t="shared" si="51"/>
        <v>Medium (3-5 units)</v>
      </c>
      <c r="AF240" t="str">
        <f t="shared" si="52"/>
        <v>Loss-Making</v>
      </c>
      <c r="AG240" t="str">
        <f t="shared" si="53"/>
        <v>Underperforming</v>
      </c>
      <c r="AH240" t="str">
        <f t="shared" si="54"/>
        <v>Repeat Customer</v>
      </c>
      <c r="AI240" t="str">
        <f t="shared" si="55"/>
        <v>Standard (3-5 days)</v>
      </c>
    </row>
    <row r="241" spans="1:35" ht="15" customHeight="1" x14ac:dyDescent="0.3">
      <c r="A241">
        <v>240</v>
      </c>
      <c r="B241" t="s">
        <v>1100</v>
      </c>
      <c r="C241" s="12">
        <v>42525</v>
      </c>
      <c r="D241" s="12">
        <v>42530</v>
      </c>
      <c r="E241" t="s">
        <v>206</v>
      </c>
      <c r="F241" t="s">
        <v>1101</v>
      </c>
      <c r="G241" t="s">
        <v>1102</v>
      </c>
      <c r="H241" t="s">
        <v>209</v>
      </c>
      <c r="I241" t="s">
        <v>210</v>
      </c>
      <c r="J241" t="s">
        <v>486</v>
      </c>
      <c r="K241" t="s">
        <v>394</v>
      </c>
      <c r="L241">
        <v>60610</v>
      </c>
      <c r="M241" t="s">
        <v>288</v>
      </c>
      <c r="N241" t="s">
        <v>1107</v>
      </c>
      <c r="O241" t="s">
        <v>215</v>
      </c>
      <c r="P241" t="s">
        <v>248</v>
      </c>
      <c r="Q241" t="s">
        <v>1108</v>
      </c>
      <c r="R241" s="13">
        <v>11.688000000000001</v>
      </c>
      <c r="S241">
        <v>3</v>
      </c>
      <c r="T241" s="14">
        <v>0.6</v>
      </c>
      <c r="U241" s="13">
        <v>-4.6752000000000002</v>
      </c>
      <c r="V241">
        <f t="shared" si="42"/>
        <v>2016</v>
      </c>
      <c r="W241" t="str">
        <f t="shared" si="43"/>
        <v>Jun</v>
      </c>
      <c r="X241" t="str">
        <f t="shared" si="44"/>
        <v>Q2</v>
      </c>
      <c r="Y241" t="str">
        <f t="shared" si="45"/>
        <v>Sat</v>
      </c>
      <c r="Z241" s="16">
        <f t="shared" si="46"/>
        <v>5</v>
      </c>
      <c r="AA241" s="13">
        <f t="shared" si="47"/>
        <v>3.8960000000000004</v>
      </c>
      <c r="AB241" s="14">
        <f t="shared" si="48"/>
        <v>-0.4</v>
      </c>
      <c r="AC241" t="str">
        <f t="shared" si="49"/>
        <v>High (40%+)</v>
      </c>
      <c r="AD241" t="str">
        <f t="shared" si="50"/>
        <v>Low (&lt;$50)</v>
      </c>
      <c r="AE241" t="str">
        <f t="shared" si="51"/>
        <v>Medium (3-5 units)</v>
      </c>
      <c r="AF241" t="str">
        <f t="shared" si="52"/>
        <v>Loss-Making</v>
      </c>
      <c r="AG241" t="str">
        <f t="shared" si="53"/>
        <v>Underperforming</v>
      </c>
      <c r="AH241" t="str">
        <f t="shared" si="54"/>
        <v>Repeat Customer</v>
      </c>
      <c r="AI241" t="str">
        <f t="shared" si="55"/>
        <v>Standard (3-5 days)</v>
      </c>
    </row>
    <row r="242" spans="1:35" ht="15" customHeight="1" x14ac:dyDescent="0.3">
      <c r="A242">
        <v>241</v>
      </c>
      <c r="B242" t="s">
        <v>1100</v>
      </c>
      <c r="C242" s="12">
        <v>42525</v>
      </c>
      <c r="D242" s="12">
        <v>42530</v>
      </c>
      <c r="E242" t="s">
        <v>206</v>
      </c>
      <c r="F242" t="s">
        <v>1101</v>
      </c>
      <c r="G242" t="s">
        <v>1102</v>
      </c>
      <c r="H242" t="s">
        <v>209</v>
      </c>
      <c r="I242" t="s">
        <v>210</v>
      </c>
      <c r="J242" t="s">
        <v>486</v>
      </c>
      <c r="K242" t="s">
        <v>394</v>
      </c>
      <c r="L242">
        <v>60610</v>
      </c>
      <c r="M242" t="s">
        <v>288</v>
      </c>
      <c r="N242" t="s">
        <v>1109</v>
      </c>
      <c r="O242" t="s">
        <v>254</v>
      </c>
      <c r="P242" t="s">
        <v>255</v>
      </c>
      <c r="Q242" t="s">
        <v>1110</v>
      </c>
      <c r="R242" s="13">
        <v>31.984000000000002</v>
      </c>
      <c r="S242">
        <v>2</v>
      </c>
      <c r="T242" s="14">
        <v>0.2</v>
      </c>
      <c r="U242" s="13">
        <v>11.1944</v>
      </c>
      <c r="V242">
        <f t="shared" si="42"/>
        <v>2016</v>
      </c>
      <c r="W242" t="str">
        <f t="shared" si="43"/>
        <v>Jun</v>
      </c>
      <c r="X242" t="str">
        <f t="shared" si="44"/>
        <v>Q2</v>
      </c>
      <c r="Y242" t="str">
        <f t="shared" si="45"/>
        <v>Sat</v>
      </c>
      <c r="Z242" s="16">
        <f t="shared" si="46"/>
        <v>5</v>
      </c>
      <c r="AA242" s="13">
        <f t="shared" si="47"/>
        <v>15.992000000000001</v>
      </c>
      <c r="AB242" s="14">
        <f t="shared" si="48"/>
        <v>0.35</v>
      </c>
      <c r="AC242" t="str">
        <f t="shared" si="49"/>
        <v>Low (1-20%)</v>
      </c>
      <c r="AD242" t="str">
        <f t="shared" si="50"/>
        <v>Low (&lt;$50)</v>
      </c>
      <c r="AE242" t="str">
        <f t="shared" si="51"/>
        <v>Small (1-2 units)</v>
      </c>
      <c r="AF242" t="str">
        <f t="shared" si="52"/>
        <v>Profitable</v>
      </c>
      <c r="AG242" t="str">
        <f t="shared" si="53"/>
        <v>High Margin</v>
      </c>
      <c r="AH242" t="str">
        <f t="shared" si="54"/>
        <v>Repeat Customer</v>
      </c>
      <c r="AI242" t="str">
        <f t="shared" si="55"/>
        <v>Standard (3-5 days)</v>
      </c>
    </row>
    <row r="243" spans="1:35" ht="15" customHeight="1" x14ac:dyDescent="0.3">
      <c r="A243">
        <v>242</v>
      </c>
      <c r="B243" t="s">
        <v>1100</v>
      </c>
      <c r="C243" s="12">
        <v>42525</v>
      </c>
      <c r="D243" s="12">
        <v>42530</v>
      </c>
      <c r="E243" t="s">
        <v>206</v>
      </c>
      <c r="F243" t="s">
        <v>1101</v>
      </c>
      <c r="G243" t="s">
        <v>1102</v>
      </c>
      <c r="H243" t="s">
        <v>209</v>
      </c>
      <c r="I243" t="s">
        <v>210</v>
      </c>
      <c r="J243" t="s">
        <v>486</v>
      </c>
      <c r="K243" t="s">
        <v>394</v>
      </c>
      <c r="L243">
        <v>60610</v>
      </c>
      <c r="M243" t="s">
        <v>288</v>
      </c>
      <c r="N243" t="s">
        <v>1111</v>
      </c>
      <c r="O243" t="s">
        <v>215</v>
      </c>
      <c r="P243" t="s">
        <v>239</v>
      </c>
      <c r="Q243" t="s">
        <v>1112</v>
      </c>
      <c r="R243" s="13">
        <v>177.22499999999999</v>
      </c>
      <c r="S243">
        <v>5</v>
      </c>
      <c r="T243" s="14">
        <v>0.5</v>
      </c>
      <c r="U243" s="13">
        <v>-120.51300000000001</v>
      </c>
      <c r="V243">
        <f t="shared" si="42"/>
        <v>2016</v>
      </c>
      <c r="W243" t="str">
        <f t="shared" si="43"/>
        <v>Jun</v>
      </c>
      <c r="X243" t="str">
        <f t="shared" si="44"/>
        <v>Q2</v>
      </c>
      <c r="Y243" t="str">
        <f t="shared" si="45"/>
        <v>Sat</v>
      </c>
      <c r="Z243" s="16">
        <f t="shared" si="46"/>
        <v>5</v>
      </c>
      <c r="AA243" s="13">
        <f t="shared" si="47"/>
        <v>35.445</v>
      </c>
      <c r="AB243" s="14">
        <f t="shared" si="48"/>
        <v>-0.68</v>
      </c>
      <c r="AC243" t="str">
        <f t="shared" si="49"/>
        <v>High (40%+)</v>
      </c>
      <c r="AD243" t="str">
        <f t="shared" si="50"/>
        <v>Medium ($50-$200)</v>
      </c>
      <c r="AE243" t="str">
        <f t="shared" si="51"/>
        <v>Medium (3-5 units)</v>
      </c>
      <c r="AF243" t="str">
        <f t="shared" si="52"/>
        <v>Loss-Making</v>
      </c>
      <c r="AG243" t="str">
        <f t="shared" si="53"/>
        <v>Underperforming</v>
      </c>
      <c r="AH243" t="str">
        <f t="shared" si="54"/>
        <v>Repeat Customer</v>
      </c>
      <c r="AI243" t="str">
        <f t="shared" si="55"/>
        <v>Standard (3-5 days)</v>
      </c>
    </row>
    <row r="244" spans="1:35" ht="15" customHeight="1" x14ac:dyDescent="0.3">
      <c r="A244">
        <v>243</v>
      </c>
      <c r="B244" t="s">
        <v>1100</v>
      </c>
      <c r="C244" s="12">
        <v>42525</v>
      </c>
      <c r="D244" s="12">
        <v>42530</v>
      </c>
      <c r="E244" t="s">
        <v>206</v>
      </c>
      <c r="F244" t="s">
        <v>1101</v>
      </c>
      <c r="G244" t="s">
        <v>1102</v>
      </c>
      <c r="H244" t="s">
        <v>209</v>
      </c>
      <c r="I244" t="s">
        <v>210</v>
      </c>
      <c r="J244" t="s">
        <v>486</v>
      </c>
      <c r="K244" t="s">
        <v>394</v>
      </c>
      <c r="L244">
        <v>60610</v>
      </c>
      <c r="M244" t="s">
        <v>288</v>
      </c>
      <c r="N244" t="s">
        <v>1113</v>
      </c>
      <c r="O244" t="s">
        <v>215</v>
      </c>
      <c r="P244" t="s">
        <v>248</v>
      </c>
      <c r="Q244" t="s">
        <v>1114</v>
      </c>
      <c r="R244" s="13">
        <v>4.0439999999999996</v>
      </c>
      <c r="S244">
        <v>3</v>
      </c>
      <c r="T244" s="14">
        <v>0.6</v>
      </c>
      <c r="U244" s="13">
        <v>-2.8308</v>
      </c>
      <c r="V244">
        <f t="shared" si="42"/>
        <v>2016</v>
      </c>
      <c r="W244" t="str">
        <f t="shared" si="43"/>
        <v>Jun</v>
      </c>
      <c r="X244" t="str">
        <f t="shared" si="44"/>
        <v>Q2</v>
      </c>
      <c r="Y244" t="str">
        <f t="shared" si="45"/>
        <v>Sat</v>
      </c>
      <c r="Z244" s="16">
        <f t="shared" si="46"/>
        <v>5</v>
      </c>
      <c r="AA244" s="13">
        <f t="shared" si="47"/>
        <v>1.3479999999999999</v>
      </c>
      <c r="AB244" s="14">
        <f t="shared" si="48"/>
        <v>-0.70000000000000007</v>
      </c>
      <c r="AC244" t="str">
        <f t="shared" si="49"/>
        <v>High (40%+)</v>
      </c>
      <c r="AD244" t="str">
        <f t="shared" si="50"/>
        <v>Low (&lt;$50)</v>
      </c>
      <c r="AE244" t="str">
        <f t="shared" si="51"/>
        <v>Medium (3-5 units)</v>
      </c>
      <c r="AF244" t="str">
        <f t="shared" si="52"/>
        <v>Loss-Making</v>
      </c>
      <c r="AG244" t="str">
        <f t="shared" si="53"/>
        <v>Underperforming</v>
      </c>
      <c r="AH244" t="str">
        <f t="shared" si="54"/>
        <v>Repeat Customer</v>
      </c>
      <c r="AI244" t="str">
        <f t="shared" si="55"/>
        <v>Standard (3-5 days)</v>
      </c>
    </row>
    <row r="245" spans="1:35" ht="15" customHeight="1" x14ac:dyDescent="0.3">
      <c r="A245">
        <v>244</v>
      </c>
      <c r="B245" t="s">
        <v>1100</v>
      </c>
      <c r="C245" s="12">
        <v>42525</v>
      </c>
      <c r="D245" s="12">
        <v>42530</v>
      </c>
      <c r="E245" t="s">
        <v>206</v>
      </c>
      <c r="F245" t="s">
        <v>1101</v>
      </c>
      <c r="G245" t="s">
        <v>1102</v>
      </c>
      <c r="H245" t="s">
        <v>209</v>
      </c>
      <c r="I245" t="s">
        <v>210</v>
      </c>
      <c r="J245" t="s">
        <v>486</v>
      </c>
      <c r="K245" t="s">
        <v>394</v>
      </c>
      <c r="L245">
        <v>60610</v>
      </c>
      <c r="M245" t="s">
        <v>288</v>
      </c>
      <c r="N245" t="s">
        <v>965</v>
      </c>
      <c r="O245" t="s">
        <v>229</v>
      </c>
      <c r="P245" t="s">
        <v>251</v>
      </c>
      <c r="Q245" t="s">
        <v>966</v>
      </c>
      <c r="R245" s="13">
        <v>7.4080000000000004</v>
      </c>
      <c r="S245">
        <v>2</v>
      </c>
      <c r="T245" s="14">
        <v>0.2</v>
      </c>
      <c r="U245" s="13">
        <v>1.2038</v>
      </c>
      <c r="V245">
        <f t="shared" si="42"/>
        <v>2016</v>
      </c>
      <c r="W245" t="str">
        <f t="shared" si="43"/>
        <v>Jun</v>
      </c>
      <c r="X245" t="str">
        <f t="shared" si="44"/>
        <v>Q2</v>
      </c>
      <c r="Y245" t="str">
        <f t="shared" si="45"/>
        <v>Sat</v>
      </c>
      <c r="Z245" s="16">
        <f t="shared" si="46"/>
        <v>5</v>
      </c>
      <c r="AA245" s="13">
        <f t="shared" si="47"/>
        <v>3.7040000000000002</v>
      </c>
      <c r="AB245" s="14">
        <f t="shared" si="48"/>
        <v>0.16249999999999998</v>
      </c>
      <c r="AC245" t="str">
        <f t="shared" si="49"/>
        <v>Low (1-20%)</v>
      </c>
      <c r="AD245" t="str">
        <f t="shared" si="50"/>
        <v>Low (&lt;$50)</v>
      </c>
      <c r="AE245" t="str">
        <f t="shared" si="51"/>
        <v>Small (1-2 units)</v>
      </c>
      <c r="AF245" t="str">
        <f t="shared" si="52"/>
        <v>Profitable</v>
      </c>
      <c r="AG245" t="str">
        <f t="shared" si="53"/>
        <v>Healthy Margin</v>
      </c>
      <c r="AH245" t="str">
        <f t="shared" si="54"/>
        <v>Repeat Customer</v>
      </c>
      <c r="AI245" t="str">
        <f t="shared" si="55"/>
        <v>Standard (3-5 days)</v>
      </c>
    </row>
    <row r="246" spans="1:35" ht="15" customHeight="1" x14ac:dyDescent="0.3">
      <c r="A246">
        <v>245</v>
      </c>
      <c r="B246" t="s">
        <v>1115</v>
      </c>
      <c r="C246" s="12">
        <v>41791</v>
      </c>
      <c r="D246" s="12">
        <v>41796</v>
      </c>
      <c r="E246" t="s">
        <v>206</v>
      </c>
      <c r="F246" t="s">
        <v>1116</v>
      </c>
      <c r="G246" t="s">
        <v>1117</v>
      </c>
      <c r="H246" t="s">
        <v>285</v>
      </c>
      <c r="I246" t="s">
        <v>210</v>
      </c>
      <c r="J246" t="s">
        <v>1118</v>
      </c>
      <c r="K246" t="s">
        <v>412</v>
      </c>
      <c r="L246">
        <v>55044</v>
      </c>
      <c r="M246" t="s">
        <v>288</v>
      </c>
      <c r="N246" t="s">
        <v>716</v>
      </c>
      <c r="O246" t="s">
        <v>215</v>
      </c>
      <c r="P246" t="s">
        <v>219</v>
      </c>
      <c r="Q246" t="s">
        <v>717</v>
      </c>
      <c r="R246" s="13">
        <v>2001.86</v>
      </c>
      <c r="S246">
        <v>7</v>
      </c>
      <c r="T246" s="14">
        <v>0</v>
      </c>
      <c r="U246" s="13">
        <v>580.5394</v>
      </c>
      <c r="V246">
        <f t="shared" si="42"/>
        <v>2014</v>
      </c>
      <c r="W246" t="str">
        <f t="shared" si="43"/>
        <v>Jun</v>
      </c>
      <c r="X246" t="str">
        <f t="shared" si="44"/>
        <v>Q2</v>
      </c>
      <c r="Y246" t="str">
        <f t="shared" si="45"/>
        <v>Sun</v>
      </c>
      <c r="Z246" s="16">
        <f t="shared" si="46"/>
        <v>5</v>
      </c>
      <c r="AA246" s="13">
        <f t="shared" si="47"/>
        <v>285.97999999999996</v>
      </c>
      <c r="AB246" s="14">
        <f t="shared" si="48"/>
        <v>0.29000000000000004</v>
      </c>
      <c r="AC246" t="str">
        <f t="shared" si="49"/>
        <v>No Discount</v>
      </c>
      <c r="AD246" t="str">
        <f t="shared" si="50"/>
        <v>Premium ($500+)</v>
      </c>
      <c r="AE246" t="str">
        <f t="shared" si="51"/>
        <v>Large (6+ units)</v>
      </c>
      <c r="AF246" t="str">
        <f t="shared" si="52"/>
        <v>Profitable</v>
      </c>
      <c r="AG246" t="str">
        <f t="shared" si="53"/>
        <v>High Margin</v>
      </c>
      <c r="AH246" t="str">
        <f t="shared" si="54"/>
        <v>Repeat Customer</v>
      </c>
      <c r="AI246" t="str">
        <f t="shared" si="55"/>
        <v>Standard (3-5 days)</v>
      </c>
    </row>
    <row r="247" spans="1:35" ht="15" customHeight="1" x14ac:dyDescent="0.3">
      <c r="A247">
        <v>246</v>
      </c>
      <c r="B247" t="s">
        <v>1115</v>
      </c>
      <c r="C247" s="12">
        <v>41791</v>
      </c>
      <c r="D247" s="12">
        <v>41796</v>
      </c>
      <c r="E247" t="s">
        <v>206</v>
      </c>
      <c r="F247" t="s">
        <v>1116</v>
      </c>
      <c r="G247" t="s">
        <v>1117</v>
      </c>
      <c r="H247" t="s">
        <v>285</v>
      </c>
      <c r="I247" t="s">
        <v>210</v>
      </c>
      <c r="J247" t="s">
        <v>1118</v>
      </c>
      <c r="K247" t="s">
        <v>412</v>
      </c>
      <c r="L247">
        <v>55044</v>
      </c>
      <c r="M247" t="s">
        <v>288</v>
      </c>
      <c r="N247" t="s">
        <v>1119</v>
      </c>
      <c r="O247" t="s">
        <v>229</v>
      </c>
      <c r="P247" t="s">
        <v>242</v>
      </c>
      <c r="Q247" t="s">
        <v>1120</v>
      </c>
      <c r="R247" s="13">
        <v>166.72</v>
      </c>
      <c r="S247">
        <v>2</v>
      </c>
      <c r="T247" s="14">
        <v>0</v>
      </c>
      <c r="U247" s="13">
        <v>41.68</v>
      </c>
      <c r="V247">
        <f t="shared" si="42"/>
        <v>2014</v>
      </c>
      <c r="W247" t="str">
        <f t="shared" si="43"/>
        <v>Jun</v>
      </c>
      <c r="X247" t="str">
        <f t="shared" si="44"/>
        <v>Q2</v>
      </c>
      <c r="Y247" t="str">
        <f t="shared" si="45"/>
        <v>Sun</v>
      </c>
      <c r="Z247" s="16">
        <f t="shared" si="46"/>
        <v>5</v>
      </c>
      <c r="AA247" s="13">
        <f t="shared" si="47"/>
        <v>83.36</v>
      </c>
      <c r="AB247" s="14">
        <f t="shared" si="48"/>
        <v>0.25</v>
      </c>
      <c r="AC247" t="str">
        <f t="shared" si="49"/>
        <v>No Discount</v>
      </c>
      <c r="AD247" t="str">
        <f t="shared" si="50"/>
        <v>Medium ($50-$200)</v>
      </c>
      <c r="AE247" t="str">
        <f t="shared" si="51"/>
        <v>Small (1-2 units)</v>
      </c>
      <c r="AF247" t="str">
        <f t="shared" si="52"/>
        <v>Profitable</v>
      </c>
      <c r="AG247" t="str">
        <f t="shared" si="53"/>
        <v>High Margin</v>
      </c>
      <c r="AH247" t="str">
        <f t="shared" si="54"/>
        <v>Repeat Customer</v>
      </c>
      <c r="AI247" t="str">
        <f t="shared" si="55"/>
        <v>Standard (3-5 days)</v>
      </c>
    </row>
    <row r="248" spans="1:35" ht="15" customHeight="1" x14ac:dyDescent="0.3">
      <c r="A248">
        <v>247</v>
      </c>
      <c r="B248" t="s">
        <v>1115</v>
      </c>
      <c r="C248" s="12">
        <v>41791</v>
      </c>
      <c r="D248" s="12">
        <v>41796</v>
      </c>
      <c r="E248" t="s">
        <v>206</v>
      </c>
      <c r="F248" t="s">
        <v>1116</v>
      </c>
      <c r="G248" t="s">
        <v>1117</v>
      </c>
      <c r="H248" t="s">
        <v>285</v>
      </c>
      <c r="I248" t="s">
        <v>210</v>
      </c>
      <c r="J248" t="s">
        <v>1118</v>
      </c>
      <c r="K248" t="s">
        <v>412</v>
      </c>
      <c r="L248">
        <v>55044</v>
      </c>
      <c r="M248" t="s">
        <v>288</v>
      </c>
      <c r="N248" t="s">
        <v>1121</v>
      </c>
      <c r="O248" t="s">
        <v>229</v>
      </c>
      <c r="P248" t="s">
        <v>273</v>
      </c>
      <c r="Q248" t="s">
        <v>1122</v>
      </c>
      <c r="R248" s="13">
        <v>47.88</v>
      </c>
      <c r="S248">
        <v>6</v>
      </c>
      <c r="T248" s="14">
        <v>0</v>
      </c>
      <c r="U248" s="13">
        <v>23.94</v>
      </c>
      <c r="V248">
        <f t="shared" si="42"/>
        <v>2014</v>
      </c>
      <c r="W248" t="str">
        <f t="shared" si="43"/>
        <v>Jun</v>
      </c>
      <c r="X248" t="str">
        <f t="shared" si="44"/>
        <v>Q2</v>
      </c>
      <c r="Y248" t="str">
        <f t="shared" si="45"/>
        <v>Sun</v>
      </c>
      <c r="Z248" s="16">
        <f t="shared" si="46"/>
        <v>5</v>
      </c>
      <c r="AA248" s="13">
        <f t="shared" si="47"/>
        <v>7.98</v>
      </c>
      <c r="AB248" s="14">
        <f t="shared" si="48"/>
        <v>0.5</v>
      </c>
      <c r="AC248" t="str">
        <f t="shared" si="49"/>
        <v>No Discount</v>
      </c>
      <c r="AD248" t="str">
        <f t="shared" si="50"/>
        <v>Low (&lt;$50)</v>
      </c>
      <c r="AE248" t="str">
        <f t="shared" si="51"/>
        <v>Large (6+ units)</v>
      </c>
      <c r="AF248" t="str">
        <f t="shared" si="52"/>
        <v>Profitable</v>
      </c>
      <c r="AG248" t="str">
        <f t="shared" si="53"/>
        <v>High Margin</v>
      </c>
      <c r="AH248" t="str">
        <f t="shared" si="54"/>
        <v>Repeat Customer</v>
      </c>
      <c r="AI248" t="str">
        <f t="shared" si="55"/>
        <v>Standard (3-5 days)</v>
      </c>
    </row>
    <row r="249" spans="1:35" ht="15" customHeight="1" x14ac:dyDescent="0.3">
      <c r="A249">
        <v>248</v>
      </c>
      <c r="B249" t="s">
        <v>1115</v>
      </c>
      <c r="C249" s="12">
        <v>41791</v>
      </c>
      <c r="D249" s="12">
        <v>41796</v>
      </c>
      <c r="E249" t="s">
        <v>206</v>
      </c>
      <c r="F249" t="s">
        <v>1116</v>
      </c>
      <c r="G249" t="s">
        <v>1117</v>
      </c>
      <c r="H249" t="s">
        <v>285</v>
      </c>
      <c r="I249" t="s">
        <v>210</v>
      </c>
      <c r="J249" t="s">
        <v>1118</v>
      </c>
      <c r="K249" t="s">
        <v>412</v>
      </c>
      <c r="L249">
        <v>55044</v>
      </c>
      <c r="M249" t="s">
        <v>288</v>
      </c>
      <c r="N249" t="s">
        <v>1123</v>
      </c>
      <c r="O249" t="s">
        <v>229</v>
      </c>
      <c r="P249" t="s">
        <v>261</v>
      </c>
      <c r="Q249" t="s">
        <v>1124</v>
      </c>
      <c r="R249" s="13">
        <v>1503.25</v>
      </c>
      <c r="S249">
        <v>5</v>
      </c>
      <c r="T249" s="14">
        <v>0</v>
      </c>
      <c r="U249" s="13">
        <v>496.07249999999999</v>
      </c>
      <c r="V249">
        <f t="shared" si="42"/>
        <v>2014</v>
      </c>
      <c r="W249" t="str">
        <f t="shared" si="43"/>
        <v>Jun</v>
      </c>
      <c r="X249" t="str">
        <f t="shared" si="44"/>
        <v>Q2</v>
      </c>
      <c r="Y249" t="str">
        <f t="shared" si="45"/>
        <v>Sun</v>
      </c>
      <c r="Z249" s="16">
        <f t="shared" si="46"/>
        <v>5</v>
      </c>
      <c r="AA249" s="13">
        <f t="shared" si="47"/>
        <v>300.64999999999998</v>
      </c>
      <c r="AB249" s="14">
        <f t="shared" si="48"/>
        <v>0.33</v>
      </c>
      <c r="AC249" t="str">
        <f t="shared" si="49"/>
        <v>No Discount</v>
      </c>
      <c r="AD249" t="str">
        <f t="shared" si="50"/>
        <v>Premium ($500+)</v>
      </c>
      <c r="AE249" t="str">
        <f t="shared" si="51"/>
        <v>Medium (3-5 units)</v>
      </c>
      <c r="AF249" t="str">
        <f t="shared" si="52"/>
        <v>Profitable</v>
      </c>
      <c r="AG249" t="str">
        <f t="shared" si="53"/>
        <v>High Margin</v>
      </c>
      <c r="AH249" t="str">
        <f t="shared" si="54"/>
        <v>Repeat Customer</v>
      </c>
      <c r="AI249" t="str">
        <f t="shared" si="55"/>
        <v>Standard (3-5 days)</v>
      </c>
    </row>
    <row r="250" spans="1:35" ht="15" customHeight="1" x14ac:dyDescent="0.3">
      <c r="A250">
        <v>249</v>
      </c>
      <c r="B250" t="s">
        <v>1115</v>
      </c>
      <c r="C250" s="12">
        <v>41791</v>
      </c>
      <c r="D250" s="12">
        <v>41796</v>
      </c>
      <c r="E250" t="s">
        <v>206</v>
      </c>
      <c r="F250" t="s">
        <v>1116</v>
      </c>
      <c r="G250" t="s">
        <v>1117</v>
      </c>
      <c r="H250" t="s">
        <v>285</v>
      </c>
      <c r="I250" t="s">
        <v>210</v>
      </c>
      <c r="J250" t="s">
        <v>1118</v>
      </c>
      <c r="K250" t="s">
        <v>412</v>
      </c>
      <c r="L250">
        <v>55044</v>
      </c>
      <c r="M250" t="s">
        <v>288</v>
      </c>
      <c r="N250" t="s">
        <v>953</v>
      </c>
      <c r="O250" t="s">
        <v>229</v>
      </c>
      <c r="P250" t="s">
        <v>273</v>
      </c>
      <c r="Q250" t="s">
        <v>954</v>
      </c>
      <c r="R250" s="13">
        <v>25.92</v>
      </c>
      <c r="S250">
        <v>4</v>
      </c>
      <c r="T250" s="14">
        <v>0</v>
      </c>
      <c r="U250" s="13">
        <v>12.441599999999999</v>
      </c>
      <c r="V250">
        <f t="shared" si="42"/>
        <v>2014</v>
      </c>
      <c r="W250" t="str">
        <f t="shared" si="43"/>
        <v>Jun</v>
      </c>
      <c r="X250" t="str">
        <f t="shared" si="44"/>
        <v>Q2</v>
      </c>
      <c r="Y250" t="str">
        <f t="shared" si="45"/>
        <v>Sun</v>
      </c>
      <c r="Z250" s="16">
        <f t="shared" si="46"/>
        <v>5</v>
      </c>
      <c r="AA250" s="13">
        <f t="shared" si="47"/>
        <v>6.48</v>
      </c>
      <c r="AB250" s="14">
        <f t="shared" si="48"/>
        <v>0.47999999999999993</v>
      </c>
      <c r="AC250" t="str">
        <f t="shared" si="49"/>
        <v>No Discount</v>
      </c>
      <c r="AD250" t="str">
        <f t="shared" si="50"/>
        <v>Low (&lt;$50)</v>
      </c>
      <c r="AE250" t="str">
        <f t="shared" si="51"/>
        <v>Medium (3-5 units)</v>
      </c>
      <c r="AF250" t="str">
        <f t="shared" si="52"/>
        <v>Profitable</v>
      </c>
      <c r="AG250" t="str">
        <f t="shared" si="53"/>
        <v>High Margin</v>
      </c>
      <c r="AH250" t="str">
        <f t="shared" si="54"/>
        <v>Repeat Customer</v>
      </c>
      <c r="AI250" t="str">
        <f t="shared" si="55"/>
        <v>Standard (3-5 days)</v>
      </c>
    </row>
    <row r="251" spans="1:35" ht="15" customHeight="1" x14ac:dyDescent="0.3">
      <c r="A251">
        <v>250</v>
      </c>
      <c r="B251" t="s">
        <v>1125</v>
      </c>
      <c r="C251" s="12">
        <v>42714</v>
      </c>
      <c r="D251" s="12">
        <v>42719</v>
      </c>
      <c r="E251" t="s">
        <v>206</v>
      </c>
      <c r="F251" t="s">
        <v>1126</v>
      </c>
      <c r="G251" t="s">
        <v>1127</v>
      </c>
      <c r="H251" t="s">
        <v>209</v>
      </c>
      <c r="I251" t="s">
        <v>210</v>
      </c>
      <c r="J251" t="s">
        <v>310</v>
      </c>
      <c r="K251" t="s">
        <v>226</v>
      </c>
      <c r="L251">
        <v>94109</v>
      </c>
      <c r="M251" t="s">
        <v>227</v>
      </c>
      <c r="N251" t="s">
        <v>1128</v>
      </c>
      <c r="O251" t="s">
        <v>215</v>
      </c>
      <c r="P251" t="s">
        <v>219</v>
      </c>
      <c r="Q251" t="s">
        <v>1129</v>
      </c>
      <c r="R251" s="13">
        <v>321.56799999999998</v>
      </c>
      <c r="S251">
        <v>2</v>
      </c>
      <c r="T251" s="14">
        <v>0.2</v>
      </c>
      <c r="U251" s="13">
        <v>28.1372</v>
      </c>
      <c r="V251">
        <f t="shared" si="42"/>
        <v>2016</v>
      </c>
      <c r="W251" t="str">
        <f t="shared" si="43"/>
        <v>Dec</v>
      </c>
      <c r="X251" t="str">
        <f t="shared" si="44"/>
        <v>Q4</v>
      </c>
      <c r="Y251" t="str">
        <f t="shared" si="45"/>
        <v>Sat</v>
      </c>
      <c r="Z251" s="16">
        <f t="shared" si="46"/>
        <v>5</v>
      </c>
      <c r="AA251" s="13">
        <f t="shared" si="47"/>
        <v>160.78399999999999</v>
      </c>
      <c r="AB251" s="14">
        <f t="shared" si="48"/>
        <v>8.7500000000000008E-2</v>
      </c>
      <c r="AC251" t="str">
        <f t="shared" si="49"/>
        <v>Low (1-20%)</v>
      </c>
      <c r="AD251" t="str">
        <f t="shared" si="50"/>
        <v>High ($200-$500)</v>
      </c>
      <c r="AE251" t="str">
        <f t="shared" si="51"/>
        <v>Small (1-2 units)</v>
      </c>
      <c r="AF251" t="str">
        <f t="shared" si="52"/>
        <v>Profitable</v>
      </c>
      <c r="AG251" t="str">
        <f t="shared" si="53"/>
        <v>Low Margin</v>
      </c>
      <c r="AH251" t="str">
        <f t="shared" si="54"/>
        <v>Repeat Customer</v>
      </c>
      <c r="AI251" t="str">
        <f t="shared" si="55"/>
        <v>Standard (3-5 days)</v>
      </c>
    </row>
    <row r="252" spans="1:35" ht="15" customHeight="1" x14ac:dyDescent="0.3">
      <c r="A252">
        <v>251</v>
      </c>
      <c r="B252" t="s">
        <v>1130</v>
      </c>
      <c r="C252" s="12">
        <v>42624</v>
      </c>
      <c r="D252" s="12">
        <v>42630</v>
      </c>
      <c r="E252" t="s">
        <v>233</v>
      </c>
      <c r="F252" t="s">
        <v>1131</v>
      </c>
      <c r="G252" t="s">
        <v>1132</v>
      </c>
      <c r="H252" t="s">
        <v>209</v>
      </c>
      <c r="I252" t="s">
        <v>210</v>
      </c>
      <c r="J252" t="s">
        <v>1133</v>
      </c>
      <c r="K252" t="s">
        <v>226</v>
      </c>
      <c r="L252">
        <v>92037</v>
      </c>
      <c r="M252" t="s">
        <v>227</v>
      </c>
      <c r="N252" t="s">
        <v>1134</v>
      </c>
      <c r="O252" t="s">
        <v>229</v>
      </c>
      <c r="P252" t="s">
        <v>273</v>
      </c>
      <c r="Q252" t="s">
        <v>1135</v>
      </c>
      <c r="R252" s="13">
        <v>7.61</v>
      </c>
      <c r="S252">
        <v>1</v>
      </c>
      <c r="T252" s="14">
        <v>0</v>
      </c>
      <c r="U252" s="13">
        <v>3.5767000000000002</v>
      </c>
      <c r="V252">
        <f t="shared" si="42"/>
        <v>2016</v>
      </c>
      <c r="W252" t="str">
        <f t="shared" si="43"/>
        <v>Sep</v>
      </c>
      <c r="X252" t="str">
        <f t="shared" si="44"/>
        <v>Q3</v>
      </c>
      <c r="Y252" t="str">
        <f t="shared" si="45"/>
        <v>Sun</v>
      </c>
      <c r="Z252" s="16">
        <f t="shared" si="46"/>
        <v>6</v>
      </c>
      <c r="AA252" s="13">
        <f t="shared" si="47"/>
        <v>7.61</v>
      </c>
      <c r="AB252" s="14">
        <f t="shared" si="48"/>
        <v>0.47000000000000003</v>
      </c>
      <c r="AC252" t="str">
        <f t="shared" si="49"/>
        <v>No Discount</v>
      </c>
      <c r="AD252" t="str">
        <f t="shared" si="50"/>
        <v>Low (&lt;$50)</v>
      </c>
      <c r="AE252" t="str">
        <f t="shared" si="51"/>
        <v>Small (1-2 units)</v>
      </c>
      <c r="AF252" t="str">
        <f t="shared" si="52"/>
        <v>Profitable</v>
      </c>
      <c r="AG252" t="str">
        <f t="shared" si="53"/>
        <v>High Margin</v>
      </c>
      <c r="AH252" t="str">
        <f t="shared" si="54"/>
        <v>Repeat Customer</v>
      </c>
      <c r="AI252" t="str">
        <f t="shared" si="55"/>
        <v>Slow (6+ days)</v>
      </c>
    </row>
    <row r="253" spans="1:35" ht="15" customHeight="1" x14ac:dyDescent="0.3">
      <c r="A253">
        <v>252</v>
      </c>
      <c r="B253" t="s">
        <v>1130</v>
      </c>
      <c r="C253" s="12">
        <v>42624</v>
      </c>
      <c r="D253" s="12">
        <v>42630</v>
      </c>
      <c r="E253" t="s">
        <v>233</v>
      </c>
      <c r="F253" t="s">
        <v>1131</v>
      </c>
      <c r="G253" t="s">
        <v>1132</v>
      </c>
      <c r="H253" t="s">
        <v>209</v>
      </c>
      <c r="I253" t="s">
        <v>210</v>
      </c>
      <c r="J253" t="s">
        <v>1133</v>
      </c>
      <c r="K253" t="s">
        <v>226</v>
      </c>
      <c r="L253">
        <v>92037</v>
      </c>
      <c r="M253" t="s">
        <v>227</v>
      </c>
      <c r="N253" t="s">
        <v>1092</v>
      </c>
      <c r="O253" t="s">
        <v>254</v>
      </c>
      <c r="P253" t="s">
        <v>344</v>
      </c>
      <c r="Q253" t="s">
        <v>1093</v>
      </c>
      <c r="R253" s="13">
        <v>3347.37</v>
      </c>
      <c r="S253">
        <v>13</v>
      </c>
      <c r="T253" s="14">
        <v>0</v>
      </c>
      <c r="U253" s="13">
        <v>636.00030000000004</v>
      </c>
      <c r="V253">
        <f t="shared" si="42"/>
        <v>2016</v>
      </c>
      <c r="W253" t="str">
        <f t="shared" si="43"/>
        <v>Sep</v>
      </c>
      <c r="X253" t="str">
        <f t="shared" si="44"/>
        <v>Q3</v>
      </c>
      <c r="Y253" t="str">
        <f t="shared" si="45"/>
        <v>Sun</v>
      </c>
      <c r="Z253" s="16">
        <f t="shared" si="46"/>
        <v>6</v>
      </c>
      <c r="AA253" s="13">
        <f t="shared" si="47"/>
        <v>257.49</v>
      </c>
      <c r="AB253" s="14">
        <f t="shared" si="48"/>
        <v>0.19000000000000003</v>
      </c>
      <c r="AC253" t="str">
        <f t="shared" si="49"/>
        <v>No Discount</v>
      </c>
      <c r="AD253" t="str">
        <f t="shared" si="50"/>
        <v>Premium ($500+)</v>
      </c>
      <c r="AE253" t="str">
        <f t="shared" si="51"/>
        <v>Large (6+ units)</v>
      </c>
      <c r="AF253" t="str">
        <f t="shared" si="52"/>
        <v>Profitable</v>
      </c>
      <c r="AG253" t="str">
        <f t="shared" si="53"/>
        <v>Healthy Margin</v>
      </c>
      <c r="AH253" t="str">
        <f t="shared" si="54"/>
        <v>Repeat Customer</v>
      </c>
      <c r="AI253" t="str">
        <f t="shared" si="55"/>
        <v>Slow (6+ days)</v>
      </c>
    </row>
    <row r="254" spans="1:35" ht="15" customHeight="1" x14ac:dyDescent="0.3">
      <c r="A254">
        <v>253</v>
      </c>
      <c r="B254" t="s">
        <v>1136</v>
      </c>
      <c r="C254" s="12">
        <v>42714</v>
      </c>
      <c r="D254" s="12">
        <v>42717</v>
      </c>
      <c r="E254" t="s">
        <v>371</v>
      </c>
      <c r="F254" t="s">
        <v>1137</v>
      </c>
      <c r="G254" t="s">
        <v>1138</v>
      </c>
      <c r="H254" t="s">
        <v>209</v>
      </c>
      <c r="I254" t="s">
        <v>210</v>
      </c>
      <c r="J254" t="s">
        <v>449</v>
      </c>
      <c r="K254" t="s">
        <v>450</v>
      </c>
      <c r="L254">
        <v>10024</v>
      </c>
      <c r="M254" t="s">
        <v>331</v>
      </c>
      <c r="N254" t="s">
        <v>1139</v>
      </c>
      <c r="O254" t="s">
        <v>229</v>
      </c>
      <c r="P254" t="s">
        <v>242</v>
      </c>
      <c r="Q254" t="s">
        <v>1140</v>
      </c>
      <c r="R254" s="13">
        <v>80.58</v>
      </c>
      <c r="S254">
        <v>6</v>
      </c>
      <c r="T254" s="14">
        <v>0</v>
      </c>
      <c r="U254" s="13">
        <v>22.5624</v>
      </c>
      <c r="V254">
        <f t="shared" si="42"/>
        <v>2016</v>
      </c>
      <c r="W254" t="str">
        <f t="shared" si="43"/>
        <v>Dec</v>
      </c>
      <c r="X254" t="str">
        <f t="shared" si="44"/>
        <v>Q4</v>
      </c>
      <c r="Y254" t="str">
        <f t="shared" si="45"/>
        <v>Sat</v>
      </c>
      <c r="Z254" s="16">
        <f t="shared" si="46"/>
        <v>3</v>
      </c>
      <c r="AA254" s="13">
        <f t="shared" si="47"/>
        <v>13.43</v>
      </c>
      <c r="AB254" s="14">
        <f t="shared" si="48"/>
        <v>0.28000000000000003</v>
      </c>
      <c r="AC254" t="str">
        <f t="shared" si="49"/>
        <v>No Discount</v>
      </c>
      <c r="AD254" t="str">
        <f t="shared" si="50"/>
        <v>Medium ($50-$200)</v>
      </c>
      <c r="AE254" t="str">
        <f t="shared" si="51"/>
        <v>Large (6+ units)</v>
      </c>
      <c r="AF254" t="str">
        <f t="shared" si="52"/>
        <v>Profitable</v>
      </c>
      <c r="AG254" t="str">
        <f t="shared" si="53"/>
        <v>High Margin</v>
      </c>
      <c r="AH254" t="str">
        <f t="shared" si="54"/>
        <v>Repeat Customer</v>
      </c>
      <c r="AI254" t="str">
        <f t="shared" si="55"/>
        <v>Standard (3-5 days)</v>
      </c>
    </row>
    <row r="255" spans="1:35" ht="15" customHeight="1" x14ac:dyDescent="0.3">
      <c r="A255">
        <v>254</v>
      </c>
      <c r="B255" t="s">
        <v>1136</v>
      </c>
      <c r="C255" s="12">
        <v>42714</v>
      </c>
      <c r="D255" s="12">
        <v>42717</v>
      </c>
      <c r="E255" t="s">
        <v>371</v>
      </c>
      <c r="F255" t="s">
        <v>1137</v>
      </c>
      <c r="G255" t="s">
        <v>1138</v>
      </c>
      <c r="H255" t="s">
        <v>209</v>
      </c>
      <c r="I255" t="s">
        <v>210</v>
      </c>
      <c r="J255" t="s">
        <v>449</v>
      </c>
      <c r="K255" t="s">
        <v>450</v>
      </c>
      <c r="L255">
        <v>10024</v>
      </c>
      <c r="M255" t="s">
        <v>331</v>
      </c>
      <c r="N255" t="s">
        <v>1141</v>
      </c>
      <c r="O255" t="s">
        <v>229</v>
      </c>
      <c r="P255" t="s">
        <v>356</v>
      </c>
      <c r="Q255" t="s">
        <v>1142</v>
      </c>
      <c r="R255" s="13">
        <v>361.92</v>
      </c>
      <c r="S255">
        <v>4</v>
      </c>
      <c r="T255" s="14">
        <v>0</v>
      </c>
      <c r="U255" s="13">
        <v>162.864</v>
      </c>
      <c r="V255">
        <f t="shared" si="42"/>
        <v>2016</v>
      </c>
      <c r="W255" t="str">
        <f t="shared" si="43"/>
        <v>Dec</v>
      </c>
      <c r="X255" t="str">
        <f t="shared" si="44"/>
        <v>Q4</v>
      </c>
      <c r="Y255" t="str">
        <f t="shared" si="45"/>
        <v>Sat</v>
      </c>
      <c r="Z255" s="16">
        <f t="shared" si="46"/>
        <v>3</v>
      </c>
      <c r="AA255" s="13">
        <f t="shared" si="47"/>
        <v>90.48</v>
      </c>
      <c r="AB255" s="14">
        <f t="shared" si="48"/>
        <v>0.45</v>
      </c>
      <c r="AC255" t="str">
        <f t="shared" si="49"/>
        <v>No Discount</v>
      </c>
      <c r="AD255" t="str">
        <f t="shared" si="50"/>
        <v>High ($200-$500)</v>
      </c>
      <c r="AE255" t="str">
        <f t="shared" si="51"/>
        <v>Medium (3-5 units)</v>
      </c>
      <c r="AF255" t="str">
        <f t="shared" si="52"/>
        <v>Profitable</v>
      </c>
      <c r="AG255" t="str">
        <f t="shared" si="53"/>
        <v>High Margin</v>
      </c>
      <c r="AH255" t="str">
        <f t="shared" si="54"/>
        <v>Repeat Customer</v>
      </c>
      <c r="AI255" t="str">
        <f t="shared" si="55"/>
        <v>Standard (3-5 days)</v>
      </c>
    </row>
    <row r="256" spans="1:35" ht="15" customHeight="1" x14ac:dyDescent="0.3">
      <c r="A256">
        <v>255</v>
      </c>
      <c r="B256" t="s">
        <v>1143</v>
      </c>
      <c r="C256" s="12">
        <v>42336</v>
      </c>
      <c r="D256" s="12">
        <v>42342</v>
      </c>
      <c r="E256" t="s">
        <v>233</v>
      </c>
      <c r="F256" t="s">
        <v>1144</v>
      </c>
      <c r="G256" t="s">
        <v>1145</v>
      </c>
      <c r="H256" t="s">
        <v>224</v>
      </c>
      <c r="I256" t="s">
        <v>210</v>
      </c>
      <c r="J256" t="s">
        <v>486</v>
      </c>
      <c r="K256" t="s">
        <v>394</v>
      </c>
      <c r="L256">
        <v>60623</v>
      </c>
      <c r="M256" t="s">
        <v>288</v>
      </c>
      <c r="N256" t="s">
        <v>1113</v>
      </c>
      <c r="O256" t="s">
        <v>215</v>
      </c>
      <c r="P256" t="s">
        <v>248</v>
      </c>
      <c r="Q256" t="s">
        <v>1114</v>
      </c>
      <c r="R256" s="13">
        <v>12.132</v>
      </c>
      <c r="S256">
        <v>9</v>
      </c>
      <c r="T256" s="14">
        <v>0.6</v>
      </c>
      <c r="U256" s="13">
        <v>-8.4923999999999999</v>
      </c>
      <c r="V256">
        <f t="shared" si="42"/>
        <v>2015</v>
      </c>
      <c r="W256" t="str">
        <f t="shared" si="43"/>
        <v>Nov</v>
      </c>
      <c r="X256" t="str">
        <f t="shared" si="44"/>
        <v>Q4</v>
      </c>
      <c r="Y256" t="str">
        <f t="shared" si="45"/>
        <v>Sat</v>
      </c>
      <c r="Z256" s="16">
        <f t="shared" si="46"/>
        <v>6</v>
      </c>
      <c r="AA256" s="13">
        <f t="shared" si="47"/>
        <v>1.3479999999999999</v>
      </c>
      <c r="AB256" s="14">
        <f t="shared" si="48"/>
        <v>-0.70000000000000007</v>
      </c>
      <c r="AC256" t="str">
        <f t="shared" si="49"/>
        <v>High (40%+)</v>
      </c>
      <c r="AD256" t="str">
        <f t="shared" si="50"/>
        <v>Low (&lt;$50)</v>
      </c>
      <c r="AE256" t="str">
        <f t="shared" si="51"/>
        <v>Large (6+ units)</v>
      </c>
      <c r="AF256" t="str">
        <f t="shared" si="52"/>
        <v>Loss-Making</v>
      </c>
      <c r="AG256" t="str">
        <f t="shared" si="53"/>
        <v>Underperforming</v>
      </c>
      <c r="AH256" t="str">
        <f t="shared" si="54"/>
        <v>Repeat Customer</v>
      </c>
      <c r="AI256" t="str">
        <f t="shared" si="55"/>
        <v>Slow (6+ days)</v>
      </c>
    </row>
    <row r="257" spans="1:35" ht="15" customHeight="1" x14ac:dyDescent="0.3">
      <c r="A257">
        <v>256</v>
      </c>
      <c r="B257" t="s">
        <v>1143</v>
      </c>
      <c r="C257" s="12">
        <v>42336</v>
      </c>
      <c r="D257" s="12">
        <v>42342</v>
      </c>
      <c r="E257" t="s">
        <v>233</v>
      </c>
      <c r="F257" t="s">
        <v>1144</v>
      </c>
      <c r="G257" t="s">
        <v>1145</v>
      </c>
      <c r="H257" t="s">
        <v>224</v>
      </c>
      <c r="I257" t="s">
        <v>210</v>
      </c>
      <c r="J257" t="s">
        <v>486</v>
      </c>
      <c r="K257" t="s">
        <v>394</v>
      </c>
      <c r="L257">
        <v>60623</v>
      </c>
      <c r="M257" t="s">
        <v>288</v>
      </c>
      <c r="N257" t="s">
        <v>1146</v>
      </c>
      <c r="O257" t="s">
        <v>229</v>
      </c>
      <c r="P257" t="s">
        <v>242</v>
      </c>
      <c r="Q257" t="s">
        <v>1147</v>
      </c>
      <c r="R257" s="13">
        <v>82.367999999999995</v>
      </c>
      <c r="S257">
        <v>2</v>
      </c>
      <c r="T257" s="14">
        <v>0.2</v>
      </c>
      <c r="U257" s="13">
        <v>-19.5624</v>
      </c>
      <c r="V257">
        <f t="shared" si="42"/>
        <v>2015</v>
      </c>
      <c r="W257" t="str">
        <f t="shared" si="43"/>
        <v>Nov</v>
      </c>
      <c r="X257" t="str">
        <f t="shared" si="44"/>
        <v>Q4</v>
      </c>
      <c r="Y257" t="str">
        <f t="shared" si="45"/>
        <v>Sat</v>
      </c>
      <c r="Z257" s="16">
        <f t="shared" si="46"/>
        <v>6</v>
      </c>
      <c r="AA257" s="13">
        <f t="shared" si="47"/>
        <v>41.183999999999997</v>
      </c>
      <c r="AB257" s="14">
        <f t="shared" si="48"/>
        <v>-0.23750000000000002</v>
      </c>
      <c r="AC257" t="str">
        <f t="shared" si="49"/>
        <v>Low (1-20%)</v>
      </c>
      <c r="AD257" t="str">
        <f t="shared" si="50"/>
        <v>Medium ($50-$200)</v>
      </c>
      <c r="AE257" t="str">
        <f t="shared" si="51"/>
        <v>Small (1-2 units)</v>
      </c>
      <c r="AF257" t="str">
        <f t="shared" si="52"/>
        <v>Loss-Making</v>
      </c>
      <c r="AG257" t="str">
        <f t="shared" si="53"/>
        <v>Underperforming</v>
      </c>
      <c r="AH257" t="str">
        <f t="shared" si="54"/>
        <v>Repeat Customer</v>
      </c>
      <c r="AI257" t="str">
        <f t="shared" si="55"/>
        <v>Slow (6+ days)</v>
      </c>
    </row>
    <row r="258" spans="1:35" ht="15" customHeight="1" x14ac:dyDescent="0.3">
      <c r="A258">
        <v>257</v>
      </c>
      <c r="B258" t="s">
        <v>1143</v>
      </c>
      <c r="C258" s="12">
        <v>42336</v>
      </c>
      <c r="D258" s="12">
        <v>42342</v>
      </c>
      <c r="E258" t="s">
        <v>233</v>
      </c>
      <c r="F258" t="s">
        <v>1144</v>
      </c>
      <c r="G258" t="s">
        <v>1145</v>
      </c>
      <c r="H258" t="s">
        <v>224</v>
      </c>
      <c r="I258" t="s">
        <v>210</v>
      </c>
      <c r="J258" t="s">
        <v>486</v>
      </c>
      <c r="K258" t="s">
        <v>394</v>
      </c>
      <c r="L258">
        <v>60623</v>
      </c>
      <c r="M258" t="s">
        <v>288</v>
      </c>
      <c r="N258" t="s">
        <v>819</v>
      </c>
      <c r="O258" t="s">
        <v>229</v>
      </c>
      <c r="P258" t="s">
        <v>242</v>
      </c>
      <c r="Q258" t="s">
        <v>820</v>
      </c>
      <c r="R258" s="13">
        <v>53.92</v>
      </c>
      <c r="S258">
        <v>5</v>
      </c>
      <c r="T258" s="14">
        <v>0.2</v>
      </c>
      <c r="U258" s="13">
        <v>4.0439999999999996</v>
      </c>
      <c r="V258">
        <f t="shared" ref="V258:V321" si="56">YEAR(C258)</f>
        <v>2015</v>
      </c>
      <c r="W258" t="str">
        <f t="shared" ref="W258:W321" si="57">TEXT(C258,"mmm")</f>
        <v>Nov</v>
      </c>
      <c r="X258" t="str">
        <f t="shared" ref="X258:X321" si="58">"Q"&amp;ROUNDUP(MONTH(C258)/3,0)</f>
        <v>Q4</v>
      </c>
      <c r="Y258" t="str">
        <f t="shared" ref="Y258:Y321" si="59">TEXT(C258,"ddd")</f>
        <v>Sat</v>
      </c>
      <c r="Z258" s="16">
        <f t="shared" ref="Z258:Z321" si="60">D258-C258</f>
        <v>6</v>
      </c>
      <c r="AA258" s="13">
        <f t="shared" ref="AA258:AA321" si="61">IFERROR(R258/S258,0)</f>
        <v>10.784000000000001</v>
      </c>
      <c r="AB258" s="14">
        <f t="shared" ref="AB258:AB321" si="62">IFERROR(U258/R258,0)</f>
        <v>7.4999999999999983E-2</v>
      </c>
      <c r="AC258" t="str">
        <f t="shared" ref="AC258:AC321" si="63">IF(T258=0,"No Discount",IF(T258&lt;=0.2,"Low (1-20%)",IF(T258&lt;=0.4,"Medium (21-40%)","High (40%+)")))</f>
        <v>Low (1-20%)</v>
      </c>
      <c r="AD258" t="str">
        <f t="shared" ref="AD258:AD321" si="64">IF(R258&lt;50,"Low (&lt;$50)",IF(R258&lt;200,"Medium ($50-$200)",IF(R258&lt;500,"High ($200-$500)","Premium ($500+)")))</f>
        <v>Medium ($50-$200)</v>
      </c>
      <c r="AE258" t="str">
        <f t="shared" ref="AE258:AE321" si="65">IF(S258&lt;=2,"Small (1-2 units)",IF(S258&lt;=5,"Medium (3-5 units)","Large (6+ units)"))</f>
        <v>Medium (3-5 units)</v>
      </c>
      <c r="AF258" t="str">
        <f t="shared" ref="AF258:AF321" si="66">IF(U258&lt;0,"Loss-Making","Profitable")</f>
        <v>Profitable</v>
      </c>
      <c r="AG258" t="str">
        <f t="shared" ref="AG258:AG321" si="67">IF(AB258&lt;0,"Underperforming",IF(AB258&lt;0.1,"Low Margin",IF(AB258&lt;0.25,"Healthy Margin","High Margin")))</f>
        <v>Low Margin</v>
      </c>
      <c r="AH258" t="str">
        <f t="shared" ref="AH258:AH321" si="68">IF(COUNTIF($F$2:$F$1001,F258)&gt;1,"Repeat Customer","Single Purchase")</f>
        <v>Repeat Customer</v>
      </c>
      <c r="AI258" t="str">
        <f t="shared" ref="AI258:AI321" si="69">IF(Z258&lt;=2,"Fast (&lt;=2 days)",IF(Z258&lt;=5,"Standard (3-5 days)","Slow (6+ days)"))</f>
        <v>Slow (6+ days)</v>
      </c>
    </row>
    <row r="259" spans="1:35" ht="15" customHeight="1" x14ac:dyDescent="0.3">
      <c r="A259">
        <v>258</v>
      </c>
      <c r="B259" t="s">
        <v>1143</v>
      </c>
      <c r="C259" s="12">
        <v>42336</v>
      </c>
      <c r="D259" s="12">
        <v>42342</v>
      </c>
      <c r="E259" t="s">
        <v>233</v>
      </c>
      <c r="F259" t="s">
        <v>1144</v>
      </c>
      <c r="G259" t="s">
        <v>1145</v>
      </c>
      <c r="H259" t="s">
        <v>224</v>
      </c>
      <c r="I259" t="s">
        <v>210</v>
      </c>
      <c r="J259" t="s">
        <v>486</v>
      </c>
      <c r="K259" t="s">
        <v>394</v>
      </c>
      <c r="L259">
        <v>60623</v>
      </c>
      <c r="M259" t="s">
        <v>288</v>
      </c>
      <c r="N259" t="s">
        <v>1148</v>
      </c>
      <c r="O259" t="s">
        <v>254</v>
      </c>
      <c r="P259" t="s">
        <v>255</v>
      </c>
      <c r="Q259" t="s">
        <v>1149</v>
      </c>
      <c r="R259" s="13">
        <v>647.904</v>
      </c>
      <c r="S259">
        <v>6</v>
      </c>
      <c r="T259" s="14">
        <v>0.2</v>
      </c>
      <c r="U259" s="13">
        <v>56.691600000000001</v>
      </c>
      <c r="V259">
        <f t="shared" si="56"/>
        <v>2015</v>
      </c>
      <c r="W259" t="str">
        <f t="shared" si="57"/>
        <v>Nov</v>
      </c>
      <c r="X259" t="str">
        <f t="shared" si="58"/>
        <v>Q4</v>
      </c>
      <c r="Y259" t="str">
        <f t="shared" si="59"/>
        <v>Sat</v>
      </c>
      <c r="Z259" s="16">
        <f t="shared" si="60"/>
        <v>6</v>
      </c>
      <c r="AA259" s="13">
        <f t="shared" si="61"/>
        <v>107.98399999999999</v>
      </c>
      <c r="AB259" s="14">
        <f t="shared" si="62"/>
        <v>8.7500000000000008E-2</v>
      </c>
      <c r="AC259" t="str">
        <f t="shared" si="63"/>
        <v>Low (1-20%)</v>
      </c>
      <c r="AD259" t="str">
        <f t="shared" si="64"/>
        <v>Premium ($500+)</v>
      </c>
      <c r="AE259" t="str">
        <f t="shared" si="65"/>
        <v>Large (6+ units)</v>
      </c>
      <c r="AF259" t="str">
        <f t="shared" si="66"/>
        <v>Profitable</v>
      </c>
      <c r="AG259" t="str">
        <f t="shared" si="67"/>
        <v>Low Margin</v>
      </c>
      <c r="AH259" t="str">
        <f t="shared" si="68"/>
        <v>Repeat Customer</v>
      </c>
      <c r="AI259" t="str">
        <f t="shared" si="69"/>
        <v>Slow (6+ days)</v>
      </c>
    </row>
    <row r="260" spans="1:35" ht="15" customHeight="1" x14ac:dyDescent="0.3">
      <c r="A260">
        <v>259</v>
      </c>
      <c r="B260" t="s">
        <v>1150</v>
      </c>
      <c r="C260" s="12">
        <v>43070</v>
      </c>
      <c r="D260" s="12">
        <v>43072</v>
      </c>
      <c r="E260" t="s">
        <v>206</v>
      </c>
      <c r="F260" t="s">
        <v>1151</v>
      </c>
      <c r="G260" t="s">
        <v>1152</v>
      </c>
      <c r="H260" t="s">
        <v>209</v>
      </c>
      <c r="I260" t="s">
        <v>210</v>
      </c>
      <c r="J260" t="s">
        <v>449</v>
      </c>
      <c r="K260" t="s">
        <v>450</v>
      </c>
      <c r="L260">
        <v>10009</v>
      </c>
      <c r="M260" t="s">
        <v>331</v>
      </c>
      <c r="N260" t="s">
        <v>1153</v>
      </c>
      <c r="O260" t="s">
        <v>254</v>
      </c>
      <c r="P260" t="s">
        <v>344</v>
      </c>
      <c r="Q260" t="s">
        <v>1154</v>
      </c>
      <c r="R260" s="13">
        <v>20.37</v>
      </c>
      <c r="S260">
        <v>3</v>
      </c>
      <c r="T260" s="14">
        <v>0</v>
      </c>
      <c r="U260" s="13">
        <v>6.9257999999999997</v>
      </c>
      <c r="V260">
        <f t="shared" si="56"/>
        <v>2017</v>
      </c>
      <c r="W260" t="str">
        <f t="shared" si="57"/>
        <v>Dec</v>
      </c>
      <c r="X260" t="str">
        <f t="shared" si="58"/>
        <v>Q4</v>
      </c>
      <c r="Y260" t="str">
        <f t="shared" si="59"/>
        <v>Fri</v>
      </c>
      <c r="Z260" s="16">
        <f t="shared" si="60"/>
        <v>2</v>
      </c>
      <c r="AA260" s="13">
        <f t="shared" si="61"/>
        <v>6.79</v>
      </c>
      <c r="AB260" s="14">
        <f t="shared" si="62"/>
        <v>0.33999999999999997</v>
      </c>
      <c r="AC260" t="str">
        <f t="shared" si="63"/>
        <v>No Discount</v>
      </c>
      <c r="AD260" t="str">
        <f t="shared" si="64"/>
        <v>Low (&lt;$50)</v>
      </c>
      <c r="AE260" t="str">
        <f t="shared" si="65"/>
        <v>Medium (3-5 units)</v>
      </c>
      <c r="AF260" t="str">
        <f t="shared" si="66"/>
        <v>Profitable</v>
      </c>
      <c r="AG260" t="str">
        <f t="shared" si="67"/>
        <v>High Margin</v>
      </c>
      <c r="AH260" t="str">
        <f t="shared" si="68"/>
        <v>Repeat Customer</v>
      </c>
      <c r="AI260" t="str">
        <f t="shared" si="69"/>
        <v>Fast (&lt;=2 days)</v>
      </c>
    </row>
    <row r="261" spans="1:35" ht="15" customHeight="1" x14ac:dyDescent="0.3">
      <c r="A261">
        <v>260</v>
      </c>
      <c r="B261" t="s">
        <v>1150</v>
      </c>
      <c r="C261" s="12">
        <v>43070</v>
      </c>
      <c r="D261" s="12">
        <v>43072</v>
      </c>
      <c r="E261" t="s">
        <v>206</v>
      </c>
      <c r="F261" t="s">
        <v>1151</v>
      </c>
      <c r="G261" t="s">
        <v>1152</v>
      </c>
      <c r="H261" t="s">
        <v>209</v>
      </c>
      <c r="I261" t="s">
        <v>210</v>
      </c>
      <c r="J261" t="s">
        <v>449</v>
      </c>
      <c r="K261" t="s">
        <v>450</v>
      </c>
      <c r="L261">
        <v>10009</v>
      </c>
      <c r="M261" t="s">
        <v>331</v>
      </c>
      <c r="N261" t="s">
        <v>1155</v>
      </c>
      <c r="O261" t="s">
        <v>229</v>
      </c>
      <c r="P261" t="s">
        <v>242</v>
      </c>
      <c r="Q261" t="s">
        <v>1156</v>
      </c>
      <c r="R261" s="13">
        <v>221.55</v>
      </c>
      <c r="S261">
        <v>3</v>
      </c>
      <c r="T261" s="14">
        <v>0</v>
      </c>
      <c r="U261" s="13">
        <v>6.6465000000000201</v>
      </c>
      <c r="V261">
        <f t="shared" si="56"/>
        <v>2017</v>
      </c>
      <c r="W261" t="str">
        <f t="shared" si="57"/>
        <v>Dec</v>
      </c>
      <c r="X261" t="str">
        <f t="shared" si="58"/>
        <v>Q4</v>
      </c>
      <c r="Y261" t="str">
        <f t="shared" si="59"/>
        <v>Fri</v>
      </c>
      <c r="Z261" s="16">
        <f t="shared" si="60"/>
        <v>2</v>
      </c>
      <c r="AA261" s="13">
        <f t="shared" si="61"/>
        <v>73.850000000000009</v>
      </c>
      <c r="AB261" s="14">
        <f t="shared" si="62"/>
        <v>3.0000000000000089E-2</v>
      </c>
      <c r="AC261" t="str">
        <f t="shared" si="63"/>
        <v>No Discount</v>
      </c>
      <c r="AD261" t="str">
        <f t="shared" si="64"/>
        <v>High ($200-$500)</v>
      </c>
      <c r="AE261" t="str">
        <f t="shared" si="65"/>
        <v>Medium (3-5 units)</v>
      </c>
      <c r="AF261" t="str">
        <f t="shared" si="66"/>
        <v>Profitable</v>
      </c>
      <c r="AG261" t="str">
        <f t="shared" si="67"/>
        <v>Low Margin</v>
      </c>
      <c r="AH261" t="str">
        <f t="shared" si="68"/>
        <v>Repeat Customer</v>
      </c>
      <c r="AI261" t="str">
        <f t="shared" si="69"/>
        <v>Fast (&lt;=2 days)</v>
      </c>
    </row>
    <row r="262" spans="1:35" ht="15" customHeight="1" x14ac:dyDescent="0.3">
      <c r="A262">
        <v>261</v>
      </c>
      <c r="B262" t="s">
        <v>1150</v>
      </c>
      <c r="C262" s="12">
        <v>43070</v>
      </c>
      <c r="D262" s="12">
        <v>43072</v>
      </c>
      <c r="E262" t="s">
        <v>206</v>
      </c>
      <c r="F262" t="s">
        <v>1151</v>
      </c>
      <c r="G262" t="s">
        <v>1152</v>
      </c>
      <c r="H262" t="s">
        <v>209</v>
      </c>
      <c r="I262" t="s">
        <v>210</v>
      </c>
      <c r="J262" t="s">
        <v>449</v>
      </c>
      <c r="K262" t="s">
        <v>450</v>
      </c>
      <c r="L262">
        <v>10009</v>
      </c>
      <c r="M262" t="s">
        <v>331</v>
      </c>
      <c r="N262" t="s">
        <v>1157</v>
      </c>
      <c r="O262" t="s">
        <v>229</v>
      </c>
      <c r="P262" t="s">
        <v>258</v>
      </c>
      <c r="Q262" t="s">
        <v>1158</v>
      </c>
      <c r="R262" s="13">
        <v>17.52</v>
      </c>
      <c r="S262">
        <v>5</v>
      </c>
      <c r="T262" s="14">
        <v>0.2</v>
      </c>
      <c r="U262" s="13">
        <v>6.1319999999999997</v>
      </c>
      <c r="V262">
        <f t="shared" si="56"/>
        <v>2017</v>
      </c>
      <c r="W262" t="str">
        <f t="shared" si="57"/>
        <v>Dec</v>
      </c>
      <c r="X262" t="str">
        <f t="shared" si="58"/>
        <v>Q4</v>
      </c>
      <c r="Y262" t="str">
        <f t="shared" si="59"/>
        <v>Fri</v>
      </c>
      <c r="Z262" s="16">
        <f t="shared" si="60"/>
        <v>2</v>
      </c>
      <c r="AA262" s="13">
        <f t="shared" si="61"/>
        <v>3.504</v>
      </c>
      <c r="AB262" s="14">
        <f t="shared" si="62"/>
        <v>0.35</v>
      </c>
      <c r="AC262" t="str">
        <f t="shared" si="63"/>
        <v>Low (1-20%)</v>
      </c>
      <c r="AD262" t="str">
        <f t="shared" si="64"/>
        <v>Low (&lt;$50)</v>
      </c>
      <c r="AE262" t="str">
        <f t="shared" si="65"/>
        <v>Medium (3-5 units)</v>
      </c>
      <c r="AF262" t="str">
        <f t="shared" si="66"/>
        <v>Profitable</v>
      </c>
      <c r="AG262" t="str">
        <f t="shared" si="67"/>
        <v>High Margin</v>
      </c>
      <c r="AH262" t="str">
        <f t="shared" si="68"/>
        <v>Repeat Customer</v>
      </c>
      <c r="AI262" t="str">
        <f t="shared" si="69"/>
        <v>Fast (&lt;=2 days)</v>
      </c>
    </row>
    <row r="263" spans="1:35" ht="15" customHeight="1" x14ac:dyDescent="0.3">
      <c r="A263">
        <v>262</v>
      </c>
      <c r="B263" t="s">
        <v>1159</v>
      </c>
      <c r="C263" s="12">
        <v>42894</v>
      </c>
      <c r="D263" s="12">
        <v>42898</v>
      </c>
      <c r="E263" t="s">
        <v>233</v>
      </c>
      <c r="F263" t="s">
        <v>1160</v>
      </c>
      <c r="G263" t="s">
        <v>1161</v>
      </c>
      <c r="H263" t="s">
        <v>224</v>
      </c>
      <c r="I263" t="s">
        <v>210</v>
      </c>
      <c r="J263" t="s">
        <v>786</v>
      </c>
      <c r="K263" t="s">
        <v>287</v>
      </c>
      <c r="L263">
        <v>77506</v>
      </c>
      <c r="M263" t="s">
        <v>288</v>
      </c>
      <c r="N263" t="s">
        <v>1162</v>
      </c>
      <c r="O263" t="s">
        <v>229</v>
      </c>
      <c r="P263" t="s">
        <v>261</v>
      </c>
      <c r="Q263" t="s">
        <v>1163</v>
      </c>
      <c r="R263" s="13">
        <v>1.6240000000000001</v>
      </c>
      <c r="S263">
        <v>2</v>
      </c>
      <c r="T263" s="14">
        <v>0.8</v>
      </c>
      <c r="U263" s="13">
        <v>-4.4660000000000002</v>
      </c>
      <c r="V263">
        <f t="shared" si="56"/>
        <v>2017</v>
      </c>
      <c r="W263" t="str">
        <f t="shared" si="57"/>
        <v>Jun</v>
      </c>
      <c r="X263" t="str">
        <f t="shared" si="58"/>
        <v>Q2</v>
      </c>
      <c r="Y263" t="str">
        <f t="shared" si="59"/>
        <v>Thu</v>
      </c>
      <c r="Z263" s="16">
        <f t="shared" si="60"/>
        <v>4</v>
      </c>
      <c r="AA263" s="13">
        <f t="shared" si="61"/>
        <v>0.81200000000000006</v>
      </c>
      <c r="AB263" s="14">
        <f t="shared" si="62"/>
        <v>-2.75</v>
      </c>
      <c r="AC263" t="str">
        <f t="shared" si="63"/>
        <v>High (40%+)</v>
      </c>
      <c r="AD263" t="str">
        <f t="shared" si="64"/>
        <v>Low (&lt;$50)</v>
      </c>
      <c r="AE263" t="str">
        <f t="shared" si="65"/>
        <v>Small (1-2 units)</v>
      </c>
      <c r="AF263" t="str">
        <f t="shared" si="66"/>
        <v>Loss-Making</v>
      </c>
      <c r="AG263" t="str">
        <f t="shared" si="67"/>
        <v>Underperforming</v>
      </c>
      <c r="AH263" t="str">
        <f t="shared" si="68"/>
        <v>Repeat Customer</v>
      </c>
      <c r="AI263" t="str">
        <f t="shared" si="69"/>
        <v>Standard (3-5 days)</v>
      </c>
    </row>
    <row r="264" spans="1:35" ht="15" customHeight="1" x14ac:dyDescent="0.3">
      <c r="A264">
        <v>263</v>
      </c>
      <c r="B264" t="s">
        <v>1164</v>
      </c>
      <c r="C264" s="12">
        <v>41901</v>
      </c>
      <c r="D264" s="12">
        <v>41903</v>
      </c>
      <c r="E264" t="s">
        <v>206</v>
      </c>
      <c r="F264" t="s">
        <v>1165</v>
      </c>
      <c r="G264" t="s">
        <v>1166</v>
      </c>
      <c r="H264" t="s">
        <v>224</v>
      </c>
      <c r="I264" t="s">
        <v>210</v>
      </c>
      <c r="J264" t="s">
        <v>367</v>
      </c>
      <c r="K264" t="s">
        <v>287</v>
      </c>
      <c r="L264">
        <v>77036</v>
      </c>
      <c r="M264" t="s">
        <v>288</v>
      </c>
      <c r="N264" t="s">
        <v>866</v>
      </c>
      <c r="O264" t="s">
        <v>254</v>
      </c>
      <c r="P264" t="s">
        <v>867</v>
      </c>
      <c r="Q264" t="s">
        <v>868</v>
      </c>
      <c r="R264" s="13">
        <v>3059.982</v>
      </c>
      <c r="S264">
        <v>3</v>
      </c>
      <c r="T264" s="14">
        <v>0.4</v>
      </c>
      <c r="U264" s="13">
        <v>-509.99700000000098</v>
      </c>
      <c r="V264">
        <f t="shared" si="56"/>
        <v>2014</v>
      </c>
      <c r="W264" t="str">
        <f t="shared" si="57"/>
        <v>Sep</v>
      </c>
      <c r="X264" t="str">
        <f t="shared" si="58"/>
        <v>Q3</v>
      </c>
      <c r="Y264" t="str">
        <f t="shared" si="59"/>
        <v>Fri</v>
      </c>
      <c r="Z264" s="16">
        <f t="shared" si="60"/>
        <v>2</v>
      </c>
      <c r="AA264" s="13">
        <f t="shared" si="61"/>
        <v>1019.994</v>
      </c>
      <c r="AB264" s="14">
        <f t="shared" si="62"/>
        <v>-0.16666666666666699</v>
      </c>
      <c r="AC264" t="str">
        <f t="shared" si="63"/>
        <v>Medium (21-40%)</v>
      </c>
      <c r="AD264" t="str">
        <f t="shared" si="64"/>
        <v>Premium ($500+)</v>
      </c>
      <c r="AE264" t="str">
        <f t="shared" si="65"/>
        <v>Medium (3-5 units)</v>
      </c>
      <c r="AF264" t="str">
        <f t="shared" si="66"/>
        <v>Loss-Making</v>
      </c>
      <c r="AG264" t="str">
        <f t="shared" si="67"/>
        <v>Underperforming</v>
      </c>
      <c r="AH264" t="str">
        <f t="shared" si="68"/>
        <v>Repeat Customer</v>
      </c>
      <c r="AI264" t="str">
        <f t="shared" si="69"/>
        <v>Fast (&lt;=2 days)</v>
      </c>
    </row>
    <row r="265" spans="1:35" ht="15" customHeight="1" x14ac:dyDescent="0.3">
      <c r="A265">
        <v>264</v>
      </c>
      <c r="B265" t="s">
        <v>1164</v>
      </c>
      <c r="C265" s="12">
        <v>41901</v>
      </c>
      <c r="D265" s="12">
        <v>41903</v>
      </c>
      <c r="E265" t="s">
        <v>206</v>
      </c>
      <c r="F265" t="s">
        <v>1165</v>
      </c>
      <c r="G265" t="s">
        <v>1166</v>
      </c>
      <c r="H265" t="s">
        <v>224</v>
      </c>
      <c r="I265" t="s">
        <v>210</v>
      </c>
      <c r="J265" t="s">
        <v>367</v>
      </c>
      <c r="K265" t="s">
        <v>287</v>
      </c>
      <c r="L265">
        <v>77036</v>
      </c>
      <c r="M265" t="s">
        <v>288</v>
      </c>
      <c r="N265" t="s">
        <v>1167</v>
      </c>
      <c r="O265" t="s">
        <v>254</v>
      </c>
      <c r="P265" t="s">
        <v>867</v>
      </c>
      <c r="Q265" t="s">
        <v>1168</v>
      </c>
      <c r="R265" s="13">
        <v>2519.9580000000001</v>
      </c>
      <c r="S265">
        <v>7</v>
      </c>
      <c r="T265" s="14">
        <v>0.4</v>
      </c>
      <c r="U265" s="13">
        <v>-251.9958</v>
      </c>
      <c r="V265">
        <f t="shared" si="56"/>
        <v>2014</v>
      </c>
      <c r="W265" t="str">
        <f t="shared" si="57"/>
        <v>Sep</v>
      </c>
      <c r="X265" t="str">
        <f t="shared" si="58"/>
        <v>Q3</v>
      </c>
      <c r="Y265" t="str">
        <f t="shared" si="59"/>
        <v>Fri</v>
      </c>
      <c r="Z265" s="16">
        <f t="shared" si="60"/>
        <v>2</v>
      </c>
      <c r="AA265" s="13">
        <f t="shared" si="61"/>
        <v>359.99400000000003</v>
      </c>
      <c r="AB265" s="14">
        <f t="shared" si="62"/>
        <v>-9.9999999999999992E-2</v>
      </c>
      <c r="AC265" t="str">
        <f t="shared" si="63"/>
        <v>Medium (21-40%)</v>
      </c>
      <c r="AD265" t="str">
        <f t="shared" si="64"/>
        <v>Premium ($500+)</v>
      </c>
      <c r="AE265" t="str">
        <f t="shared" si="65"/>
        <v>Large (6+ units)</v>
      </c>
      <c r="AF265" t="str">
        <f t="shared" si="66"/>
        <v>Loss-Making</v>
      </c>
      <c r="AG265" t="str">
        <f t="shared" si="67"/>
        <v>Underperforming</v>
      </c>
      <c r="AH265" t="str">
        <f t="shared" si="68"/>
        <v>Repeat Customer</v>
      </c>
      <c r="AI265" t="str">
        <f t="shared" si="69"/>
        <v>Fast (&lt;=2 days)</v>
      </c>
    </row>
    <row r="266" spans="1:35" ht="15" customHeight="1" x14ac:dyDescent="0.3">
      <c r="A266">
        <v>265</v>
      </c>
      <c r="B266" t="s">
        <v>1169</v>
      </c>
      <c r="C266" s="12">
        <v>42527</v>
      </c>
      <c r="D266" s="12">
        <v>42534</v>
      </c>
      <c r="E266" t="s">
        <v>233</v>
      </c>
      <c r="F266" t="s">
        <v>1170</v>
      </c>
      <c r="G266" t="s">
        <v>1171</v>
      </c>
      <c r="H266" t="s">
        <v>209</v>
      </c>
      <c r="I266" t="s">
        <v>210</v>
      </c>
      <c r="J266" t="s">
        <v>486</v>
      </c>
      <c r="K266" t="s">
        <v>394</v>
      </c>
      <c r="L266">
        <v>60610</v>
      </c>
      <c r="M266" t="s">
        <v>288</v>
      </c>
      <c r="N266" t="s">
        <v>1172</v>
      </c>
      <c r="O266" t="s">
        <v>254</v>
      </c>
      <c r="P266" t="s">
        <v>255</v>
      </c>
      <c r="Q266" t="s">
        <v>1173</v>
      </c>
      <c r="R266" s="13">
        <v>328.22399999999999</v>
      </c>
      <c r="S266">
        <v>4</v>
      </c>
      <c r="T266" s="14">
        <v>0.2</v>
      </c>
      <c r="U266" s="13">
        <v>28.7196</v>
      </c>
      <c r="V266">
        <f t="shared" si="56"/>
        <v>2016</v>
      </c>
      <c r="W266" t="str">
        <f t="shared" si="57"/>
        <v>Jun</v>
      </c>
      <c r="X266" t="str">
        <f t="shared" si="58"/>
        <v>Q2</v>
      </c>
      <c r="Y266" t="str">
        <f t="shared" si="59"/>
        <v>Mon</v>
      </c>
      <c r="Z266" s="16">
        <f t="shared" si="60"/>
        <v>7</v>
      </c>
      <c r="AA266" s="13">
        <f t="shared" si="61"/>
        <v>82.055999999999997</v>
      </c>
      <c r="AB266" s="14">
        <f t="shared" si="62"/>
        <v>8.7500000000000008E-2</v>
      </c>
      <c r="AC266" t="str">
        <f t="shared" si="63"/>
        <v>Low (1-20%)</v>
      </c>
      <c r="AD266" t="str">
        <f t="shared" si="64"/>
        <v>High ($200-$500)</v>
      </c>
      <c r="AE266" t="str">
        <f t="shared" si="65"/>
        <v>Medium (3-5 units)</v>
      </c>
      <c r="AF266" t="str">
        <f t="shared" si="66"/>
        <v>Profitable</v>
      </c>
      <c r="AG266" t="str">
        <f t="shared" si="67"/>
        <v>Low Margin</v>
      </c>
      <c r="AH266" t="str">
        <f t="shared" si="68"/>
        <v>Repeat Customer</v>
      </c>
      <c r="AI266" t="str">
        <f t="shared" si="69"/>
        <v>Slow (6+ days)</v>
      </c>
    </row>
    <row r="267" spans="1:35" ht="15" customHeight="1" x14ac:dyDescent="0.3">
      <c r="A267">
        <v>266</v>
      </c>
      <c r="B267" t="s">
        <v>1174</v>
      </c>
      <c r="C267" s="12">
        <v>42318</v>
      </c>
      <c r="D267" s="12">
        <v>42323</v>
      </c>
      <c r="E267" t="s">
        <v>233</v>
      </c>
      <c r="F267" t="s">
        <v>1175</v>
      </c>
      <c r="G267" t="s">
        <v>1176</v>
      </c>
      <c r="H267" t="s">
        <v>209</v>
      </c>
      <c r="I267" t="s">
        <v>210</v>
      </c>
      <c r="J267" t="s">
        <v>1177</v>
      </c>
      <c r="K267" t="s">
        <v>226</v>
      </c>
      <c r="L267">
        <v>94513</v>
      </c>
      <c r="M267" t="s">
        <v>227</v>
      </c>
      <c r="N267" t="s">
        <v>1178</v>
      </c>
      <c r="O267" t="s">
        <v>254</v>
      </c>
      <c r="P267" t="s">
        <v>344</v>
      </c>
      <c r="Q267" t="s">
        <v>1179</v>
      </c>
      <c r="R267" s="13">
        <v>79.900000000000006</v>
      </c>
      <c r="S267">
        <v>2</v>
      </c>
      <c r="T267" s="14">
        <v>0</v>
      </c>
      <c r="U267" s="13">
        <v>35.155999999999999</v>
      </c>
      <c r="V267">
        <f t="shared" si="56"/>
        <v>2015</v>
      </c>
      <c r="W267" t="str">
        <f t="shared" si="57"/>
        <v>Nov</v>
      </c>
      <c r="X267" t="str">
        <f t="shared" si="58"/>
        <v>Q4</v>
      </c>
      <c r="Y267" t="str">
        <f t="shared" si="59"/>
        <v>Tue</v>
      </c>
      <c r="Z267" s="16">
        <f t="shared" si="60"/>
        <v>5</v>
      </c>
      <c r="AA267" s="13">
        <f t="shared" si="61"/>
        <v>39.950000000000003</v>
      </c>
      <c r="AB267" s="14">
        <f t="shared" si="62"/>
        <v>0.43999999999999995</v>
      </c>
      <c r="AC267" t="str">
        <f t="shared" si="63"/>
        <v>No Discount</v>
      </c>
      <c r="AD267" t="str">
        <f t="shared" si="64"/>
        <v>Medium ($50-$200)</v>
      </c>
      <c r="AE267" t="str">
        <f t="shared" si="65"/>
        <v>Small (1-2 units)</v>
      </c>
      <c r="AF267" t="str">
        <f t="shared" si="66"/>
        <v>Profitable</v>
      </c>
      <c r="AG267" t="str">
        <f t="shared" si="67"/>
        <v>High Margin</v>
      </c>
      <c r="AH267" t="str">
        <f t="shared" si="68"/>
        <v>Single Purchase</v>
      </c>
      <c r="AI267" t="str">
        <f t="shared" si="69"/>
        <v>Standard (3-5 days)</v>
      </c>
    </row>
    <row r="268" spans="1:35" ht="15" customHeight="1" x14ac:dyDescent="0.3">
      <c r="A268">
        <v>267</v>
      </c>
      <c r="B268" t="s">
        <v>1180</v>
      </c>
      <c r="C268" s="12">
        <v>42902</v>
      </c>
      <c r="D268" s="12">
        <v>42906</v>
      </c>
      <c r="E268" t="s">
        <v>233</v>
      </c>
      <c r="F268" t="s">
        <v>1181</v>
      </c>
      <c r="G268" t="s">
        <v>1182</v>
      </c>
      <c r="H268" t="s">
        <v>224</v>
      </c>
      <c r="I268" t="s">
        <v>210</v>
      </c>
      <c r="J268" t="s">
        <v>1183</v>
      </c>
      <c r="K268" t="s">
        <v>271</v>
      </c>
      <c r="L268">
        <v>27514</v>
      </c>
      <c r="M268" t="s">
        <v>213</v>
      </c>
      <c r="N268" t="s">
        <v>1184</v>
      </c>
      <c r="O268" t="s">
        <v>229</v>
      </c>
      <c r="P268" t="s">
        <v>251</v>
      </c>
      <c r="Q268" t="s">
        <v>1185</v>
      </c>
      <c r="R268" s="13">
        <v>14.016</v>
      </c>
      <c r="S268">
        <v>3</v>
      </c>
      <c r="T268" s="14">
        <v>0.2</v>
      </c>
      <c r="U268" s="13">
        <v>4.7304000000000004</v>
      </c>
      <c r="V268">
        <f t="shared" si="56"/>
        <v>2017</v>
      </c>
      <c r="W268" t="str">
        <f t="shared" si="57"/>
        <v>Jun</v>
      </c>
      <c r="X268" t="str">
        <f t="shared" si="58"/>
        <v>Q2</v>
      </c>
      <c r="Y268" t="str">
        <f t="shared" si="59"/>
        <v>Fri</v>
      </c>
      <c r="Z268" s="16">
        <f t="shared" si="60"/>
        <v>4</v>
      </c>
      <c r="AA268" s="13">
        <f t="shared" si="61"/>
        <v>4.6719999999999997</v>
      </c>
      <c r="AB268" s="14">
        <f t="shared" si="62"/>
        <v>0.33750000000000002</v>
      </c>
      <c r="AC268" t="str">
        <f t="shared" si="63"/>
        <v>Low (1-20%)</v>
      </c>
      <c r="AD268" t="str">
        <f t="shared" si="64"/>
        <v>Low (&lt;$50)</v>
      </c>
      <c r="AE268" t="str">
        <f t="shared" si="65"/>
        <v>Medium (3-5 units)</v>
      </c>
      <c r="AF268" t="str">
        <f t="shared" si="66"/>
        <v>Profitable</v>
      </c>
      <c r="AG268" t="str">
        <f t="shared" si="67"/>
        <v>High Margin</v>
      </c>
      <c r="AH268" t="str">
        <f t="shared" si="68"/>
        <v>Single Purchase</v>
      </c>
      <c r="AI268" t="str">
        <f t="shared" si="69"/>
        <v>Standard (3-5 days)</v>
      </c>
    </row>
    <row r="269" spans="1:35" ht="15" customHeight="1" x14ac:dyDescent="0.3">
      <c r="A269">
        <v>268</v>
      </c>
      <c r="B269" t="s">
        <v>1186</v>
      </c>
      <c r="C269" s="12">
        <v>42391</v>
      </c>
      <c r="D269" s="12">
        <v>42397</v>
      </c>
      <c r="E269" t="s">
        <v>233</v>
      </c>
      <c r="F269" t="s">
        <v>570</v>
      </c>
      <c r="G269" t="s">
        <v>571</v>
      </c>
      <c r="H269" t="s">
        <v>209</v>
      </c>
      <c r="I269" t="s">
        <v>210</v>
      </c>
      <c r="J269" t="s">
        <v>1187</v>
      </c>
      <c r="K269" t="s">
        <v>973</v>
      </c>
      <c r="L269">
        <v>7960</v>
      </c>
      <c r="M269" t="s">
        <v>331</v>
      </c>
      <c r="N269" t="s">
        <v>1188</v>
      </c>
      <c r="O269" t="s">
        <v>229</v>
      </c>
      <c r="P269" t="s">
        <v>452</v>
      </c>
      <c r="Q269" t="s">
        <v>1189</v>
      </c>
      <c r="R269" s="13">
        <v>7.56</v>
      </c>
      <c r="S269">
        <v>6</v>
      </c>
      <c r="T269" s="14">
        <v>0</v>
      </c>
      <c r="U269" s="13">
        <v>0.3024</v>
      </c>
      <c r="V269">
        <f t="shared" si="56"/>
        <v>2016</v>
      </c>
      <c r="W269" t="str">
        <f t="shared" si="57"/>
        <v>Jan</v>
      </c>
      <c r="X269" t="str">
        <f t="shared" si="58"/>
        <v>Q1</v>
      </c>
      <c r="Y269" t="str">
        <f t="shared" si="59"/>
        <v>Fri</v>
      </c>
      <c r="Z269" s="16">
        <f t="shared" si="60"/>
        <v>6</v>
      </c>
      <c r="AA269" s="13">
        <f t="shared" si="61"/>
        <v>1.26</v>
      </c>
      <c r="AB269" s="14">
        <f t="shared" si="62"/>
        <v>0.04</v>
      </c>
      <c r="AC269" t="str">
        <f t="shared" si="63"/>
        <v>No Discount</v>
      </c>
      <c r="AD269" t="str">
        <f t="shared" si="64"/>
        <v>Low (&lt;$50)</v>
      </c>
      <c r="AE269" t="str">
        <f t="shared" si="65"/>
        <v>Large (6+ units)</v>
      </c>
      <c r="AF269" t="str">
        <f t="shared" si="66"/>
        <v>Profitable</v>
      </c>
      <c r="AG269" t="str">
        <f t="shared" si="67"/>
        <v>Low Margin</v>
      </c>
      <c r="AH269" t="str">
        <f t="shared" si="68"/>
        <v>Repeat Customer</v>
      </c>
      <c r="AI269" t="str">
        <f t="shared" si="69"/>
        <v>Slow (6+ days)</v>
      </c>
    </row>
    <row r="270" spans="1:35" ht="15" customHeight="1" x14ac:dyDescent="0.3">
      <c r="A270">
        <v>269</v>
      </c>
      <c r="B270" t="s">
        <v>1190</v>
      </c>
      <c r="C270" s="12">
        <v>43078</v>
      </c>
      <c r="D270" s="12">
        <v>43082</v>
      </c>
      <c r="E270" t="s">
        <v>233</v>
      </c>
      <c r="F270" t="s">
        <v>1191</v>
      </c>
      <c r="G270" t="s">
        <v>1192</v>
      </c>
      <c r="H270" t="s">
        <v>224</v>
      </c>
      <c r="I270" t="s">
        <v>210</v>
      </c>
      <c r="J270" t="s">
        <v>1193</v>
      </c>
      <c r="K270" t="s">
        <v>681</v>
      </c>
      <c r="L270">
        <v>45231</v>
      </c>
      <c r="M270" t="s">
        <v>331</v>
      </c>
      <c r="N270" t="s">
        <v>1194</v>
      </c>
      <c r="O270" t="s">
        <v>229</v>
      </c>
      <c r="P270" t="s">
        <v>242</v>
      </c>
      <c r="Q270" t="s">
        <v>1195</v>
      </c>
      <c r="R270" s="13">
        <v>37.207999999999998</v>
      </c>
      <c r="S270">
        <v>1</v>
      </c>
      <c r="T270" s="14">
        <v>0.2</v>
      </c>
      <c r="U270" s="13">
        <v>-7.4416000000000002</v>
      </c>
      <c r="V270">
        <f t="shared" si="56"/>
        <v>2017</v>
      </c>
      <c r="W270" t="str">
        <f t="shared" si="57"/>
        <v>Dec</v>
      </c>
      <c r="X270" t="str">
        <f t="shared" si="58"/>
        <v>Q4</v>
      </c>
      <c r="Y270" t="str">
        <f t="shared" si="59"/>
        <v>Sat</v>
      </c>
      <c r="Z270" s="16">
        <f t="shared" si="60"/>
        <v>4</v>
      </c>
      <c r="AA270" s="13">
        <f t="shared" si="61"/>
        <v>37.207999999999998</v>
      </c>
      <c r="AB270" s="14">
        <f t="shared" si="62"/>
        <v>-0.2</v>
      </c>
      <c r="AC270" t="str">
        <f t="shared" si="63"/>
        <v>Low (1-20%)</v>
      </c>
      <c r="AD270" t="str">
        <f t="shared" si="64"/>
        <v>Low (&lt;$50)</v>
      </c>
      <c r="AE270" t="str">
        <f t="shared" si="65"/>
        <v>Small (1-2 units)</v>
      </c>
      <c r="AF270" t="str">
        <f t="shared" si="66"/>
        <v>Loss-Making</v>
      </c>
      <c r="AG270" t="str">
        <f t="shared" si="67"/>
        <v>Underperforming</v>
      </c>
      <c r="AH270" t="str">
        <f t="shared" si="68"/>
        <v>Repeat Customer</v>
      </c>
      <c r="AI270" t="str">
        <f t="shared" si="69"/>
        <v>Standard (3-5 days)</v>
      </c>
    </row>
    <row r="271" spans="1:35" ht="15" customHeight="1" x14ac:dyDescent="0.3">
      <c r="A271">
        <v>270</v>
      </c>
      <c r="B271" t="s">
        <v>1190</v>
      </c>
      <c r="C271" s="12">
        <v>43078</v>
      </c>
      <c r="D271" s="12">
        <v>43082</v>
      </c>
      <c r="E271" t="s">
        <v>233</v>
      </c>
      <c r="F271" t="s">
        <v>1191</v>
      </c>
      <c r="G271" t="s">
        <v>1192</v>
      </c>
      <c r="H271" t="s">
        <v>224</v>
      </c>
      <c r="I271" t="s">
        <v>210</v>
      </c>
      <c r="J271" t="s">
        <v>1193</v>
      </c>
      <c r="K271" t="s">
        <v>681</v>
      </c>
      <c r="L271">
        <v>45231</v>
      </c>
      <c r="M271" t="s">
        <v>331</v>
      </c>
      <c r="N271" t="s">
        <v>1196</v>
      </c>
      <c r="O271" t="s">
        <v>229</v>
      </c>
      <c r="P271" t="s">
        <v>356</v>
      </c>
      <c r="Q271" t="s">
        <v>1197</v>
      </c>
      <c r="R271" s="13">
        <v>57.576000000000001</v>
      </c>
      <c r="S271">
        <v>3</v>
      </c>
      <c r="T271" s="14">
        <v>0.2</v>
      </c>
      <c r="U271" s="13">
        <v>21.591000000000001</v>
      </c>
      <c r="V271">
        <f t="shared" si="56"/>
        <v>2017</v>
      </c>
      <c r="W271" t="str">
        <f t="shared" si="57"/>
        <v>Dec</v>
      </c>
      <c r="X271" t="str">
        <f t="shared" si="58"/>
        <v>Q4</v>
      </c>
      <c r="Y271" t="str">
        <f t="shared" si="59"/>
        <v>Sat</v>
      </c>
      <c r="Z271" s="16">
        <f t="shared" si="60"/>
        <v>4</v>
      </c>
      <c r="AA271" s="13">
        <f t="shared" si="61"/>
        <v>19.192</v>
      </c>
      <c r="AB271" s="14">
        <f t="shared" si="62"/>
        <v>0.375</v>
      </c>
      <c r="AC271" t="str">
        <f t="shared" si="63"/>
        <v>Low (1-20%)</v>
      </c>
      <c r="AD271" t="str">
        <f t="shared" si="64"/>
        <v>Medium ($50-$200)</v>
      </c>
      <c r="AE271" t="str">
        <f t="shared" si="65"/>
        <v>Medium (3-5 units)</v>
      </c>
      <c r="AF271" t="str">
        <f t="shared" si="66"/>
        <v>Profitable</v>
      </c>
      <c r="AG271" t="str">
        <f t="shared" si="67"/>
        <v>High Margin</v>
      </c>
      <c r="AH271" t="str">
        <f t="shared" si="68"/>
        <v>Repeat Customer</v>
      </c>
      <c r="AI271" t="str">
        <f t="shared" si="69"/>
        <v>Standard (3-5 days)</v>
      </c>
    </row>
    <row r="272" spans="1:35" ht="15" customHeight="1" x14ac:dyDescent="0.3">
      <c r="A272">
        <v>271</v>
      </c>
      <c r="B272" t="s">
        <v>1198</v>
      </c>
      <c r="C272" s="12">
        <v>43097</v>
      </c>
      <c r="D272" s="12">
        <v>43102</v>
      </c>
      <c r="E272" t="s">
        <v>206</v>
      </c>
      <c r="F272" t="s">
        <v>1199</v>
      </c>
      <c r="G272" t="s">
        <v>1200</v>
      </c>
      <c r="H272" t="s">
        <v>224</v>
      </c>
      <c r="I272" t="s">
        <v>210</v>
      </c>
      <c r="J272" t="s">
        <v>310</v>
      </c>
      <c r="K272" t="s">
        <v>226</v>
      </c>
      <c r="L272">
        <v>94110</v>
      </c>
      <c r="M272" t="s">
        <v>227</v>
      </c>
      <c r="N272" t="s">
        <v>1201</v>
      </c>
      <c r="O272" t="s">
        <v>229</v>
      </c>
      <c r="P272" t="s">
        <v>242</v>
      </c>
      <c r="Q272" t="s">
        <v>1202</v>
      </c>
      <c r="R272" s="13">
        <v>725.84</v>
      </c>
      <c r="S272">
        <v>4</v>
      </c>
      <c r="T272" s="14">
        <v>0</v>
      </c>
      <c r="U272" s="13">
        <v>210.49359999999999</v>
      </c>
      <c r="V272">
        <f t="shared" si="56"/>
        <v>2017</v>
      </c>
      <c r="W272" t="str">
        <f t="shared" si="57"/>
        <v>Dec</v>
      </c>
      <c r="X272" t="str">
        <f t="shared" si="58"/>
        <v>Q4</v>
      </c>
      <c r="Y272" t="str">
        <f t="shared" si="59"/>
        <v>Thu</v>
      </c>
      <c r="Z272" s="16">
        <f t="shared" si="60"/>
        <v>5</v>
      </c>
      <c r="AA272" s="13">
        <f t="shared" si="61"/>
        <v>181.46</v>
      </c>
      <c r="AB272" s="14">
        <f t="shared" si="62"/>
        <v>0.28999999999999998</v>
      </c>
      <c r="AC272" t="str">
        <f t="shared" si="63"/>
        <v>No Discount</v>
      </c>
      <c r="AD272" t="str">
        <f t="shared" si="64"/>
        <v>Premium ($500+)</v>
      </c>
      <c r="AE272" t="str">
        <f t="shared" si="65"/>
        <v>Medium (3-5 units)</v>
      </c>
      <c r="AF272" t="str">
        <f t="shared" si="66"/>
        <v>Profitable</v>
      </c>
      <c r="AG272" t="str">
        <f t="shared" si="67"/>
        <v>High Margin</v>
      </c>
      <c r="AH272" t="str">
        <f t="shared" si="68"/>
        <v>Repeat Customer</v>
      </c>
      <c r="AI272" t="str">
        <f t="shared" si="69"/>
        <v>Standard (3-5 days)</v>
      </c>
    </row>
    <row r="273" spans="1:35" ht="15" customHeight="1" x14ac:dyDescent="0.3">
      <c r="A273">
        <v>272</v>
      </c>
      <c r="B273" t="s">
        <v>1203</v>
      </c>
      <c r="C273" s="12">
        <v>42215</v>
      </c>
      <c r="D273" s="12">
        <v>42216</v>
      </c>
      <c r="E273" t="s">
        <v>371</v>
      </c>
      <c r="F273" t="s">
        <v>784</v>
      </c>
      <c r="G273" t="s">
        <v>785</v>
      </c>
      <c r="H273" t="s">
        <v>209</v>
      </c>
      <c r="I273" t="s">
        <v>210</v>
      </c>
      <c r="J273" t="s">
        <v>310</v>
      </c>
      <c r="K273" t="s">
        <v>226</v>
      </c>
      <c r="L273">
        <v>94109</v>
      </c>
      <c r="M273" t="s">
        <v>227</v>
      </c>
      <c r="N273" t="s">
        <v>1204</v>
      </c>
      <c r="O273" t="s">
        <v>254</v>
      </c>
      <c r="P273" t="s">
        <v>344</v>
      </c>
      <c r="Q273" t="s">
        <v>1205</v>
      </c>
      <c r="R273" s="13">
        <v>209.93</v>
      </c>
      <c r="S273">
        <v>7</v>
      </c>
      <c r="T273" s="14">
        <v>0</v>
      </c>
      <c r="U273" s="13">
        <v>92.369200000000006</v>
      </c>
      <c r="V273">
        <f t="shared" si="56"/>
        <v>2015</v>
      </c>
      <c r="W273" t="str">
        <f t="shared" si="57"/>
        <v>Jul</v>
      </c>
      <c r="X273" t="str">
        <f t="shared" si="58"/>
        <v>Q3</v>
      </c>
      <c r="Y273" t="str">
        <f t="shared" si="59"/>
        <v>Thu</v>
      </c>
      <c r="Z273" s="16">
        <f t="shared" si="60"/>
        <v>1</v>
      </c>
      <c r="AA273" s="13">
        <f t="shared" si="61"/>
        <v>29.990000000000002</v>
      </c>
      <c r="AB273" s="14">
        <f t="shared" si="62"/>
        <v>0.44</v>
      </c>
      <c r="AC273" t="str">
        <f t="shared" si="63"/>
        <v>No Discount</v>
      </c>
      <c r="AD273" t="str">
        <f t="shared" si="64"/>
        <v>High ($200-$500)</v>
      </c>
      <c r="AE273" t="str">
        <f t="shared" si="65"/>
        <v>Large (6+ units)</v>
      </c>
      <c r="AF273" t="str">
        <f t="shared" si="66"/>
        <v>Profitable</v>
      </c>
      <c r="AG273" t="str">
        <f t="shared" si="67"/>
        <v>High Margin</v>
      </c>
      <c r="AH273" t="str">
        <f t="shared" si="68"/>
        <v>Repeat Customer</v>
      </c>
      <c r="AI273" t="str">
        <f t="shared" si="69"/>
        <v>Fast (&lt;=2 days)</v>
      </c>
    </row>
    <row r="274" spans="1:35" ht="15" customHeight="1" x14ac:dyDescent="0.3">
      <c r="A274">
        <v>273</v>
      </c>
      <c r="B274" t="s">
        <v>1203</v>
      </c>
      <c r="C274" s="12">
        <v>42215</v>
      </c>
      <c r="D274" s="12">
        <v>42216</v>
      </c>
      <c r="E274" t="s">
        <v>371</v>
      </c>
      <c r="F274" t="s">
        <v>784</v>
      </c>
      <c r="G274" t="s">
        <v>785</v>
      </c>
      <c r="H274" t="s">
        <v>209</v>
      </c>
      <c r="I274" t="s">
        <v>210</v>
      </c>
      <c r="J274" t="s">
        <v>310</v>
      </c>
      <c r="K274" t="s">
        <v>226</v>
      </c>
      <c r="L274">
        <v>94109</v>
      </c>
      <c r="M274" t="s">
        <v>227</v>
      </c>
      <c r="N274" t="s">
        <v>1206</v>
      </c>
      <c r="O274" t="s">
        <v>215</v>
      </c>
      <c r="P274" t="s">
        <v>248</v>
      </c>
      <c r="Q274" t="s">
        <v>1207</v>
      </c>
      <c r="R274" s="13">
        <v>5.28</v>
      </c>
      <c r="S274">
        <v>3</v>
      </c>
      <c r="T274" s="14">
        <v>0</v>
      </c>
      <c r="U274" s="13">
        <v>2.3231999999999999</v>
      </c>
      <c r="V274">
        <f t="shared" si="56"/>
        <v>2015</v>
      </c>
      <c r="W274" t="str">
        <f t="shared" si="57"/>
        <v>Jul</v>
      </c>
      <c r="X274" t="str">
        <f t="shared" si="58"/>
        <v>Q3</v>
      </c>
      <c r="Y274" t="str">
        <f t="shared" si="59"/>
        <v>Thu</v>
      </c>
      <c r="Z274" s="16">
        <f t="shared" si="60"/>
        <v>1</v>
      </c>
      <c r="AA274" s="13">
        <f t="shared" si="61"/>
        <v>1.76</v>
      </c>
      <c r="AB274" s="14">
        <f t="shared" si="62"/>
        <v>0.43999999999999995</v>
      </c>
      <c r="AC274" t="str">
        <f t="shared" si="63"/>
        <v>No Discount</v>
      </c>
      <c r="AD274" t="str">
        <f t="shared" si="64"/>
        <v>Low (&lt;$50)</v>
      </c>
      <c r="AE274" t="str">
        <f t="shared" si="65"/>
        <v>Medium (3-5 units)</v>
      </c>
      <c r="AF274" t="str">
        <f t="shared" si="66"/>
        <v>Profitable</v>
      </c>
      <c r="AG274" t="str">
        <f t="shared" si="67"/>
        <v>High Margin</v>
      </c>
      <c r="AH274" t="str">
        <f t="shared" si="68"/>
        <v>Repeat Customer</v>
      </c>
      <c r="AI274" t="str">
        <f t="shared" si="69"/>
        <v>Fast (&lt;=2 days)</v>
      </c>
    </row>
    <row r="275" spans="1:35" ht="15" customHeight="1" x14ac:dyDescent="0.3">
      <c r="A275">
        <v>274</v>
      </c>
      <c r="B275" t="s">
        <v>1203</v>
      </c>
      <c r="C275" s="12">
        <v>42215</v>
      </c>
      <c r="D275" s="12">
        <v>42216</v>
      </c>
      <c r="E275" t="s">
        <v>371</v>
      </c>
      <c r="F275" t="s">
        <v>784</v>
      </c>
      <c r="G275" t="s">
        <v>785</v>
      </c>
      <c r="H275" t="s">
        <v>209</v>
      </c>
      <c r="I275" t="s">
        <v>210</v>
      </c>
      <c r="J275" t="s">
        <v>310</v>
      </c>
      <c r="K275" t="s">
        <v>226</v>
      </c>
      <c r="L275">
        <v>94109</v>
      </c>
      <c r="M275" t="s">
        <v>227</v>
      </c>
      <c r="N275" t="s">
        <v>1208</v>
      </c>
      <c r="O275" t="s">
        <v>229</v>
      </c>
      <c r="P275" t="s">
        <v>258</v>
      </c>
      <c r="Q275" t="s">
        <v>1209</v>
      </c>
      <c r="R275" s="13">
        <v>10.92</v>
      </c>
      <c r="S275">
        <v>3</v>
      </c>
      <c r="T275" s="14">
        <v>0.2</v>
      </c>
      <c r="U275" s="13">
        <v>4.0949999999999998</v>
      </c>
      <c r="V275">
        <f t="shared" si="56"/>
        <v>2015</v>
      </c>
      <c r="W275" t="str">
        <f t="shared" si="57"/>
        <v>Jul</v>
      </c>
      <c r="X275" t="str">
        <f t="shared" si="58"/>
        <v>Q3</v>
      </c>
      <c r="Y275" t="str">
        <f t="shared" si="59"/>
        <v>Thu</v>
      </c>
      <c r="Z275" s="16">
        <f t="shared" si="60"/>
        <v>1</v>
      </c>
      <c r="AA275" s="13">
        <f t="shared" si="61"/>
        <v>3.64</v>
      </c>
      <c r="AB275" s="14">
        <f t="shared" si="62"/>
        <v>0.375</v>
      </c>
      <c r="AC275" t="str">
        <f t="shared" si="63"/>
        <v>Low (1-20%)</v>
      </c>
      <c r="AD275" t="str">
        <f t="shared" si="64"/>
        <v>Low (&lt;$50)</v>
      </c>
      <c r="AE275" t="str">
        <f t="shared" si="65"/>
        <v>Medium (3-5 units)</v>
      </c>
      <c r="AF275" t="str">
        <f t="shared" si="66"/>
        <v>Profitable</v>
      </c>
      <c r="AG275" t="str">
        <f t="shared" si="67"/>
        <v>High Margin</v>
      </c>
      <c r="AH275" t="str">
        <f t="shared" si="68"/>
        <v>Repeat Customer</v>
      </c>
      <c r="AI275" t="str">
        <f t="shared" si="69"/>
        <v>Fast (&lt;=2 days)</v>
      </c>
    </row>
    <row r="276" spans="1:35" ht="15" customHeight="1" x14ac:dyDescent="0.3">
      <c r="A276">
        <v>275</v>
      </c>
      <c r="B276" t="s">
        <v>1210</v>
      </c>
      <c r="C276" s="12">
        <v>42994</v>
      </c>
      <c r="D276" s="12">
        <v>42995</v>
      </c>
      <c r="E276" t="s">
        <v>371</v>
      </c>
      <c r="F276" t="s">
        <v>1211</v>
      </c>
      <c r="G276" t="s">
        <v>1212</v>
      </c>
      <c r="H276" t="s">
        <v>224</v>
      </c>
      <c r="I276" t="s">
        <v>210</v>
      </c>
      <c r="J276" t="s">
        <v>1213</v>
      </c>
      <c r="K276" t="s">
        <v>226</v>
      </c>
      <c r="L276">
        <v>90301</v>
      </c>
      <c r="M276" t="s">
        <v>227</v>
      </c>
      <c r="N276" t="s">
        <v>1214</v>
      </c>
      <c r="O276" t="s">
        <v>229</v>
      </c>
      <c r="P276" t="s">
        <v>273</v>
      </c>
      <c r="Q276" t="s">
        <v>1215</v>
      </c>
      <c r="R276" s="13">
        <v>8.82</v>
      </c>
      <c r="S276">
        <v>2</v>
      </c>
      <c r="T276" s="14">
        <v>0</v>
      </c>
      <c r="U276" s="13">
        <v>4.0571999999999999</v>
      </c>
      <c r="V276">
        <f t="shared" si="56"/>
        <v>2017</v>
      </c>
      <c r="W276" t="str">
        <f t="shared" si="57"/>
        <v>Sep</v>
      </c>
      <c r="X276" t="str">
        <f t="shared" si="58"/>
        <v>Q3</v>
      </c>
      <c r="Y276" t="str">
        <f t="shared" si="59"/>
        <v>Sat</v>
      </c>
      <c r="Z276" s="16">
        <f t="shared" si="60"/>
        <v>1</v>
      </c>
      <c r="AA276" s="13">
        <f t="shared" si="61"/>
        <v>4.41</v>
      </c>
      <c r="AB276" s="14">
        <f t="shared" si="62"/>
        <v>0.45999999999999996</v>
      </c>
      <c r="AC276" t="str">
        <f t="shared" si="63"/>
        <v>No Discount</v>
      </c>
      <c r="AD276" t="str">
        <f t="shared" si="64"/>
        <v>Low (&lt;$50)</v>
      </c>
      <c r="AE276" t="str">
        <f t="shared" si="65"/>
        <v>Small (1-2 units)</v>
      </c>
      <c r="AF276" t="str">
        <f t="shared" si="66"/>
        <v>Profitable</v>
      </c>
      <c r="AG276" t="str">
        <f t="shared" si="67"/>
        <v>High Margin</v>
      </c>
      <c r="AH276" t="str">
        <f t="shared" si="68"/>
        <v>Repeat Customer</v>
      </c>
      <c r="AI276" t="str">
        <f t="shared" si="69"/>
        <v>Fast (&lt;=2 days)</v>
      </c>
    </row>
    <row r="277" spans="1:35" ht="15" customHeight="1" x14ac:dyDescent="0.3">
      <c r="A277">
        <v>276</v>
      </c>
      <c r="B277" t="s">
        <v>1210</v>
      </c>
      <c r="C277" s="12">
        <v>42994</v>
      </c>
      <c r="D277" s="12">
        <v>42995</v>
      </c>
      <c r="E277" t="s">
        <v>371</v>
      </c>
      <c r="F277" t="s">
        <v>1211</v>
      </c>
      <c r="G277" t="s">
        <v>1212</v>
      </c>
      <c r="H277" t="s">
        <v>224</v>
      </c>
      <c r="I277" t="s">
        <v>210</v>
      </c>
      <c r="J277" t="s">
        <v>1213</v>
      </c>
      <c r="K277" t="s">
        <v>226</v>
      </c>
      <c r="L277">
        <v>90301</v>
      </c>
      <c r="M277" t="s">
        <v>227</v>
      </c>
      <c r="N277" t="s">
        <v>1216</v>
      </c>
      <c r="O277" t="s">
        <v>229</v>
      </c>
      <c r="P277" t="s">
        <v>251</v>
      </c>
      <c r="Q277" t="s">
        <v>1217</v>
      </c>
      <c r="R277" s="13">
        <v>5.98</v>
      </c>
      <c r="S277">
        <v>1</v>
      </c>
      <c r="T277" s="14">
        <v>0</v>
      </c>
      <c r="U277" s="13">
        <v>1.5548</v>
      </c>
      <c r="V277">
        <f t="shared" si="56"/>
        <v>2017</v>
      </c>
      <c r="W277" t="str">
        <f t="shared" si="57"/>
        <v>Sep</v>
      </c>
      <c r="X277" t="str">
        <f t="shared" si="58"/>
        <v>Q3</v>
      </c>
      <c r="Y277" t="str">
        <f t="shared" si="59"/>
        <v>Sat</v>
      </c>
      <c r="Z277" s="16">
        <f t="shared" si="60"/>
        <v>1</v>
      </c>
      <c r="AA277" s="13">
        <f t="shared" si="61"/>
        <v>5.98</v>
      </c>
      <c r="AB277" s="14">
        <f t="shared" si="62"/>
        <v>0.25999999999999995</v>
      </c>
      <c r="AC277" t="str">
        <f t="shared" si="63"/>
        <v>No Discount</v>
      </c>
      <c r="AD277" t="str">
        <f t="shared" si="64"/>
        <v>Low (&lt;$50)</v>
      </c>
      <c r="AE277" t="str">
        <f t="shared" si="65"/>
        <v>Small (1-2 units)</v>
      </c>
      <c r="AF277" t="str">
        <f t="shared" si="66"/>
        <v>Profitable</v>
      </c>
      <c r="AG277" t="str">
        <f t="shared" si="67"/>
        <v>High Margin</v>
      </c>
      <c r="AH277" t="str">
        <f t="shared" si="68"/>
        <v>Repeat Customer</v>
      </c>
      <c r="AI277" t="str">
        <f t="shared" si="69"/>
        <v>Fast (&lt;=2 days)</v>
      </c>
    </row>
    <row r="278" spans="1:35" ht="15" customHeight="1" x14ac:dyDescent="0.3">
      <c r="A278">
        <v>277</v>
      </c>
      <c r="B278" t="s">
        <v>1218</v>
      </c>
      <c r="C278" s="12">
        <v>43021</v>
      </c>
      <c r="D278" s="12">
        <v>43025</v>
      </c>
      <c r="E278" t="s">
        <v>233</v>
      </c>
      <c r="F278" t="s">
        <v>1219</v>
      </c>
      <c r="G278" t="s">
        <v>1220</v>
      </c>
      <c r="H278" t="s">
        <v>224</v>
      </c>
      <c r="I278" t="s">
        <v>210</v>
      </c>
      <c r="J278" t="s">
        <v>329</v>
      </c>
      <c r="K278" t="s">
        <v>330</v>
      </c>
      <c r="L278">
        <v>19140</v>
      </c>
      <c r="M278" t="s">
        <v>331</v>
      </c>
      <c r="N278" t="s">
        <v>1221</v>
      </c>
      <c r="O278" t="s">
        <v>229</v>
      </c>
      <c r="P278" t="s">
        <v>273</v>
      </c>
      <c r="Q278" t="s">
        <v>1222</v>
      </c>
      <c r="R278" s="13">
        <v>11.648</v>
      </c>
      <c r="S278">
        <v>2</v>
      </c>
      <c r="T278" s="14">
        <v>0.2</v>
      </c>
      <c r="U278" s="13">
        <v>4.0768000000000004</v>
      </c>
      <c r="V278">
        <f t="shared" si="56"/>
        <v>2017</v>
      </c>
      <c r="W278" t="str">
        <f t="shared" si="57"/>
        <v>Oct</v>
      </c>
      <c r="X278" t="str">
        <f t="shared" si="58"/>
        <v>Q4</v>
      </c>
      <c r="Y278" t="str">
        <f t="shared" si="59"/>
        <v>Fri</v>
      </c>
      <c r="Z278" s="16">
        <f t="shared" si="60"/>
        <v>4</v>
      </c>
      <c r="AA278" s="13">
        <f t="shared" si="61"/>
        <v>5.8239999999999998</v>
      </c>
      <c r="AB278" s="14">
        <f t="shared" si="62"/>
        <v>0.35000000000000003</v>
      </c>
      <c r="AC278" t="str">
        <f t="shared" si="63"/>
        <v>Low (1-20%)</v>
      </c>
      <c r="AD278" t="str">
        <f t="shared" si="64"/>
        <v>Low (&lt;$50)</v>
      </c>
      <c r="AE278" t="str">
        <f t="shared" si="65"/>
        <v>Small (1-2 units)</v>
      </c>
      <c r="AF278" t="str">
        <f t="shared" si="66"/>
        <v>Profitable</v>
      </c>
      <c r="AG278" t="str">
        <f t="shared" si="67"/>
        <v>High Margin</v>
      </c>
      <c r="AH278" t="str">
        <f t="shared" si="68"/>
        <v>Repeat Customer</v>
      </c>
      <c r="AI278" t="str">
        <f t="shared" si="69"/>
        <v>Standard (3-5 days)</v>
      </c>
    </row>
    <row r="279" spans="1:35" ht="15" customHeight="1" x14ac:dyDescent="0.3">
      <c r="A279">
        <v>278</v>
      </c>
      <c r="B279" t="s">
        <v>1218</v>
      </c>
      <c r="C279" s="12">
        <v>43021</v>
      </c>
      <c r="D279" s="12">
        <v>43025</v>
      </c>
      <c r="E279" t="s">
        <v>233</v>
      </c>
      <c r="F279" t="s">
        <v>1219</v>
      </c>
      <c r="G279" t="s">
        <v>1220</v>
      </c>
      <c r="H279" t="s">
        <v>224</v>
      </c>
      <c r="I279" t="s">
        <v>210</v>
      </c>
      <c r="J279" t="s">
        <v>329</v>
      </c>
      <c r="K279" t="s">
        <v>330</v>
      </c>
      <c r="L279">
        <v>19140</v>
      </c>
      <c r="M279" t="s">
        <v>331</v>
      </c>
      <c r="N279" t="s">
        <v>1223</v>
      </c>
      <c r="O279" t="s">
        <v>229</v>
      </c>
      <c r="P279" t="s">
        <v>273</v>
      </c>
      <c r="Q279" t="s">
        <v>1224</v>
      </c>
      <c r="R279" s="13">
        <v>18.175999999999998</v>
      </c>
      <c r="S279">
        <v>4</v>
      </c>
      <c r="T279" s="14">
        <v>0.2</v>
      </c>
      <c r="U279" s="13">
        <v>5.9071999999999996</v>
      </c>
      <c r="V279">
        <f t="shared" si="56"/>
        <v>2017</v>
      </c>
      <c r="W279" t="str">
        <f t="shared" si="57"/>
        <v>Oct</v>
      </c>
      <c r="X279" t="str">
        <f t="shared" si="58"/>
        <v>Q4</v>
      </c>
      <c r="Y279" t="str">
        <f t="shared" si="59"/>
        <v>Fri</v>
      </c>
      <c r="Z279" s="16">
        <f t="shared" si="60"/>
        <v>4</v>
      </c>
      <c r="AA279" s="13">
        <f t="shared" si="61"/>
        <v>4.5439999999999996</v>
      </c>
      <c r="AB279" s="14">
        <f t="shared" si="62"/>
        <v>0.32500000000000001</v>
      </c>
      <c r="AC279" t="str">
        <f t="shared" si="63"/>
        <v>Low (1-20%)</v>
      </c>
      <c r="AD279" t="str">
        <f t="shared" si="64"/>
        <v>Low (&lt;$50)</v>
      </c>
      <c r="AE279" t="str">
        <f t="shared" si="65"/>
        <v>Medium (3-5 units)</v>
      </c>
      <c r="AF279" t="str">
        <f t="shared" si="66"/>
        <v>Profitable</v>
      </c>
      <c r="AG279" t="str">
        <f t="shared" si="67"/>
        <v>High Margin</v>
      </c>
      <c r="AH279" t="str">
        <f t="shared" si="68"/>
        <v>Repeat Customer</v>
      </c>
      <c r="AI279" t="str">
        <f t="shared" si="69"/>
        <v>Standard (3-5 days)</v>
      </c>
    </row>
    <row r="280" spans="1:35" ht="15" customHeight="1" x14ac:dyDescent="0.3">
      <c r="A280">
        <v>279</v>
      </c>
      <c r="B280" t="s">
        <v>1218</v>
      </c>
      <c r="C280" s="12">
        <v>43021</v>
      </c>
      <c r="D280" s="12">
        <v>43025</v>
      </c>
      <c r="E280" t="s">
        <v>233</v>
      </c>
      <c r="F280" t="s">
        <v>1219</v>
      </c>
      <c r="G280" t="s">
        <v>1220</v>
      </c>
      <c r="H280" t="s">
        <v>224</v>
      </c>
      <c r="I280" t="s">
        <v>210</v>
      </c>
      <c r="J280" t="s">
        <v>329</v>
      </c>
      <c r="K280" t="s">
        <v>330</v>
      </c>
      <c r="L280">
        <v>19140</v>
      </c>
      <c r="M280" t="s">
        <v>331</v>
      </c>
      <c r="N280" t="s">
        <v>1225</v>
      </c>
      <c r="O280" t="s">
        <v>229</v>
      </c>
      <c r="P280" t="s">
        <v>242</v>
      </c>
      <c r="Q280" t="s">
        <v>1226</v>
      </c>
      <c r="R280" s="13">
        <v>59.712000000000003</v>
      </c>
      <c r="S280">
        <v>6</v>
      </c>
      <c r="T280" s="14">
        <v>0.2</v>
      </c>
      <c r="U280" s="13">
        <v>5.9711999999999996</v>
      </c>
      <c r="V280">
        <f t="shared" si="56"/>
        <v>2017</v>
      </c>
      <c r="W280" t="str">
        <f t="shared" si="57"/>
        <v>Oct</v>
      </c>
      <c r="X280" t="str">
        <f t="shared" si="58"/>
        <v>Q4</v>
      </c>
      <c r="Y280" t="str">
        <f t="shared" si="59"/>
        <v>Fri</v>
      </c>
      <c r="Z280" s="16">
        <f t="shared" si="60"/>
        <v>4</v>
      </c>
      <c r="AA280" s="13">
        <f t="shared" si="61"/>
        <v>9.952</v>
      </c>
      <c r="AB280" s="14">
        <f t="shared" si="62"/>
        <v>9.9999999999999992E-2</v>
      </c>
      <c r="AC280" t="str">
        <f t="shared" si="63"/>
        <v>Low (1-20%)</v>
      </c>
      <c r="AD280" t="str">
        <f t="shared" si="64"/>
        <v>Medium ($50-$200)</v>
      </c>
      <c r="AE280" t="str">
        <f t="shared" si="65"/>
        <v>Large (6+ units)</v>
      </c>
      <c r="AF280" t="str">
        <f t="shared" si="66"/>
        <v>Profitable</v>
      </c>
      <c r="AG280" t="str">
        <f t="shared" si="67"/>
        <v>Healthy Margin</v>
      </c>
      <c r="AH280" t="str">
        <f t="shared" si="68"/>
        <v>Repeat Customer</v>
      </c>
      <c r="AI280" t="str">
        <f t="shared" si="69"/>
        <v>Standard (3-5 days)</v>
      </c>
    </row>
    <row r="281" spans="1:35" ht="15" customHeight="1" x14ac:dyDescent="0.3">
      <c r="A281">
        <v>280</v>
      </c>
      <c r="B281" t="s">
        <v>1218</v>
      </c>
      <c r="C281" s="12">
        <v>43021</v>
      </c>
      <c r="D281" s="12">
        <v>43025</v>
      </c>
      <c r="E281" t="s">
        <v>233</v>
      </c>
      <c r="F281" t="s">
        <v>1219</v>
      </c>
      <c r="G281" t="s">
        <v>1220</v>
      </c>
      <c r="H281" t="s">
        <v>224</v>
      </c>
      <c r="I281" t="s">
        <v>210</v>
      </c>
      <c r="J281" t="s">
        <v>329</v>
      </c>
      <c r="K281" t="s">
        <v>330</v>
      </c>
      <c r="L281">
        <v>19140</v>
      </c>
      <c r="M281" t="s">
        <v>331</v>
      </c>
      <c r="N281" t="s">
        <v>1227</v>
      </c>
      <c r="O281" t="s">
        <v>229</v>
      </c>
      <c r="P281" t="s">
        <v>230</v>
      </c>
      <c r="Q281" t="s">
        <v>1228</v>
      </c>
      <c r="R281" s="13">
        <v>24.84</v>
      </c>
      <c r="S281">
        <v>3</v>
      </c>
      <c r="T281" s="14">
        <v>0.2</v>
      </c>
      <c r="U281" s="13">
        <v>8.6940000000000008</v>
      </c>
      <c r="V281">
        <f t="shared" si="56"/>
        <v>2017</v>
      </c>
      <c r="W281" t="str">
        <f t="shared" si="57"/>
        <v>Oct</v>
      </c>
      <c r="X281" t="str">
        <f t="shared" si="58"/>
        <v>Q4</v>
      </c>
      <c r="Y281" t="str">
        <f t="shared" si="59"/>
        <v>Fri</v>
      </c>
      <c r="Z281" s="16">
        <f t="shared" si="60"/>
        <v>4</v>
      </c>
      <c r="AA281" s="13">
        <f t="shared" si="61"/>
        <v>8.2799999999999994</v>
      </c>
      <c r="AB281" s="14">
        <f t="shared" si="62"/>
        <v>0.35000000000000003</v>
      </c>
      <c r="AC281" t="str">
        <f t="shared" si="63"/>
        <v>Low (1-20%)</v>
      </c>
      <c r="AD281" t="str">
        <f t="shared" si="64"/>
        <v>Low (&lt;$50)</v>
      </c>
      <c r="AE281" t="str">
        <f t="shared" si="65"/>
        <v>Medium (3-5 units)</v>
      </c>
      <c r="AF281" t="str">
        <f t="shared" si="66"/>
        <v>Profitable</v>
      </c>
      <c r="AG281" t="str">
        <f t="shared" si="67"/>
        <v>High Margin</v>
      </c>
      <c r="AH281" t="str">
        <f t="shared" si="68"/>
        <v>Repeat Customer</v>
      </c>
      <c r="AI281" t="str">
        <f t="shared" si="69"/>
        <v>Standard (3-5 days)</v>
      </c>
    </row>
    <row r="282" spans="1:35" ht="15" customHeight="1" x14ac:dyDescent="0.3">
      <c r="A282">
        <v>281</v>
      </c>
      <c r="B282" t="s">
        <v>1229</v>
      </c>
      <c r="C282" s="12">
        <v>42273</v>
      </c>
      <c r="D282" s="12">
        <v>42275</v>
      </c>
      <c r="E282" t="s">
        <v>206</v>
      </c>
      <c r="F282" t="s">
        <v>702</v>
      </c>
      <c r="G282" t="s">
        <v>703</v>
      </c>
      <c r="H282" t="s">
        <v>209</v>
      </c>
      <c r="I282" t="s">
        <v>210</v>
      </c>
      <c r="J282" t="s">
        <v>367</v>
      </c>
      <c r="K282" t="s">
        <v>287</v>
      </c>
      <c r="L282">
        <v>77070</v>
      </c>
      <c r="M282" t="s">
        <v>288</v>
      </c>
      <c r="N282" t="s">
        <v>1230</v>
      </c>
      <c r="O282" t="s">
        <v>229</v>
      </c>
      <c r="P282" t="s">
        <v>258</v>
      </c>
      <c r="Q282" t="s">
        <v>1231</v>
      </c>
      <c r="R282" s="13">
        <v>2.08</v>
      </c>
      <c r="S282">
        <v>5</v>
      </c>
      <c r="T282" s="14">
        <v>0.8</v>
      </c>
      <c r="U282" s="13">
        <v>-3.4319999999999999</v>
      </c>
      <c r="V282">
        <f t="shared" si="56"/>
        <v>2015</v>
      </c>
      <c r="W282" t="str">
        <f t="shared" si="57"/>
        <v>Sep</v>
      </c>
      <c r="X282" t="str">
        <f t="shared" si="58"/>
        <v>Q3</v>
      </c>
      <c r="Y282" t="str">
        <f t="shared" si="59"/>
        <v>Sat</v>
      </c>
      <c r="Z282" s="16">
        <f t="shared" si="60"/>
        <v>2</v>
      </c>
      <c r="AA282" s="13">
        <f t="shared" si="61"/>
        <v>0.41600000000000004</v>
      </c>
      <c r="AB282" s="14">
        <f t="shared" si="62"/>
        <v>-1.65</v>
      </c>
      <c r="AC282" t="str">
        <f t="shared" si="63"/>
        <v>High (40%+)</v>
      </c>
      <c r="AD282" t="str">
        <f t="shared" si="64"/>
        <v>Low (&lt;$50)</v>
      </c>
      <c r="AE282" t="str">
        <f t="shared" si="65"/>
        <v>Medium (3-5 units)</v>
      </c>
      <c r="AF282" t="str">
        <f t="shared" si="66"/>
        <v>Loss-Making</v>
      </c>
      <c r="AG282" t="str">
        <f t="shared" si="67"/>
        <v>Underperforming</v>
      </c>
      <c r="AH282" t="str">
        <f t="shared" si="68"/>
        <v>Repeat Customer</v>
      </c>
      <c r="AI282" t="str">
        <f t="shared" si="69"/>
        <v>Fast (&lt;=2 days)</v>
      </c>
    </row>
    <row r="283" spans="1:35" ht="15" customHeight="1" x14ac:dyDescent="0.3">
      <c r="A283">
        <v>282</v>
      </c>
      <c r="B283" t="s">
        <v>1229</v>
      </c>
      <c r="C283" s="12">
        <v>42273</v>
      </c>
      <c r="D283" s="12">
        <v>42275</v>
      </c>
      <c r="E283" t="s">
        <v>206</v>
      </c>
      <c r="F283" t="s">
        <v>702</v>
      </c>
      <c r="G283" t="s">
        <v>703</v>
      </c>
      <c r="H283" t="s">
        <v>209</v>
      </c>
      <c r="I283" t="s">
        <v>210</v>
      </c>
      <c r="J283" t="s">
        <v>367</v>
      </c>
      <c r="K283" t="s">
        <v>287</v>
      </c>
      <c r="L283">
        <v>77070</v>
      </c>
      <c r="M283" t="s">
        <v>288</v>
      </c>
      <c r="N283" t="s">
        <v>1232</v>
      </c>
      <c r="O283" t="s">
        <v>254</v>
      </c>
      <c r="P283" t="s">
        <v>255</v>
      </c>
      <c r="Q283" t="s">
        <v>1233</v>
      </c>
      <c r="R283" s="13">
        <v>1114.4000000000001</v>
      </c>
      <c r="S283">
        <v>7</v>
      </c>
      <c r="T283" s="14">
        <v>0.2</v>
      </c>
      <c r="U283" s="13">
        <v>376.11</v>
      </c>
      <c r="V283">
        <f t="shared" si="56"/>
        <v>2015</v>
      </c>
      <c r="W283" t="str">
        <f t="shared" si="57"/>
        <v>Sep</v>
      </c>
      <c r="X283" t="str">
        <f t="shared" si="58"/>
        <v>Q3</v>
      </c>
      <c r="Y283" t="str">
        <f t="shared" si="59"/>
        <v>Sat</v>
      </c>
      <c r="Z283" s="16">
        <f t="shared" si="60"/>
        <v>2</v>
      </c>
      <c r="AA283" s="13">
        <f t="shared" si="61"/>
        <v>159.20000000000002</v>
      </c>
      <c r="AB283" s="14">
        <f t="shared" si="62"/>
        <v>0.33749999999999997</v>
      </c>
      <c r="AC283" t="str">
        <f t="shared" si="63"/>
        <v>Low (1-20%)</v>
      </c>
      <c r="AD283" t="str">
        <f t="shared" si="64"/>
        <v>Premium ($500+)</v>
      </c>
      <c r="AE283" t="str">
        <f t="shared" si="65"/>
        <v>Large (6+ units)</v>
      </c>
      <c r="AF283" t="str">
        <f t="shared" si="66"/>
        <v>Profitable</v>
      </c>
      <c r="AG283" t="str">
        <f t="shared" si="67"/>
        <v>High Margin</v>
      </c>
      <c r="AH283" t="str">
        <f t="shared" si="68"/>
        <v>Repeat Customer</v>
      </c>
      <c r="AI283" t="str">
        <f t="shared" si="69"/>
        <v>Fast (&lt;=2 days)</v>
      </c>
    </row>
    <row r="284" spans="1:35" ht="15" customHeight="1" x14ac:dyDescent="0.3">
      <c r="A284">
        <v>283</v>
      </c>
      <c r="B284" t="s">
        <v>1234</v>
      </c>
      <c r="C284" s="12">
        <v>42310</v>
      </c>
      <c r="D284" s="12">
        <v>42314</v>
      </c>
      <c r="E284" t="s">
        <v>233</v>
      </c>
      <c r="F284" t="s">
        <v>1235</v>
      </c>
      <c r="G284" t="s">
        <v>1236</v>
      </c>
      <c r="H284" t="s">
        <v>209</v>
      </c>
      <c r="I284" t="s">
        <v>210</v>
      </c>
      <c r="J284" t="s">
        <v>225</v>
      </c>
      <c r="K284" t="s">
        <v>226</v>
      </c>
      <c r="L284">
        <v>90004</v>
      </c>
      <c r="M284" t="s">
        <v>227</v>
      </c>
      <c r="N284" t="s">
        <v>1237</v>
      </c>
      <c r="O284" t="s">
        <v>215</v>
      </c>
      <c r="P284" t="s">
        <v>239</v>
      </c>
      <c r="Q284" t="s">
        <v>1238</v>
      </c>
      <c r="R284" s="13">
        <v>1038.8399999999999</v>
      </c>
      <c r="S284">
        <v>5</v>
      </c>
      <c r="T284" s="14">
        <v>0.2</v>
      </c>
      <c r="U284" s="13">
        <v>51.942</v>
      </c>
      <c r="V284">
        <f t="shared" si="56"/>
        <v>2015</v>
      </c>
      <c r="W284" t="str">
        <f t="shared" si="57"/>
        <v>Nov</v>
      </c>
      <c r="X284" t="str">
        <f t="shared" si="58"/>
        <v>Q4</v>
      </c>
      <c r="Y284" t="str">
        <f t="shared" si="59"/>
        <v>Mon</v>
      </c>
      <c r="Z284" s="16">
        <f t="shared" si="60"/>
        <v>4</v>
      </c>
      <c r="AA284" s="13">
        <f t="shared" si="61"/>
        <v>207.76799999999997</v>
      </c>
      <c r="AB284" s="14">
        <f t="shared" si="62"/>
        <v>0.05</v>
      </c>
      <c r="AC284" t="str">
        <f t="shared" si="63"/>
        <v>Low (1-20%)</v>
      </c>
      <c r="AD284" t="str">
        <f t="shared" si="64"/>
        <v>Premium ($500+)</v>
      </c>
      <c r="AE284" t="str">
        <f t="shared" si="65"/>
        <v>Medium (3-5 units)</v>
      </c>
      <c r="AF284" t="str">
        <f t="shared" si="66"/>
        <v>Profitable</v>
      </c>
      <c r="AG284" t="str">
        <f t="shared" si="67"/>
        <v>Low Margin</v>
      </c>
      <c r="AH284" t="str">
        <f t="shared" si="68"/>
        <v>Single Purchase</v>
      </c>
      <c r="AI284" t="str">
        <f t="shared" si="69"/>
        <v>Standard (3-5 days)</v>
      </c>
    </row>
    <row r="285" spans="1:35" ht="15" customHeight="1" x14ac:dyDescent="0.3">
      <c r="A285">
        <v>284</v>
      </c>
      <c r="B285" t="s">
        <v>1239</v>
      </c>
      <c r="C285" s="12">
        <v>42273</v>
      </c>
      <c r="D285" s="12">
        <v>42279</v>
      </c>
      <c r="E285" t="s">
        <v>233</v>
      </c>
      <c r="F285" t="s">
        <v>347</v>
      </c>
      <c r="G285" t="s">
        <v>348</v>
      </c>
      <c r="H285" t="s">
        <v>209</v>
      </c>
      <c r="I285" t="s">
        <v>210</v>
      </c>
      <c r="J285" t="s">
        <v>602</v>
      </c>
      <c r="K285" t="s">
        <v>603</v>
      </c>
      <c r="L285">
        <v>97206</v>
      </c>
      <c r="M285" t="s">
        <v>227</v>
      </c>
      <c r="N285" t="s">
        <v>1240</v>
      </c>
      <c r="O285" t="s">
        <v>229</v>
      </c>
      <c r="P285" t="s">
        <v>273</v>
      </c>
      <c r="Q285" t="s">
        <v>369</v>
      </c>
      <c r="R285" s="13">
        <v>141.76</v>
      </c>
      <c r="S285">
        <v>5</v>
      </c>
      <c r="T285" s="14">
        <v>0.2</v>
      </c>
      <c r="U285" s="13">
        <v>47.844000000000001</v>
      </c>
      <c r="V285">
        <f t="shared" si="56"/>
        <v>2015</v>
      </c>
      <c r="W285" t="str">
        <f t="shared" si="57"/>
        <v>Sep</v>
      </c>
      <c r="X285" t="str">
        <f t="shared" si="58"/>
        <v>Q3</v>
      </c>
      <c r="Y285" t="str">
        <f t="shared" si="59"/>
        <v>Sat</v>
      </c>
      <c r="Z285" s="16">
        <f t="shared" si="60"/>
        <v>6</v>
      </c>
      <c r="AA285" s="13">
        <f t="shared" si="61"/>
        <v>28.351999999999997</v>
      </c>
      <c r="AB285" s="14">
        <f t="shared" si="62"/>
        <v>0.33750000000000002</v>
      </c>
      <c r="AC285" t="str">
        <f t="shared" si="63"/>
        <v>Low (1-20%)</v>
      </c>
      <c r="AD285" t="str">
        <f t="shared" si="64"/>
        <v>Medium ($50-$200)</v>
      </c>
      <c r="AE285" t="str">
        <f t="shared" si="65"/>
        <v>Medium (3-5 units)</v>
      </c>
      <c r="AF285" t="str">
        <f t="shared" si="66"/>
        <v>Profitable</v>
      </c>
      <c r="AG285" t="str">
        <f t="shared" si="67"/>
        <v>High Margin</v>
      </c>
      <c r="AH285" t="str">
        <f t="shared" si="68"/>
        <v>Repeat Customer</v>
      </c>
      <c r="AI285" t="str">
        <f t="shared" si="69"/>
        <v>Slow (6+ days)</v>
      </c>
    </row>
    <row r="286" spans="1:35" ht="15" customHeight="1" x14ac:dyDescent="0.3">
      <c r="A286">
        <v>285</v>
      </c>
      <c r="B286" t="s">
        <v>1239</v>
      </c>
      <c r="C286" s="12">
        <v>42273</v>
      </c>
      <c r="D286" s="12">
        <v>42279</v>
      </c>
      <c r="E286" t="s">
        <v>233</v>
      </c>
      <c r="F286" t="s">
        <v>347</v>
      </c>
      <c r="G286" t="s">
        <v>348</v>
      </c>
      <c r="H286" t="s">
        <v>209</v>
      </c>
      <c r="I286" t="s">
        <v>210</v>
      </c>
      <c r="J286" t="s">
        <v>602</v>
      </c>
      <c r="K286" t="s">
        <v>603</v>
      </c>
      <c r="L286">
        <v>97206</v>
      </c>
      <c r="M286" t="s">
        <v>227</v>
      </c>
      <c r="N286" t="s">
        <v>1241</v>
      </c>
      <c r="O286" t="s">
        <v>254</v>
      </c>
      <c r="P286" t="s">
        <v>344</v>
      </c>
      <c r="Q286" t="s">
        <v>1242</v>
      </c>
      <c r="R286" s="13">
        <v>239.8</v>
      </c>
      <c r="S286">
        <v>5</v>
      </c>
      <c r="T286" s="14">
        <v>0.2</v>
      </c>
      <c r="U286" s="13">
        <v>47.96</v>
      </c>
      <c r="V286">
        <f t="shared" si="56"/>
        <v>2015</v>
      </c>
      <c r="W286" t="str">
        <f t="shared" si="57"/>
        <v>Sep</v>
      </c>
      <c r="X286" t="str">
        <f t="shared" si="58"/>
        <v>Q3</v>
      </c>
      <c r="Y286" t="str">
        <f t="shared" si="59"/>
        <v>Sat</v>
      </c>
      <c r="Z286" s="16">
        <f t="shared" si="60"/>
        <v>6</v>
      </c>
      <c r="AA286" s="13">
        <f t="shared" si="61"/>
        <v>47.96</v>
      </c>
      <c r="AB286" s="14">
        <f t="shared" si="62"/>
        <v>0.19999999999999998</v>
      </c>
      <c r="AC286" t="str">
        <f t="shared" si="63"/>
        <v>Low (1-20%)</v>
      </c>
      <c r="AD286" t="str">
        <f t="shared" si="64"/>
        <v>High ($200-$500)</v>
      </c>
      <c r="AE286" t="str">
        <f t="shared" si="65"/>
        <v>Medium (3-5 units)</v>
      </c>
      <c r="AF286" t="str">
        <f t="shared" si="66"/>
        <v>Profitable</v>
      </c>
      <c r="AG286" t="str">
        <f t="shared" si="67"/>
        <v>Healthy Margin</v>
      </c>
      <c r="AH286" t="str">
        <f t="shared" si="68"/>
        <v>Repeat Customer</v>
      </c>
      <c r="AI286" t="str">
        <f t="shared" si="69"/>
        <v>Slow (6+ days)</v>
      </c>
    </row>
    <row r="287" spans="1:35" ht="15" customHeight="1" x14ac:dyDescent="0.3">
      <c r="A287">
        <v>286</v>
      </c>
      <c r="B287" t="s">
        <v>1239</v>
      </c>
      <c r="C287" s="12">
        <v>42273</v>
      </c>
      <c r="D287" s="12">
        <v>42279</v>
      </c>
      <c r="E287" t="s">
        <v>233</v>
      </c>
      <c r="F287" t="s">
        <v>347</v>
      </c>
      <c r="G287" t="s">
        <v>348</v>
      </c>
      <c r="H287" t="s">
        <v>209</v>
      </c>
      <c r="I287" t="s">
        <v>210</v>
      </c>
      <c r="J287" t="s">
        <v>602</v>
      </c>
      <c r="K287" t="s">
        <v>603</v>
      </c>
      <c r="L287">
        <v>97206</v>
      </c>
      <c r="M287" t="s">
        <v>227</v>
      </c>
      <c r="N287" t="s">
        <v>1243</v>
      </c>
      <c r="O287" t="s">
        <v>229</v>
      </c>
      <c r="P287" t="s">
        <v>273</v>
      </c>
      <c r="Q287" t="s">
        <v>1244</v>
      </c>
      <c r="R287" s="13">
        <v>31.103999999999999</v>
      </c>
      <c r="S287">
        <v>6</v>
      </c>
      <c r="T287" s="14">
        <v>0.2</v>
      </c>
      <c r="U287" s="13">
        <v>10.8864</v>
      </c>
      <c r="V287">
        <f t="shared" si="56"/>
        <v>2015</v>
      </c>
      <c r="W287" t="str">
        <f t="shared" si="57"/>
        <v>Sep</v>
      </c>
      <c r="X287" t="str">
        <f t="shared" si="58"/>
        <v>Q3</v>
      </c>
      <c r="Y287" t="str">
        <f t="shared" si="59"/>
        <v>Sat</v>
      </c>
      <c r="Z287" s="16">
        <f t="shared" si="60"/>
        <v>6</v>
      </c>
      <c r="AA287" s="13">
        <f t="shared" si="61"/>
        <v>5.1840000000000002</v>
      </c>
      <c r="AB287" s="14">
        <f t="shared" si="62"/>
        <v>0.35000000000000003</v>
      </c>
      <c r="AC287" t="str">
        <f t="shared" si="63"/>
        <v>Low (1-20%)</v>
      </c>
      <c r="AD287" t="str">
        <f t="shared" si="64"/>
        <v>Low (&lt;$50)</v>
      </c>
      <c r="AE287" t="str">
        <f t="shared" si="65"/>
        <v>Large (6+ units)</v>
      </c>
      <c r="AF287" t="str">
        <f t="shared" si="66"/>
        <v>Profitable</v>
      </c>
      <c r="AG287" t="str">
        <f t="shared" si="67"/>
        <v>High Margin</v>
      </c>
      <c r="AH287" t="str">
        <f t="shared" si="68"/>
        <v>Repeat Customer</v>
      </c>
      <c r="AI287" t="str">
        <f t="shared" si="69"/>
        <v>Slow (6+ days)</v>
      </c>
    </row>
    <row r="288" spans="1:35" ht="15" customHeight="1" x14ac:dyDescent="0.3">
      <c r="A288">
        <v>287</v>
      </c>
      <c r="B288" t="s">
        <v>1245</v>
      </c>
      <c r="C288" s="12">
        <v>42722</v>
      </c>
      <c r="D288" s="12">
        <v>42724</v>
      </c>
      <c r="E288" t="s">
        <v>206</v>
      </c>
      <c r="F288" t="s">
        <v>1246</v>
      </c>
      <c r="G288" t="s">
        <v>1247</v>
      </c>
      <c r="H288" t="s">
        <v>224</v>
      </c>
      <c r="I288" t="s">
        <v>210</v>
      </c>
      <c r="J288" t="s">
        <v>1248</v>
      </c>
      <c r="K288" t="s">
        <v>237</v>
      </c>
      <c r="L288">
        <v>33319</v>
      </c>
      <c r="M288" t="s">
        <v>213</v>
      </c>
      <c r="N288" t="s">
        <v>1249</v>
      </c>
      <c r="O288" t="s">
        <v>229</v>
      </c>
      <c r="P288" t="s">
        <v>258</v>
      </c>
      <c r="Q288" t="s">
        <v>1250</v>
      </c>
      <c r="R288" s="13">
        <v>254.05799999999999</v>
      </c>
      <c r="S288">
        <v>7</v>
      </c>
      <c r="T288" s="14">
        <v>0.7</v>
      </c>
      <c r="U288" s="13">
        <v>-169.37200000000001</v>
      </c>
      <c r="V288">
        <f t="shared" si="56"/>
        <v>2016</v>
      </c>
      <c r="W288" t="str">
        <f t="shared" si="57"/>
        <v>Dec</v>
      </c>
      <c r="X288" t="str">
        <f t="shared" si="58"/>
        <v>Q4</v>
      </c>
      <c r="Y288" t="str">
        <f t="shared" si="59"/>
        <v>Sun</v>
      </c>
      <c r="Z288" s="16">
        <f t="shared" si="60"/>
        <v>2</v>
      </c>
      <c r="AA288" s="13">
        <f t="shared" si="61"/>
        <v>36.293999999999997</v>
      </c>
      <c r="AB288" s="14">
        <f t="shared" si="62"/>
        <v>-0.66666666666666674</v>
      </c>
      <c r="AC288" t="str">
        <f t="shared" si="63"/>
        <v>High (40%+)</v>
      </c>
      <c r="AD288" t="str">
        <f t="shared" si="64"/>
        <v>High ($200-$500)</v>
      </c>
      <c r="AE288" t="str">
        <f t="shared" si="65"/>
        <v>Large (6+ units)</v>
      </c>
      <c r="AF288" t="str">
        <f t="shared" si="66"/>
        <v>Loss-Making</v>
      </c>
      <c r="AG288" t="str">
        <f t="shared" si="67"/>
        <v>Underperforming</v>
      </c>
      <c r="AH288" t="str">
        <f t="shared" si="68"/>
        <v>Repeat Customer</v>
      </c>
      <c r="AI288" t="str">
        <f t="shared" si="69"/>
        <v>Fast (&lt;=2 days)</v>
      </c>
    </row>
    <row r="289" spans="1:35" ht="15" customHeight="1" x14ac:dyDescent="0.3">
      <c r="A289">
        <v>288</v>
      </c>
      <c r="B289" t="s">
        <v>1245</v>
      </c>
      <c r="C289" s="12">
        <v>42722</v>
      </c>
      <c r="D289" s="12">
        <v>42724</v>
      </c>
      <c r="E289" t="s">
        <v>206</v>
      </c>
      <c r="F289" t="s">
        <v>1246</v>
      </c>
      <c r="G289" t="s">
        <v>1247</v>
      </c>
      <c r="H289" t="s">
        <v>224</v>
      </c>
      <c r="I289" t="s">
        <v>210</v>
      </c>
      <c r="J289" t="s">
        <v>1248</v>
      </c>
      <c r="K289" t="s">
        <v>237</v>
      </c>
      <c r="L289">
        <v>33319</v>
      </c>
      <c r="M289" t="s">
        <v>213</v>
      </c>
      <c r="N289" t="s">
        <v>898</v>
      </c>
      <c r="O289" t="s">
        <v>229</v>
      </c>
      <c r="P289" t="s">
        <v>261</v>
      </c>
      <c r="Q289" t="s">
        <v>899</v>
      </c>
      <c r="R289" s="13">
        <v>194.52799999999999</v>
      </c>
      <c r="S289">
        <v>2</v>
      </c>
      <c r="T289" s="14">
        <v>0.2</v>
      </c>
      <c r="U289" s="13">
        <v>24.315999999999999</v>
      </c>
      <c r="V289">
        <f t="shared" si="56"/>
        <v>2016</v>
      </c>
      <c r="W289" t="str">
        <f t="shared" si="57"/>
        <v>Dec</v>
      </c>
      <c r="X289" t="str">
        <f t="shared" si="58"/>
        <v>Q4</v>
      </c>
      <c r="Y289" t="str">
        <f t="shared" si="59"/>
        <v>Sun</v>
      </c>
      <c r="Z289" s="16">
        <f t="shared" si="60"/>
        <v>2</v>
      </c>
      <c r="AA289" s="13">
        <f t="shared" si="61"/>
        <v>97.263999999999996</v>
      </c>
      <c r="AB289" s="14">
        <f t="shared" si="62"/>
        <v>0.125</v>
      </c>
      <c r="AC289" t="str">
        <f t="shared" si="63"/>
        <v>Low (1-20%)</v>
      </c>
      <c r="AD289" t="str">
        <f t="shared" si="64"/>
        <v>Medium ($50-$200)</v>
      </c>
      <c r="AE289" t="str">
        <f t="shared" si="65"/>
        <v>Small (1-2 units)</v>
      </c>
      <c r="AF289" t="str">
        <f t="shared" si="66"/>
        <v>Profitable</v>
      </c>
      <c r="AG289" t="str">
        <f t="shared" si="67"/>
        <v>Healthy Margin</v>
      </c>
      <c r="AH289" t="str">
        <f t="shared" si="68"/>
        <v>Repeat Customer</v>
      </c>
      <c r="AI289" t="str">
        <f t="shared" si="69"/>
        <v>Fast (&lt;=2 days)</v>
      </c>
    </row>
    <row r="290" spans="1:35" ht="15" customHeight="1" x14ac:dyDescent="0.3">
      <c r="A290">
        <v>289</v>
      </c>
      <c r="B290" t="s">
        <v>1245</v>
      </c>
      <c r="C290" s="12">
        <v>42722</v>
      </c>
      <c r="D290" s="12">
        <v>42724</v>
      </c>
      <c r="E290" t="s">
        <v>206</v>
      </c>
      <c r="F290" t="s">
        <v>1246</v>
      </c>
      <c r="G290" t="s">
        <v>1247</v>
      </c>
      <c r="H290" t="s">
        <v>224</v>
      </c>
      <c r="I290" t="s">
        <v>210</v>
      </c>
      <c r="J290" t="s">
        <v>1248</v>
      </c>
      <c r="K290" t="s">
        <v>237</v>
      </c>
      <c r="L290">
        <v>33319</v>
      </c>
      <c r="M290" t="s">
        <v>213</v>
      </c>
      <c r="N290" t="s">
        <v>1251</v>
      </c>
      <c r="O290" t="s">
        <v>229</v>
      </c>
      <c r="P290" t="s">
        <v>762</v>
      </c>
      <c r="Q290" t="s">
        <v>1252</v>
      </c>
      <c r="R290" s="13">
        <v>961.48</v>
      </c>
      <c r="S290">
        <v>5</v>
      </c>
      <c r="T290" s="14">
        <v>0.2</v>
      </c>
      <c r="U290" s="13">
        <v>-204.31450000000001</v>
      </c>
      <c r="V290">
        <f t="shared" si="56"/>
        <v>2016</v>
      </c>
      <c r="W290" t="str">
        <f t="shared" si="57"/>
        <v>Dec</v>
      </c>
      <c r="X290" t="str">
        <f t="shared" si="58"/>
        <v>Q4</v>
      </c>
      <c r="Y290" t="str">
        <f t="shared" si="59"/>
        <v>Sun</v>
      </c>
      <c r="Z290" s="16">
        <f t="shared" si="60"/>
        <v>2</v>
      </c>
      <c r="AA290" s="13">
        <f t="shared" si="61"/>
        <v>192.29599999999999</v>
      </c>
      <c r="AB290" s="14">
        <f t="shared" si="62"/>
        <v>-0.21249999999999999</v>
      </c>
      <c r="AC290" t="str">
        <f t="shared" si="63"/>
        <v>Low (1-20%)</v>
      </c>
      <c r="AD290" t="str">
        <f t="shared" si="64"/>
        <v>Premium ($500+)</v>
      </c>
      <c r="AE290" t="str">
        <f t="shared" si="65"/>
        <v>Medium (3-5 units)</v>
      </c>
      <c r="AF290" t="str">
        <f t="shared" si="66"/>
        <v>Loss-Making</v>
      </c>
      <c r="AG290" t="str">
        <f t="shared" si="67"/>
        <v>Underperforming</v>
      </c>
      <c r="AH290" t="str">
        <f t="shared" si="68"/>
        <v>Repeat Customer</v>
      </c>
      <c r="AI290" t="str">
        <f t="shared" si="69"/>
        <v>Fast (&lt;=2 days)</v>
      </c>
    </row>
    <row r="291" spans="1:35" ht="15" customHeight="1" x14ac:dyDescent="0.3">
      <c r="A291">
        <v>290</v>
      </c>
      <c r="B291" t="s">
        <v>1253</v>
      </c>
      <c r="C291" s="12">
        <v>42694</v>
      </c>
      <c r="D291" s="12">
        <v>42698</v>
      </c>
      <c r="E291" t="s">
        <v>206</v>
      </c>
      <c r="F291" t="s">
        <v>1254</v>
      </c>
      <c r="G291" t="s">
        <v>1255</v>
      </c>
      <c r="H291" t="s">
        <v>285</v>
      </c>
      <c r="I291" t="s">
        <v>210</v>
      </c>
      <c r="J291" t="s">
        <v>680</v>
      </c>
      <c r="K291" t="s">
        <v>681</v>
      </c>
      <c r="L291">
        <v>43229</v>
      </c>
      <c r="M291" t="s">
        <v>331</v>
      </c>
      <c r="N291" t="s">
        <v>1256</v>
      </c>
      <c r="O291" t="s">
        <v>229</v>
      </c>
      <c r="P291" t="s">
        <v>452</v>
      </c>
      <c r="Q291" t="s">
        <v>1257</v>
      </c>
      <c r="R291" s="13">
        <v>19.096</v>
      </c>
      <c r="S291">
        <v>7</v>
      </c>
      <c r="T291" s="14">
        <v>0.2</v>
      </c>
      <c r="U291" s="13">
        <v>6.6836000000000002</v>
      </c>
      <c r="V291">
        <f t="shared" si="56"/>
        <v>2016</v>
      </c>
      <c r="W291" t="str">
        <f t="shared" si="57"/>
        <v>Nov</v>
      </c>
      <c r="X291" t="str">
        <f t="shared" si="58"/>
        <v>Q4</v>
      </c>
      <c r="Y291" t="str">
        <f t="shared" si="59"/>
        <v>Sun</v>
      </c>
      <c r="Z291" s="16">
        <f t="shared" si="60"/>
        <v>4</v>
      </c>
      <c r="AA291" s="13">
        <f t="shared" si="61"/>
        <v>2.7280000000000002</v>
      </c>
      <c r="AB291" s="14">
        <f t="shared" si="62"/>
        <v>0.35000000000000003</v>
      </c>
      <c r="AC291" t="str">
        <f t="shared" si="63"/>
        <v>Low (1-20%)</v>
      </c>
      <c r="AD291" t="str">
        <f t="shared" si="64"/>
        <v>Low (&lt;$50)</v>
      </c>
      <c r="AE291" t="str">
        <f t="shared" si="65"/>
        <v>Large (6+ units)</v>
      </c>
      <c r="AF291" t="str">
        <f t="shared" si="66"/>
        <v>Profitable</v>
      </c>
      <c r="AG291" t="str">
        <f t="shared" si="67"/>
        <v>High Margin</v>
      </c>
      <c r="AH291" t="str">
        <f t="shared" si="68"/>
        <v>Repeat Customer</v>
      </c>
      <c r="AI291" t="str">
        <f t="shared" si="69"/>
        <v>Standard (3-5 days)</v>
      </c>
    </row>
    <row r="292" spans="1:35" ht="15" customHeight="1" x14ac:dyDescent="0.3">
      <c r="A292">
        <v>291</v>
      </c>
      <c r="B292" t="s">
        <v>1253</v>
      </c>
      <c r="C292" s="12">
        <v>42694</v>
      </c>
      <c r="D292" s="12">
        <v>42698</v>
      </c>
      <c r="E292" t="s">
        <v>206</v>
      </c>
      <c r="F292" t="s">
        <v>1254</v>
      </c>
      <c r="G292" t="s">
        <v>1255</v>
      </c>
      <c r="H292" t="s">
        <v>285</v>
      </c>
      <c r="I292" t="s">
        <v>210</v>
      </c>
      <c r="J292" t="s">
        <v>680</v>
      </c>
      <c r="K292" t="s">
        <v>681</v>
      </c>
      <c r="L292">
        <v>43229</v>
      </c>
      <c r="M292" t="s">
        <v>331</v>
      </c>
      <c r="N292" t="s">
        <v>1258</v>
      </c>
      <c r="O292" t="s">
        <v>229</v>
      </c>
      <c r="P292" t="s">
        <v>230</v>
      </c>
      <c r="Q292" t="s">
        <v>1259</v>
      </c>
      <c r="R292" s="13">
        <v>18.495999999999999</v>
      </c>
      <c r="S292">
        <v>8</v>
      </c>
      <c r="T292" s="14">
        <v>0.2</v>
      </c>
      <c r="U292" s="13">
        <v>6.2423999999999999</v>
      </c>
      <c r="V292">
        <f t="shared" si="56"/>
        <v>2016</v>
      </c>
      <c r="W292" t="str">
        <f t="shared" si="57"/>
        <v>Nov</v>
      </c>
      <c r="X292" t="str">
        <f t="shared" si="58"/>
        <v>Q4</v>
      </c>
      <c r="Y292" t="str">
        <f t="shared" si="59"/>
        <v>Sun</v>
      </c>
      <c r="Z292" s="16">
        <f t="shared" si="60"/>
        <v>4</v>
      </c>
      <c r="AA292" s="13">
        <f t="shared" si="61"/>
        <v>2.3119999999999998</v>
      </c>
      <c r="AB292" s="14">
        <f t="shared" si="62"/>
        <v>0.33750000000000002</v>
      </c>
      <c r="AC292" t="str">
        <f t="shared" si="63"/>
        <v>Low (1-20%)</v>
      </c>
      <c r="AD292" t="str">
        <f t="shared" si="64"/>
        <v>Low (&lt;$50)</v>
      </c>
      <c r="AE292" t="str">
        <f t="shared" si="65"/>
        <v>Large (6+ units)</v>
      </c>
      <c r="AF292" t="str">
        <f t="shared" si="66"/>
        <v>Profitable</v>
      </c>
      <c r="AG292" t="str">
        <f t="shared" si="67"/>
        <v>High Margin</v>
      </c>
      <c r="AH292" t="str">
        <f t="shared" si="68"/>
        <v>Repeat Customer</v>
      </c>
      <c r="AI292" t="str">
        <f t="shared" si="69"/>
        <v>Standard (3-5 days)</v>
      </c>
    </row>
    <row r="293" spans="1:35" ht="15" customHeight="1" x14ac:dyDescent="0.3">
      <c r="A293">
        <v>292</v>
      </c>
      <c r="B293" t="s">
        <v>1253</v>
      </c>
      <c r="C293" s="12">
        <v>42694</v>
      </c>
      <c r="D293" s="12">
        <v>42698</v>
      </c>
      <c r="E293" t="s">
        <v>206</v>
      </c>
      <c r="F293" t="s">
        <v>1254</v>
      </c>
      <c r="G293" t="s">
        <v>1255</v>
      </c>
      <c r="H293" t="s">
        <v>285</v>
      </c>
      <c r="I293" t="s">
        <v>210</v>
      </c>
      <c r="J293" t="s">
        <v>680</v>
      </c>
      <c r="K293" t="s">
        <v>681</v>
      </c>
      <c r="L293">
        <v>43229</v>
      </c>
      <c r="M293" t="s">
        <v>331</v>
      </c>
      <c r="N293" t="s">
        <v>1260</v>
      </c>
      <c r="O293" t="s">
        <v>254</v>
      </c>
      <c r="P293" t="s">
        <v>344</v>
      </c>
      <c r="Q293" t="s">
        <v>1261</v>
      </c>
      <c r="R293" s="13">
        <v>255.98400000000001</v>
      </c>
      <c r="S293">
        <v>2</v>
      </c>
      <c r="T293" s="14">
        <v>0.2</v>
      </c>
      <c r="U293" s="13">
        <v>54.396599999999999</v>
      </c>
      <c r="V293">
        <f t="shared" si="56"/>
        <v>2016</v>
      </c>
      <c r="W293" t="str">
        <f t="shared" si="57"/>
        <v>Nov</v>
      </c>
      <c r="X293" t="str">
        <f t="shared" si="58"/>
        <v>Q4</v>
      </c>
      <c r="Y293" t="str">
        <f t="shared" si="59"/>
        <v>Sun</v>
      </c>
      <c r="Z293" s="16">
        <f t="shared" si="60"/>
        <v>4</v>
      </c>
      <c r="AA293" s="13">
        <f t="shared" si="61"/>
        <v>127.992</v>
      </c>
      <c r="AB293" s="14">
        <f t="shared" si="62"/>
        <v>0.21249999999999999</v>
      </c>
      <c r="AC293" t="str">
        <f t="shared" si="63"/>
        <v>Low (1-20%)</v>
      </c>
      <c r="AD293" t="str">
        <f t="shared" si="64"/>
        <v>High ($200-$500)</v>
      </c>
      <c r="AE293" t="str">
        <f t="shared" si="65"/>
        <v>Small (1-2 units)</v>
      </c>
      <c r="AF293" t="str">
        <f t="shared" si="66"/>
        <v>Profitable</v>
      </c>
      <c r="AG293" t="str">
        <f t="shared" si="67"/>
        <v>Healthy Margin</v>
      </c>
      <c r="AH293" t="str">
        <f t="shared" si="68"/>
        <v>Repeat Customer</v>
      </c>
      <c r="AI293" t="str">
        <f t="shared" si="69"/>
        <v>Standard (3-5 days)</v>
      </c>
    </row>
    <row r="294" spans="1:35" ht="15" customHeight="1" x14ac:dyDescent="0.3">
      <c r="A294">
        <v>293</v>
      </c>
      <c r="B294" t="s">
        <v>1253</v>
      </c>
      <c r="C294" s="12">
        <v>42694</v>
      </c>
      <c r="D294" s="12">
        <v>42698</v>
      </c>
      <c r="E294" t="s">
        <v>206</v>
      </c>
      <c r="F294" t="s">
        <v>1254</v>
      </c>
      <c r="G294" t="s">
        <v>1255</v>
      </c>
      <c r="H294" t="s">
        <v>285</v>
      </c>
      <c r="I294" t="s">
        <v>210</v>
      </c>
      <c r="J294" t="s">
        <v>680</v>
      </c>
      <c r="K294" t="s">
        <v>681</v>
      </c>
      <c r="L294">
        <v>43229</v>
      </c>
      <c r="M294" t="s">
        <v>331</v>
      </c>
      <c r="N294" t="s">
        <v>1262</v>
      </c>
      <c r="O294" t="s">
        <v>215</v>
      </c>
      <c r="P294" t="s">
        <v>216</v>
      </c>
      <c r="Q294" t="s">
        <v>1263</v>
      </c>
      <c r="R294" s="13">
        <v>86.97</v>
      </c>
      <c r="S294">
        <v>3</v>
      </c>
      <c r="T294" s="14">
        <v>0.5</v>
      </c>
      <c r="U294" s="13">
        <v>-48.703200000000002</v>
      </c>
      <c r="V294">
        <f t="shared" si="56"/>
        <v>2016</v>
      </c>
      <c r="W294" t="str">
        <f t="shared" si="57"/>
        <v>Nov</v>
      </c>
      <c r="X294" t="str">
        <f t="shared" si="58"/>
        <v>Q4</v>
      </c>
      <c r="Y294" t="str">
        <f t="shared" si="59"/>
        <v>Sun</v>
      </c>
      <c r="Z294" s="16">
        <f t="shared" si="60"/>
        <v>4</v>
      </c>
      <c r="AA294" s="13">
        <f t="shared" si="61"/>
        <v>28.99</v>
      </c>
      <c r="AB294" s="14">
        <f t="shared" si="62"/>
        <v>-0.56000000000000005</v>
      </c>
      <c r="AC294" t="str">
        <f t="shared" si="63"/>
        <v>High (40%+)</v>
      </c>
      <c r="AD294" t="str">
        <f t="shared" si="64"/>
        <v>Medium ($50-$200)</v>
      </c>
      <c r="AE294" t="str">
        <f t="shared" si="65"/>
        <v>Medium (3-5 units)</v>
      </c>
      <c r="AF294" t="str">
        <f t="shared" si="66"/>
        <v>Loss-Making</v>
      </c>
      <c r="AG294" t="str">
        <f t="shared" si="67"/>
        <v>Underperforming</v>
      </c>
      <c r="AH294" t="str">
        <f t="shared" si="68"/>
        <v>Repeat Customer</v>
      </c>
      <c r="AI294" t="str">
        <f t="shared" si="69"/>
        <v>Standard (3-5 days)</v>
      </c>
    </row>
    <row r="295" spans="1:35" ht="15" customHeight="1" x14ac:dyDescent="0.3">
      <c r="A295">
        <v>294</v>
      </c>
      <c r="B295" t="s">
        <v>1264</v>
      </c>
      <c r="C295" s="12">
        <v>41999</v>
      </c>
      <c r="D295" s="12">
        <v>42001</v>
      </c>
      <c r="E295" t="s">
        <v>371</v>
      </c>
      <c r="F295" t="s">
        <v>1265</v>
      </c>
      <c r="G295" t="s">
        <v>1266</v>
      </c>
      <c r="H295" t="s">
        <v>224</v>
      </c>
      <c r="I295" t="s">
        <v>210</v>
      </c>
      <c r="J295" t="s">
        <v>1267</v>
      </c>
      <c r="K295" t="s">
        <v>640</v>
      </c>
      <c r="L295">
        <v>80906</v>
      </c>
      <c r="M295" t="s">
        <v>227</v>
      </c>
      <c r="N295" t="s">
        <v>1268</v>
      </c>
      <c r="O295" t="s">
        <v>215</v>
      </c>
      <c r="P295" t="s">
        <v>248</v>
      </c>
      <c r="Q295" t="s">
        <v>1269</v>
      </c>
      <c r="R295" s="13">
        <v>300.416</v>
      </c>
      <c r="S295">
        <v>8</v>
      </c>
      <c r="T295" s="14">
        <v>0.2</v>
      </c>
      <c r="U295" s="13">
        <v>78.859200000000001</v>
      </c>
      <c r="V295">
        <f t="shared" si="56"/>
        <v>2014</v>
      </c>
      <c r="W295" t="str">
        <f t="shared" si="57"/>
        <v>Dec</v>
      </c>
      <c r="X295" t="str">
        <f t="shared" si="58"/>
        <v>Q4</v>
      </c>
      <c r="Y295" t="str">
        <f t="shared" si="59"/>
        <v>Fri</v>
      </c>
      <c r="Z295" s="16">
        <f t="shared" si="60"/>
        <v>2</v>
      </c>
      <c r="AA295" s="13">
        <f t="shared" si="61"/>
        <v>37.552</v>
      </c>
      <c r="AB295" s="14">
        <f t="shared" si="62"/>
        <v>0.26250000000000001</v>
      </c>
      <c r="AC295" t="str">
        <f t="shared" si="63"/>
        <v>Low (1-20%)</v>
      </c>
      <c r="AD295" t="str">
        <f t="shared" si="64"/>
        <v>High ($200-$500)</v>
      </c>
      <c r="AE295" t="str">
        <f t="shared" si="65"/>
        <v>Large (6+ units)</v>
      </c>
      <c r="AF295" t="str">
        <f t="shared" si="66"/>
        <v>Profitable</v>
      </c>
      <c r="AG295" t="str">
        <f t="shared" si="67"/>
        <v>High Margin</v>
      </c>
      <c r="AH295" t="str">
        <f t="shared" si="68"/>
        <v>Repeat Customer</v>
      </c>
      <c r="AI295" t="str">
        <f t="shared" si="69"/>
        <v>Fast (&lt;=2 days)</v>
      </c>
    </row>
    <row r="296" spans="1:35" ht="15" customHeight="1" x14ac:dyDescent="0.3">
      <c r="A296">
        <v>295</v>
      </c>
      <c r="B296" t="s">
        <v>1264</v>
      </c>
      <c r="C296" s="12">
        <v>41999</v>
      </c>
      <c r="D296" s="12">
        <v>42001</v>
      </c>
      <c r="E296" t="s">
        <v>371</v>
      </c>
      <c r="F296" t="s">
        <v>1265</v>
      </c>
      <c r="G296" t="s">
        <v>1266</v>
      </c>
      <c r="H296" t="s">
        <v>224</v>
      </c>
      <c r="I296" t="s">
        <v>210</v>
      </c>
      <c r="J296" t="s">
        <v>1267</v>
      </c>
      <c r="K296" t="s">
        <v>640</v>
      </c>
      <c r="L296">
        <v>80906</v>
      </c>
      <c r="M296" t="s">
        <v>227</v>
      </c>
      <c r="N296" t="s">
        <v>1270</v>
      </c>
      <c r="O296" t="s">
        <v>215</v>
      </c>
      <c r="P296" t="s">
        <v>219</v>
      </c>
      <c r="Q296" t="s">
        <v>1271</v>
      </c>
      <c r="R296" s="13">
        <v>230.352</v>
      </c>
      <c r="S296">
        <v>3</v>
      </c>
      <c r="T296" s="14">
        <v>0.2</v>
      </c>
      <c r="U296" s="13">
        <v>20.155799999999999</v>
      </c>
      <c r="V296">
        <f t="shared" si="56"/>
        <v>2014</v>
      </c>
      <c r="W296" t="str">
        <f t="shared" si="57"/>
        <v>Dec</v>
      </c>
      <c r="X296" t="str">
        <f t="shared" si="58"/>
        <v>Q4</v>
      </c>
      <c r="Y296" t="str">
        <f t="shared" si="59"/>
        <v>Fri</v>
      </c>
      <c r="Z296" s="16">
        <f t="shared" si="60"/>
        <v>2</v>
      </c>
      <c r="AA296" s="13">
        <f t="shared" si="61"/>
        <v>76.784000000000006</v>
      </c>
      <c r="AB296" s="14">
        <f t="shared" si="62"/>
        <v>8.7499999999999994E-2</v>
      </c>
      <c r="AC296" t="str">
        <f t="shared" si="63"/>
        <v>Low (1-20%)</v>
      </c>
      <c r="AD296" t="str">
        <f t="shared" si="64"/>
        <v>High ($200-$500)</v>
      </c>
      <c r="AE296" t="str">
        <f t="shared" si="65"/>
        <v>Medium (3-5 units)</v>
      </c>
      <c r="AF296" t="str">
        <f t="shared" si="66"/>
        <v>Profitable</v>
      </c>
      <c r="AG296" t="str">
        <f t="shared" si="67"/>
        <v>Low Margin</v>
      </c>
      <c r="AH296" t="str">
        <f t="shared" si="68"/>
        <v>Repeat Customer</v>
      </c>
      <c r="AI296" t="str">
        <f t="shared" si="69"/>
        <v>Fast (&lt;=2 days)</v>
      </c>
    </row>
    <row r="297" spans="1:35" ht="15" customHeight="1" x14ac:dyDescent="0.3">
      <c r="A297">
        <v>296</v>
      </c>
      <c r="B297" t="s">
        <v>1264</v>
      </c>
      <c r="C297" s="12">
        <v>41999</v>
      </c>
      <c r="D297" s="12">
        <v>42001</v>
      </c>
      <c r="E297" t="s">
        <v>371</v>
      </c>
      <c r="F297" t="s">
        <v>1265</v>
      </c>
      <c r="G297" t="s">
        <v>1266</v>
      </c>
      <c r="H297" t="s">
        <v>224</v>
      </c>
      <c r="I297" t="s">
        <v>210</v>
      </c>
      <c r="J297" t="s">
        <v>1267</v>
      </c>
      <c r="K297" t="s">
        <v>640</v>
      </c>
      <c r="L297">
        <v>80906</v>
      </c>
      <c r="M297" t="s">
        <v>227</v>
      </c>
      <c r="N297" t="s">
        <v>1272</v>
      </c>
      <c r="O297" t="s">
        <v>215</v>
      </c>
      <c r="P297" t="s">
        <v>248</v>
      </c>
      <c r="Q297" t="s">
        <v>1273</v>
      </c>
      <c r="R297" s="13">
        <v>218.352</v>
      </c>
      <c r="S297">
        <v>3</v>
      </c>
      <c r="T297" s="14">
        <v>0.2</v>
      </c>
      <c r="U297" s="13">
        <v>-24.564599999999999</v>
      </c>
      <c r="V297">
        <f t="shared" si="56"/>
        <v>2014</v>
      </c>
      <c r="W297" t="str">
        <f t="shared" si="57"/>
        <v>Dec</v>
      </c>
      <c r="X297" t="str">
        <f t="shared" si="58"/>
        <v>Q4</v>
      </c>
      <c r="Y297" t="str">
        <f t="shared" si="59"/>
        <v>Fri</v>
      </c>
      <c r="Z297" s="16">
        <f t="shared" si="60"/>
        <v>2</v>
      </c>
      <c r="AA297" s="13">
        <f t="shared" si="61"/>
        <v>72.784000000000006</v>
      </c>
      <c r="AB297" s="14">
        <f t="shared" si="62"/>
        <v>-0.11249999999999999</v>
      </c>
      <c r="AC297" t="str">
        <f t="shared" si="63"/>
        <v>Low (1-20%)</v>
      </c>
      <c r="AD297" t="str">
        <f t="shared" si="64"/>
        <v>High ($200-$500)</v>
      </c>
      <c r="AE297" t="str">
        <f t="shared" si="65"/>
        <v>Medium (3-5 units)</v>
      </c>
      <c r="AF297" t="str">
        <f t="shared" si="66"/>
        <v>Loss-Making</v>
      </c>
      <c r="AG297" t="str">
        <f t="shared" si="67"/>
        <v>Underperforming</v>
      </c>
      <c r="AH297" t="str">
        <f t="shared" si="68"/>
        <v>Repeat Customer</v>
      </c>
      <c r="AI297" t="str">
        <f t="shared" si="69"/>
        <v>Fast (&lt;=2 days)</v>
      </c>
    </row>
    <row r="298" spans="1:35" ht="15" customHeight="1" x14ac:dyDescent="0.3">
      <c r="A298">
        <v>297</v>
      </c>
      <c r="B298" t="s">
        <v>1264</v>
      </c>
      <c r="C298" s="12">
        <v>41999</v>
      </c>
      <c r="D298" s="12">
        <v>42001</v>
      </c>
      <c r="E298" t="s">
        <v>371</v>
      </c>
      <c r="F298" t="s">
        <v>1265</v>
      </c>
      <c r="G298" t="s">
        <v>1266</v>
      </c>
      <c r="H298" t="s">
        <v>224</v>
      </c>
      <c r="I298" t="s">
        <v>210</v>
      </c>
      <c r="J298" t="s">
        <v>1267</v>
      </c>
      <c r="K298" t="s">
        <v>640</v>
      </c>
      <c r="L298">
        <v>80906</v>
      </c>
      <c r="M298" t="s">
        <v>227</v>
      </c>
      <c r="N298" t="s">
        <v>1274</v>
      </c>
      <c r="O298" t="s">
        <v>229</v>
      </c>
      <c r="P298" t="s">
        <v>258</v>
      </c>
      <c r="Q298" t="s">
        <v>1275</v>
      </c>
      <c r="R298" s="13">
        <v>78.599999999999994</v>
      </c>
      <c r="S298">
        <v>5</v>
      </c>
      <c r="T298" s="14">
        <v>0.7</v>
      </c>
      <c r="U298" s="13">
        <v>-62.88</v>
      </c>
      <c r="V298">
        <f t="shared" si="56"/>
        <v>2014</v>
      </c>
      <c r="W298" t="str">
        <f t="shared" si="57"/>
        <v>Dec</v>
      </c>
      <c r="X298" t="str">
        <f t="shared" si="58"/>
        <v>Q4</v>
      </c>
      <c r="Y298" t="str">
        <f t="shared" si="59"/>
        <v>Fri</v>
      </c>
      <c r="Z298" s="16">
        <f t="shared" si="60"/>
        <v>2</v>
      </c>
      <c r="AA298" s="13">
        <f t="shared" si="61"/>
        <v>15.719999999999999</v>
      </c>
      <c r="AB298" s="14">
        <f t="shared" si="62"/>
        <v>-0.8</v>
      </c>
      <c r="AC298" t="str">
        <f t="shared" si="63"/>
        <v>High (40%+)</v>
      </c>
      <c r="AD298" t="str">
        <f t="shared" si="64"/>
        <v>Medium ($50-$200)</v>
      </c>
      <c r="AE298" t="str">
        <f t="shared" si="65"/>
        <v>Medium (3-5 units)</v>
      </c>
      <c r="AF298" t="str">
        <f t="shared" si="66"/>
        <v>Loss-Making</v>
      </c>
      <c r="AG298" t="str">
        <f t="shared" si="67"/>
        <v>Underperforming</v>
      </c>
      <c r="AH298" t="str">
        <f t="shared" si="68"/>
        <v>Repeat Customer</v>
      </c>
      <c r="AI298" t="str">
        <f t="shared" si="69"/>
        <v>Fast (&lt;=2 days)</v>
      </c>
    </row>
    <row r="299" spans="1:35" ht="15" customHeight="1" x14ac:dyDescent="0.3">
      <c r="A299">
        <v>298</v>
      </c>
      <c r="B299" t="s">
        <v>1264</v>
      </c>
      <c r="C299" s="12">
        <v>41999</v>
      </c>
      <c r="D299" s="12">
        <v>42001</v>
      </c>
      <c r="E299" t="s">
        <v>371</v>
      </c>
      <c r="F299" t="s">
        <v>1265</v>
      </c>
      <c r="G299" t="s">
        <v>1266</v>
      </c>
      <c r="H299" t="s">
        <v>224</v>
      </c>
      <c r="I299" t="s">
        <v>210</v>
      </c>
      <c r="J299" t="s">
        <v>1267</v>
      </c>
      <c r="K299" t="s">
        <v>640</v>
      </c>
      <c r="L299">
        <v>80906</v>
      </c>
      <c r="M299" t="s">
        <v>227</v>
      </c>
      <c r="N299" t="s">
        <v>1276</v>
      </c>
      <c r="O299" t="s">
        <v>229</v>
      </c>
      <c r="P299" t="s">
        <v>452</v>
      </c>
      <c r="Q299" t="s">
        <v>1277</v>
      </c>
      <c r="R299" s="13">
        <v>27.552</v>
      </c>
      <c r="S299">
        <v>3</v>
      </c>
      <c r="T299" s="14">
        <v>0.2</v>
      </c>
      <c r="U299" s="13">
        <v>9.2988</v>
      </c>
      <c r="V299">
        <f t="shared" si="56"/>
        <v>2014</v>
      </c>
      <c r="W299" t="str">
        <f t="shared" si="57"/>
        <v>Dec</v>
      </c>
      <c r="X299" t="str">
        <f t="shared" si="58"/>
        <v>Q4</v>
      </c>
      <c r="Y299" t="str">
        <f t="shared" si="59"/>
        <v>Fri</v>
      </c>
      <c r="Z299" s="16">
        <f t="shared" si="60"/>
        <v>2</v>
      </c>
      <c r="AA299" s="13">
        <f t="shared" si="61"/>
        <v>9.1839999999999993</v>
      </c>
      <c r="AB299" s="14">
        <f t="shared" si="62"/>
        <v>0.33750000000000002</v>
      </c>
      <c r="AC299" t="str">
        <f t="shared" si="63"/>
        <v>Low (1-20%)</v>
      </c>
      <c r="AD299" t="str">
        <f t="shared" si="64"/>
        <v>Low (&lt;$50)</v>
      </c>
      <c r="AE299" t="str">
        <f t="shared" si="65"/>
        <v>Medium (3-5 units)</v>
      </c>
      <c r="AF299" t="str">
        <f t="shared" si="66"/>
        <v>Profitable</v>
      </c>
      <c r="AG299" t="str">
        <f t="shared" si="67"/>
        <v>High Margin</v>
      </c>
      <c r="AH299" t="str">
        <f t="shared" si="68"/>
        <v>Repeat Customer</v>
      </c>
      <c r="AI299" t="str">
        <f t="shared" si="69"/>
        <v>Fast (&lt;=2 days)</v>
      </c>
    </row>
    <row r="300" spans="1:35" ht="15" customHeight="1" x14ac:dyDescent="0.3">
      <c r="A300">
        <v>299</v>
      </c>
      <c r="B300" t="s">
        <v>1278</v>
      </c>
      <c r="C300" s="12">
        <v>42671</v>
      </c>
      <c r="D300" s="12">
        <v>42677</v>
      </c>
      <c r="E300" t="s">
        <v>233</v>
      </c>
      <c r="F300" t="s">
        <v>765</v>
      </c>
      <c r="G300" t="s">
        <v>766</v>
      </c>
      <c r="H300" t="s">
        <v>224</v>
      </c>
      <c r="I300" t="s">
        <v>210</v>
      </c>
      <c r="J300" t="s">
        <v>1279</v>
      </c>
      <c r="K300" t="s">
        <v>973</v>
      </c>
      <c r="L300">
        <v>7109</v>
      </c>
      <c r="M300" t="s">
        <v>331</v>
      </c>
      <c r="N300" t="s">
        <v>1280</v>
      </c>
      <c r="O300" t="s">
        <v>229</v>
      </c>
      <c r="P300" t="s">
        <v>273</v>
      </c>
      <c r="Q300" t="s">
        <v>1281</v>
      </c>
      <c r="R300" s="13">
        <v>32.4</v>
      </c>
      <c r="S300">
        <v>5</v>
      </c>
      <c r="T300" s="14">
        <v>0</v>
      </c>
      <c r="U300" s="13">
        <v>15.552</v>
      </c>
      <c r="V300">
        <f t="shared" si="56"/>
        <v>2016</v>
      </c>
      <c r="W300" t="str">
        <f t="shared" si="57"/>
        <v>Oct</v>
      </c>
      <c r="X300" t="str">
        <f t="shared" si="58"/>
        <v>Q4</v>
      </c>
      <c r="Y300" t="str">
        <f t="shared" si="59"/>
        <v>Fri</v>
      </c>
      <c r="Z300" s="16">
        <f t="shared" si="60"/>
        <v>6</v>
      </c>
      <c r="AA300" s="13">
        <f t="shared" si="61"/>
        <v>6.4799999999999995</v>
      </c>
      <c r="AB300" s="14">
        <f t="shared" si="62"/>
        <v>0.48</v>
      </c>
      <c r="AC300" t="str">
        <f t="shared" si="63"/>
        <v>No Discount</v>
      </c>
      <c r="AD300" t="str">
        <f t="shared" si="64"/>
        <v>Low (&lt;$50)</v>
      </c>
      <c r="AE300" t="str">
        <f t="shared" si="65"/>
        <v>Medium (3-5 units)</v>
      </c>
      <c r="AF300" t="str">
        <f t="shared" si="66"/>
        <v>Profitable</v>
      </c>
      <c r="AG300" t="str">
        <f t="shared" si="67"/>
        <v>High Margin</v>
      </c>
      <c r="AH300" t="str">
        <f t="shared" si="68"/>
        <v>Repeat Customer</v>
      </c>
      <c r="AI300" t="str">
        <f t="shared" si="69"/>
        <v>Slow (6+ days)</v>
      </c>
    </row>
    <row r="301" spans="1:35" ht="15" customHeight="1" x14ac:dyDescent="0.3">
      <c r="A301">
        <v>300</v>
      </c>
      <c r="B301" t="s">
        <v>1278</v>
      </c>
      <c r="C301" s="12">
        <v>42671</v>
      </c>
      <c r="D301" s="12">
        <v>42677</v>
      </c>
      <c r="E301" t="s">
        <v>233</v>
      </c>
      <c r="F301" t="s">
        <v>765</v>
      </c>
      <c r="G301" t="s">
        <v>766</v>
      </c>
      <c r="H301" t="s">
        <v>224</v>
      </c>
      <c r="I301" t="s">
        <v>210</v>
      </c>
      <c r="J301" t="s">
        <v>1279</v>
      </c>
      <c r="K301" t="s">
        <v>973</v>
      </c>
      <c r="L301">
        <v>7109</v>
      </c>
      <c r="M301" t="s">
        <v>331</v>
      </c>
      <c r="N301" t="s">
        <v>1282</v>
      </c>
      <c r="O301" t="s">
        <v>229</v>
      </c>
      <c r="P301" t="s">
        <v>242</v>
      </c>
      <c r="Q301" t="s">
        <v>1283</v>
      </c>
      <c r="R301" s="13">
        <v>1082.48</v>
      </c>
      <c r="S301">
        <v>8</v>
      </c>
      <c r="T301" s="14">
        <v>0</v>
      </c>
      <c r="U301" s="13">
        <v>10.824800000000099</v>
      </c>
      <c r="V301">
        <f t="shared" si="56"/>
        <v>2016</v>
      </c>
      <c r="W301" t="str">
        <f t="shared" si="57"/>
        <v>Oct</v>
      </c>
      <c r="X301" t="str">
        <f t="shared" si="58"/>
        <v>Q4</v>
      </c>
      <c r="Y301" t="str">
        <f t="shared" si="59"/>
        <v>Fri</v>
      </c>
      <c r="Z301" s="16">
        <f t="shared" si="60"/>
        <v>6</v>
      </c>
      <c r="AA301" s="13">
        <f t="shared" si="61"/>
        <v>135.31</v>
      </c>
      <c r="AB301" s="14">
        <f t="shared" si="62"/>
        <v>1.0000000000000092E-2</v>
      </c>
      <c r="AC301" t="str">
        <f t="shared" si="63"/>
        <v>No Discount</v>
      </c>
      <c r="AD301" t="str">
        <f t="shared" si="64"/>
        <v>Premium ($500+)</v>
      </c>
      <c r="AE301" t="str">
        <f t="shared" si="65"/>
        <v>Large (6+ units)</v>
      </c>
      <c r="AF301" t="str">
        <f t="shared" si="66"/>
        <v>Profitable</v>
      </c>
      <c r="AG301" t="str">
        <f t="shared" si="67"/>
        <v>Low Margin</v>
      </c>
      <c r="AH301" t="str">
        <f t="shared" si="68"/>
        <v>Repeat Customer</v>
      </c>
      <c r="AI301" t="str">
        <f t="shared" si="69"/>
        <v>Slow (6+ days)</v>
      </c>
    </row>
    <row r="302" spans="1:35" ht="15" customHeight="1" x14ac:dyDescent="0.3">
      <c r="A302">
        <v>301</v>
      </c>
      <c r="B302" t="s">
        <v>1278</v>
      </c>
      <c r="C302" s="12">
        <v>42671</v>
      </c>
      <c r="D302" s="12">
        <v>42677</v>
      </c>
      <c r="E302" t="s">
        <v>233</v>
      </c>
      <c r="F302" t="s">
        <v>765</v>
      </c>
      <c r="G302" t="s">
        <v>766</v>
      </c>
      <c r="H302" t="s">
        <v>224</v>
      </c>
      <c r="I302" t="s">
        <v>210</v>
      </c>
      <c r="J302" t="s">
        <v>1279</v>
      </c>
      <c r="K302" t="s">
        <v>973</v>
      </c>
      <c r="L302">
        <v>7109</v>
      </c>
      <c r="M302" t="s">
        <v>331</v>
      </c>
      <c r="N302" t="s">
        <v>1284</v>
      </c>
      <c r="O302" t="s">
        <v>229</v>
      </c>
      <c r="P302" t="s">
        <v>273</v>
      </c>
      <c r="Q302" t="s">
        <v>1285</v>
      </c>
      <c r="R302" s="13">
        <v>56.91</v>
      </c>
      <c r="S302">
        <v>3</v>
      </c>
      <c r="T302" s="14">
        <v>0</v>
      </c>
      <c r="U302" s="13">
        <v>27.316800000000001</v>
      </c>
      <c r="V302">
        <f t="shared" si="56"/>
        <v>2016</v>
      </c>
      <c r="W302" t="str">
        <f t="shared" si="57"/>
        <v>Oct</v>
      </c>
      <c r="X302" t="str">
        <f t="shared" si="58"/>
        <v>Q4</v>
      </c>
      <c r="Y302" t="str">
        <f t="shared" si="59"/>
        <v>Fri</v>
      </c>
      <c r="Z302" s="16">
        <f t="shared" si="60"/>
        <v>6</v>
      </c>
      <c r="AA302" s="13">
        <f t="shared" si="61"/>
        <v>18.97</v>
      </c>
      <c r="AB302" s="14">
        <f t="shared" si="62"/>
        <v>0.48000000000000004</v>
      </c>
      <c r="AC302" t="str">
        <f t="shared" si="63"/>
        <v>No Discount</v>
      </c>
      <c r="AD302" t="str">
        <f t="shared" si="64"/>
        <v>Medium ($50-$200)</v>
      </c>
      <c r="AE302" t="str">
        <f t="shared" si="65"/>
        <v>Medium (3-5 units)</v>
      </c>
      <c r="AF302" t="str">
        <f t="shared" si="66"/>
        <v>Profitable</v>
      </c>
      <c r="AG302" t="str">
        <f t="shared" si="67"/>
        <v>High Margin</v>
      </c>
      <c r="AH302" t="str">
        <f t="shared" si="68"/>
        <v>Repeat Customer</v>
      </c>
      <c r="AI302" t="str">
        <f t="shared" si="69"/>
        <v>Slow (6+ days)</v>
      </c>
    </row>
    <row r="303" spans="1:35" ht="15" customHeight="1" x14ac:dyDescent="0.3">
      <c r="A303">
        <v>302</v>
      </c>
      <c r="B303" t="s">
        <v>1278</v>
      </c>
      <c r="C303" s="12">
        <v>42671</v>
      </c>
      <c r="D303" s="12">
        <v>42677</v>
      </c>
      <c r="E303" t="s">
        <v>233</v>
      </c>
      <c r="F303" t="s">
        <v>765</v>
      </c>
      <c r="G303" t="s">
        <v>766</v>
      </c>
      <c r="H303" t="s">
        <v>224</v>
      </c>
      <c r="I303" t="s">
        <v>210</v>
      </c>
      <c r="J303" t="s">
        <v>1279</v>
      </c>
      <c r="K303" t="s">
        <v>973</v>
      </c>
      <c r="L303">
        <v>7109</v>
      </c>
      <c r="M303" t="s">
        <v>331</v>
      </c>
      <c r="N303" t="s">
        <v>1286</v>
      </c>
      <c r="O303" t="s">
        <v>215</v>
      </c>
      <c r="P303" t="s">
        <v>248</v>
      </c>
      <c r="Q303" t="s">
        <v>1287</v>
      </c>
      <c r="R303" s="13">
        <v>77.599999999999994</v>
      </c>
      <c r="S303">
        <v>4</v>
      </c>
      <c r="T303" s="14">
        <v>0</v>
      </c>
      <c r="U303" s="13">
        <v>38.024000000000001</v>
      </c>
      <c r="V303">
        <f t="shared" si="56"/>
        <v>2016</v>
      </c>
      <c r="W303" t="str">
        <f t="shared" si="57"/>
        <v>Oct</v>
      </c>
      <c r="X303" t="str">
        <f t="shared" si="58"/>
        <v>Q4</v>
      </c>
      <c r="Y303" t="str">
        <f t="shared" si="59"/>
        <v>Fri</v>
      </c>
      <c r="Z303" s="16">
        <f t="shared" si="60"/>
        <v>6</v>
      </c>
      <c r="AA303" s="13">
        <f t="shared" si="61"/>
        <v>19.399999999999999</v>
      </c>
      <c r="AB303" s="14">
        <f t="shared" si="62"/>
        <v>0.49000000000000005</v>
      </c>
      <c r="AC303" t="str">
        <f t="shared" si="63"/>
        <v>No Discount</v>
      </c>
      <c r="AD303" t="str">
        <f t="shared" si="64"/>
        <v>Medium ($50-$200)</v>
      </c>
      <c r="AE303" t="str">
        <f t="shared" si="65"/>
        <v>Medium (3-5 units)</v>
      </c>
      <c r="AF303" t="str">
        <f t="shared" si="66"/>
        <v>Profitable</v>
      </c>
      <c r="AG303" t="str">
        <f t="shared" si="67"/>
        <v>High Margin</v>
      </c>
      <c r="AH303" t="str">
        <f t="shared" si="68"/>
        <v>Repeat Customer</v>
      </c>
      <c r="AI303" t="str">
        <f t="shared" si="69"/>
        <v>Slow (6+ days)</v>
      </c>
    </row>
    <row r="304" spans="1:35" ht="15" customHeight="1" x14ac:dyDescent="0.3">
      <c r="A304">
        <v>303</v>
      </c>
      <c r="B304" t="s">
        <v>1278</v>
      </c>
      <c r="C304" s="12">
        <v>42671</v>
      </c>
      <c r="D304" s="12">
        <v>42677</v>
      </c>
      <c r="E304" t="s">
        <v>233</v>
      </c>
      <c r="F304" t="s">
        <v>765</v>
      </c>
      <c r="G304" t="s">
        <v>766</v>
      </c>
      <c r="H304" t="s">
        <v>224</v>
      </c>
      <c r="I304" t="s">
        <v>210</v>
      </c>
      <c r="J304" t="s">
        <v>1279</v>
      </c>
      <c r="K304" t="s">
        <v>973</v>
      </c>
      <c r="L304">
        <v>7109</v>
      </c>
      <c r="M304" t="s">
        <v>331</v>
      </c>
      <c r="N304" t="s">
        <v>1288</v>
      </c>
      <c r="O304" t="s">
        <v>229</v>
      </c>
      <c r="P304" t="s">
        <v>258</v>
      </c>
      <c r="Q304" t="s">
        <v>1289</v>
      </c>
      <c r="R304" s="13">
        <v>14.28</v>
      </c>
      <c r="S304">
        <v>1</v>
      </c>
      <c r="T304" s="14">
        <v>0</v>
      </c>
      <c r="U304" s="13">
        <v>6.5688000000000004</v>
      </c>
      <c r="V304">
        <f t="shared" si="56"/>
        <v>2016</v>
      </c>
      <c r="W304" t="str">
        <f t="shared" si="57"/>
        <v>Oct</v>
      </c>
      <c r="X304" t="str">
        <f t="shared" si="58"/>
        <v>Q4</v>
      </c>
      <c r="Y304" t="str">
        <f t="shared" si="59"/>
        <v>Fri</v>
      </c>
      <c r="Z304" s="16">
        <f t="shared" si="60"/>
        <v>6</v>
      </c>
      <c r="AA304" s="13">
        <f t="shared" si="61"/>
        <v>14.28</v>
      </c>
      <c r="AB304" s="14">
        <f t="shared" si="62"/>
        <v>0.46000000000000008</v>
      </c>
      <c r="AC304" t="str">
        <f t="shared" si="63"/>
        <v>No Discount</v>
      </c>
      <c r="AD304" t="str">
        <f t="shared" si="64"/>
        <v>Low (&lt;$50)</v>
      </c>
      <c r="AE304" t="str">
        <f t="shared" si="65"/>
        <v>Small (1-2 units)</v>
      </c>
      <c r="AF304" t="str">
        <f t="shared" si="66"/>
        <v>Profitable</v>
      </c>
      <c r="AG304" t="str">
        <f t="shared" si="67"/>
        <v>High Margin</v>
      </c>
      <c r="AH304" t="str">
        <f t="shared" si="68"/>
        <v>Repeat Customer</v>
      </c>
      <c r="AI304" t="str">
        <f t="shared" si="69"/>
        <v>Slow (6+ days)</v>
      </c>
    </row>
    <row r="305" spans="1:35" ht="15" customHeight="1" x14ac:dyDescent="0.3">
      <c r="A305">
        <v>304</v>
      </c>
      <c r="B305" t="s">
        <v>1290</v>
      </c>
      <c r="C305" s="12">
        <v>43058</v>
      </c>
      <c r="D305" s="12">
        <v>43062</v>
      </c>
      <c r="E305" t="s">
        <v>233</v>
      </c>
      <c r="F305" t="s">
        <v>1044</v>
      </c>
      <c r="G305" t="s">
        <v>1045</v>
      </c>
      <c r="H305" t="s">
        <v>209</v>
      </c>
      <c r="I305" t="s">
        <v>210</v>
      </c>
      <c r="J305" t="s">
        <v>486</v>
      </c>
      <c r="K305" t="s">
        <v>394</v>
      </c>
      <c r="L305">
        <v>60623</v>
      </c>
      <c r="M305" t="s">
        <v>288</v>
      </c>
      <c r="N305" t="s">
        <v>1291</v>
      </c>
      <c r="O305" t="s">
        <v>215</v>
      </c>
      <c r="P305" t="s">
        <v>239</v>
      </c>
      <c r="Q305" t="s">
        <v>1292</v>
      </c>
      <c r="R305" s="13">
        <v>219.07499999999999</v>
      </c>
      <c r="S305">
        <v>3</v>
      </c>
      <c r="T305" s="14">
        <v>0.5</v>
      </c>
      <c r="U305" s="13">
        <v>-131.44499999999999</v>
      </c>
      <c r="V305">
        <f t="shared" si="56"/>
        <v>2017</v>
      </c>
      <c r="W305" t="str">
        <f t="shared" si="57"/>
        <v>Nov</v>
      </c>
      <c r="X305" t="str">
        <f t="shared" si="58"/>
        <v>Q4</v>
      </c>
      <c r="Y305" t="str">
        <f t="shared" si="59"/>
        <v>Sun</v>
      </c>
      <c r="Z305" s="16">
        <f t="shared" si="60"/>
        <v>4</v>
      </c>
      <c r="AA305" s="13">
        <f t="shared" si="61"/>
        <v>73.024999999999991</v>
      </c>
      <c r="AB305" s="14">
        <f t="shared" si="62"/>
        <v>-0.6</v>
      </c>
      <c r="AC305" t="str">
        <f t="shared" si="63"/>
        <v>High (40%+)</v>
      </c>
      <c r="AD305" t="str">
        <f t="shared" si="64"/>
        <v>High ($200-$500)</v>
      </c>
      <c r="AE305" t="str">
        <f t="shared" si="65"/>
        <v>Medium (3-5 units)</v>
      </c>
      <c r="AF305" t="str">
        <f t="shared" si="66"/>
        <v>Loss-Making</v>
      </c>
      <c r="AG305" t="str">
        <f t="shared" si="67"/>
        <v>Underperforming</v>
      </c>
      <c r="AH305" t="str">
        <f t="shared" si="68"/>
        <v>Repeat Customer</v>
      </c>
      <c r="AI305" t="str">
        <f t="shared" si="69"/>
        <v>Standard (3-5 days)</v>
      </c>
    </row>
    <row r="306" spans="1:35" ht="15" customHeight="1" x14ac:dyDescent="0.3">
      <c r="A306">
        <v>305</v>
      </c>
      <c r="B306" t="s">
        <v>1293</v>
      </c>
      <c r="C306" s="12">
        <v>42128</v>
      </c>
      <c r="D306" s="12">
        <v>42133</v>
      </c>
      <c r="E306" t="s">
        <v>206</v>
      </c>
      <c r="F306" t="s">
        <v>1294</v>
      </c>
      <c r="G306" t="s">
        <v>1295</v>
      </c>
      <c r="H306" t="s">
        <v>224</v>
      </c>
      <c r="I306" t="s">
        <v>210</v>
      </c>
      <c r="J306" t="s">
        <v>449</v>
      </c>
      <c r="K306" t="s">
        <v>450</v>
      </c>
      <c r="L306">
        <v>10024</v>
      </c>
      <c r="M306" t="s">
        <v>331</v>
      </c>
      <c r="N306" t="s">
        <v>1296</v>
      </c>
      <c r="O306" t="s">
        <v>215</v>
      </c>
      <c r="P306" t="s">
        <v>248</v>
      </c>
      <c r="Q306" t="s">
        <v>1297</v>
      </c>
      <c r="R306" s="13">
        <v>26.8</v>
      </c>
      <c r="S306">
        <v>2</v>
      </c>
      <c r="T306" s="14">
        <v>0</v>
      </c>
      <c r="U306" s="13">
        <v>12.864000000000001</v>
      </c>
      <c r="V306">
        <f t="shared" si="56"/>
        <v>2015</v>
      </c>
      <c r="W306" t="str">
        <f t="shared" si="57"/>
        <v>May</v>
      </c>
      <c r="X306" t="str">
        <f t="shared" si="58"/>
        <v>Q2</v>
      </c>
      <c r="Y306" t="str">
        <f t="shared" si="59"/>
        <v>Mon</v>
      </c>
      <c r="Z306" s="16">
        <f t="shared" si="60"/>
        <v>5</v>
      </c>
      <c r="AA306" s="13">
        <f t="shared" si="61"/>
        <v>13.4</v>
      </c>
      <c r="AB306" s="14">
        <f t="shared" si="62"/>
        <v>0.48000000000000004</v>
      </c>
      <c r="AC306" t="str">
        <f t="shared" si="63"/>
        <v>No Discount</v>
      </c>
      <c r="AD306" t="str">
        <f t="shared" si="64"/>
        <v>Low (&lt;$50)</v>
      </c>
      <c r="AE306" t="str">
        <f t="shared" si="65"/>
        <v>Small (1-2 units)</v>
      </c>
      <c r="AF306" t="str">
        <f t="shared" si="66"/>
        <v>Profitable</v>
      </c>
      <c r="AG306" t="str">
        <f t="shared" si="67"/>
        <v>High Margin</v>
      </c>
      <c r="AH306" t="str">
        <f t="shared" si="68"/>
        <v>Single Purchase</v>
      </c>
      <c r="AI306" t="str">
        <f t="shared" si="69"/>
        <v>Standard (3-5 days)</v>
      </c>
    </row>
    <row r="307" spans="1:35" ht="15" customHeight="1" x14ac:dyDescent="0.3">
      <c r="A307">
        <v>306</v>
      </c>
      <c r="B307" t="s">
        <v>1298</v>
      </c>
      <c r="C307" s="12">
        <v>42003</v>
      </c>
      <c r="D307" s="12">
        <v>42008</v>
      </c>
      <c r="E307" t="s">
        <v>233</v>
      </c>
      <c r="F307" t="s">
        <v>526</v>
      </c>
      <c r="G307" t="s">
        <v>527</v>
      </c>
      <c r="H307" t="s">
        <v>224</v>
      </c>
      <c r="I307" t="s">
        <v>210</v>
      </c>
      <c r="J307" t="s">
        <v>1299</v>
      </c>
      <c r="K307" t="s">
        <v>421</v>
      </c>
      <c r="L307">
        <v>48180</v>
      </c>
      <c r="M307" t="s">
        <v>288</v>
      </c>
      <c r="N307" t="s">
        <v>1300</v>
      </c>
      <c r="O307" t="s">
        <v>229</v>
      </c>
      <c r="P307" t="s">
        <v>251</v>
      </c>
      <c r="Q307" t="s">
        <v>1301</v>
      </c>
      <c r="R307" s="13">
        <v>9.84</v>
      </c>
      <c r="S307">
        <v>3</v>
      </c>
      <c r="T307" s="14">
        <v>0</v>
      </c>
      <c r="U307" s="13">
        <v>2.8536000000000001</v>
      </c>
      <c r="V307">
        <f t="shared" si="56"/>
        <v>2014</v>
      </c>
      <c r="W307" t="str">
        <f t="shared" si="57"/>
        <v>Dec</v>
      </c>
      <c r="X307" t="str">
        <f t="shared" si="58"/>
        <v>Q4</v>
      </c>
      <c r="Y307" t="str">
        <f t="shared" si="59"/>
        <v>Tue</v>
      </c>
      <c r="Z307" s="16">
        <f t="shared" si="60"/>
        <v>5</v>
      </c>
      <c r="AA307" s="13">
        <f t="shared" si="61"/>
        <v>3.28</v>
      </c>
      <c r="AB307" s="14">
        <f t="shared" si="62"/>
        <v>0.29000000000000004</v>
      </c>
      <c r="AC307" t="str">
        <f t="shared" si="63"/>
        <v>No Discount</v>
      </c>
      <c r="AD307" t="str">
        <f t="shared" si="64"/>
        <v>Low (&lt;$50)</v>
      </c>
      <c r="AE307" t="str">
        <f t="shared" si="65"/>
        <v>Medium (3-5 units)</v>
      </c>
      <c r="AF307" t="str">
        <f t="shared" si="66"/>
        <v>Profitable</v>
      </c>
      <c r="AG307" t="str">
        <f t="shared" si="67"/>
        <v>High Margin</v>
      </c>
      <c r="AH307" t="str">
        <f t="shared" si="68"/>
        <v>Repeat Customer</v>
      </c>
      <c r="AI307" t="str">
        <f t="shared" si="69"/>
        <v>Standard (3-5 days)</v>
      </c>
    </row>
    <row r="308" spans="1:35" ht="15" customHeight="1" x14ac:dyDescent="0.3">
      <c r="A308">
        <v>307</v>
      </c>
      <c r="B308" t="s">
        <v>1302</v>
      </c>
      <c r="C308" s="12">
        <v>41791</v>
      </c>
      <c r="D308" s="12">
        <v>41796</v>
      </c>
      <c r="E308" t="s">
        <v>233</v>
      </c>
      <c r="F308" t="s">
        <v>1303</v>
      </c>
      <c r="G308" t="s">
        <v>1304</v>
      </c>
      <c r="H308" t="s">
        <v>285</v>
      </c>
      <c r="I308" t="s">
        <v>210</v>
      </c>
      <c r="J308" t="s">
        <v>1305</v>
      </c>
      <c r="K308" t="s">
        <v>973</v>
      </c>
      <c r="L308">
        <v>8701</v>
      </c>
      <c r="M308" t="s">
        <v>331</v>
      </c>
      <c r="N308" t="s">
        <v>1306</v>
      </c>
      <c r="O308" t="s">
        <v>229</v>
      </c>
      <c r="P308" t="s">
        <v>258</v>
      </c>
      <c r="Q308" t="s">
        <v>1307</v>
      </c>
      <c r="R308" s="13">
        <v>45.48</v>
      </c>
      <c r="S308">
        <v>3</v>
      </c>
      <c r="T308" s="14">
        <v>0</v>
      </c>
      <c r="U308" s="13">
        <v>20.9208</v>
      </c>
      <c r="V308">
        <f t="shared" si="56"/>
        <v>2014</v>
      </c>
      <c r="W308" t="str">
        <f t="shared" si="57"/>
        <v>Jun</v>
      </c>
      <c r="X308" t="str">
        <f t="shared" si="58"/>
        <v>Q2</v>
      </c>
      <c r="Y308" t="str">
        <f t="shared" si="59"/>
        <v>Sun</v>
      </c>
      <c r="Z308" s="16">
        <f t="shared" si="60"/>
        <v>5</v>
      </c>
      <c r="AA308" s="13">
        <f t="shared" si="61"/>
        <v>15.159999999999998</v>
      </c>
      <c r="AB308" s="14">
        <f t="shared" si="62"/>
        <v>0.46</v>
      </c>
      <c r="AC308" t="str">
        <f t="shared" si="63"/>
        <v>No Discount</v>
      </c>
      <c r="AD308" t="str">
        <f t="shared" si="64"/>
        <v>Low (&lt;$50)</v>
      </c>
      <c r="AE308" t="str">
        <f t="shared" si="65"/>
        <v>Medium (3-5 units)</v>
      </c>
      <c r="AF308" t="str">
        <f t="shared" si="66"/>
        <v>Profitable</v>
      </c>
      <c r="AG308" t="str">
        <f t="shared" si="67"/>
        <v>High Margin</v>
      </c>
      <c r="AH308" t="str">
        <f t="shared" si="68"/>
        <v>Repeat Customer</v>
      </c>
      <c r="AI308" t="str">
        <f t="shared" si="69"/>
        <v>Standard (3-5 days)</v>
      </c>
    </row>
    <row r="309" spans="1:35" ht="15" customHeight="1" x14ac:dyDescent="0.3">
      <c r="A309">
        <v>308</v>
      </c>
      <c r="B309" t="s">
        <v>1302</v>
      </c>
      <c r="C309" s="12">
        <v>41791</v>
      </c>
      <c r="D309" s="12">
        <v>41796</v>
      </c>
      <c r="E309" t="s">
        <v>233</v>
      </c>
      <c r="F309" t="s">
        <v>1303</v>
      </c>
      <c r="G309" t="s">
        <v>1304</v>
      </c>
      <c r="H309" t="s">
        <v>285</v>
      </c>
      <c r="I309" t="s">
        <v>210</v>
      </c>
      <c r="J309" t="s">
        <v>1305</v>
      </c>
      <c r="K309" t="s">
        <v>973</v>
      </c>
      <c r="L309">
        <v>8701</v>
      </c>
      <c r="M309" t="s">
        <v>331</v>
      </c>
      <c r="N309" t="s">
        <v>1308</v>
      </c>
      <c r="O309" t="s">
        <v>229</v>
      </c>
      <c r="P309" t="s">
        <v>251</v>
      </c>
      <c r="Q309" t="s">
        <v>1309</v>
      </c>
      <c r="R309" s="13">
        <v>289.2</v>
      </c>
      <c r="S309">
        <v>6</v>
      </c>
      <c r="T309" s="14">
        <v>0</v>
      </c>
      <c r="U309" s="13">
        <v>83.867999999999995</v>
      </c>
      <c r="V309">
        <f t="shared" si="56"/>
        <v>2014</v>
      </c>
      <c r="W309" t="str">
        <f t="shared" si="57"/>
        <v>Jun</v>
      </c>
      <c r="X309" t="str">
        <f t="shared" si="58"/>
        <v>Q2</v>
      </c>
      <c r="Y309" t="str">
        <f t="shared" si="59"/>
        <v>Sun</v>
      </c>
      <c r="Z309" s="16">
        <f t="shared" si="60"/>
        <v>5</v>
      </c>
      <c r="AA309" s="13">
        <f t="shared" si="61"/>
        <v>48.199999999999996</v>
      </c>
      <c r="AB309" s="14">
        <f t="shared" si="62"/>
        <v>0.28999999999999998</v>
      </c>
      <c r="AC309" t="str">
        <f t="shared" si="63"/>
        <v>No Discount</v>
      </c>
      <c r="AD309" t="str">
        <f t="shared" si="64"/>
        <v>High ($200-$500)</v>
      </c>
      <c r="AE309" t="str">
        <f t="shared" si="65"/>
        <v>Large (6+ units)</v>
      </c>
      <c r="AF309" t="str">
        <f t="shared" si="66"/>
        <v>Profitable</v>
      </c>
      <c r="AG309" t="str">
        <f t="shared" si="67"/>
        <v>High Margin</v>
      </c>
      <c r="AH309" t="str">
        <f t="shared" si="68"/>
        <v>Repeat Customer</v>
      </c>
      <c r="AI309" t="str">
        <f t="shared" si="69"/>
        <v>Standard (3-5 days)</v>
      </c>
    </row>
    <row r="310" spans="1:35" ht="15" customHeight="1" x14ac:dyDescent="0.3">
      <c r="A310">
        <v>309</v>
      </c>
      <c r="B310" t="s">
        <v>1310</v>
      </c>
      <c r="C310" s="12">
        <v>42840</v>
      </c>
      <c r="D310" s="12">
        <v>42842</v>
      </c>
      <c r="E310" t="s">
        <v>371</v>
      </c>
      <c r="F310" t="s">
        <v>1311</v>
      </c>
      <c r="G310" t="s">
        <v>1312</v>
      </c>
      <c r="H310" t="s">
        <v>209</v>
      </c>
      <c r="I310" t="s">
        <v>210</v>
      </c>
      <c r="J310" t="s">
        <v>1313</v>
      </c>
      <c r="K310" t="s">
        <v>502</v>
      </c>
      <c r="L310">
        <v>22204</v>
      </c>
      <c r="M310" t="s">
        <v>213</v>
      </c>
      <c r="N310" t="s">
        <v>1314</v>
      </c>
      <c r="O310" t="s">
        <v>229</v>
      </c>
      <c r="P310" t="s">
        <v>251</v>
      </c>
      <c r="Q310" t="s">
        <v>1315</v>
      </c>
      <c r="R310" s="13">
        <v>4.8899999999999997</v>
      </c>
      <c r="S310">
        <v>1</v>
      </c>
      <c r="T310" s="14">
        <v>0</v>
      </c>
      <c r="U310" s="13">
        <v>2.0049000000000001</v>
      </c>
      <c r="V310">
        <f t="shared" si="56"/>
        <v>2017</v>
      </c>
      <c r="W310" t="str">
        <f t="shared" si="57"/>
        <v>Apr</v>
      </c>
      <c r="X310" t="str">
        <f t="shared" si="58"/>
        <v>Q2</v>
      </c>
      <c r="Y310" t="str">
        <f t="shared" si="59"/>
        <v>Sat</v>
      </c>
      <c r="Z310" s="16">
        <f t="shared" si="60"/>
        <v>2</v>
      </c>
      <c r="AA310" s="13">
        <f t="shared" si="61"/>
        <v>4.8899999999999997</v>
      </c>
      <c r="AB310" s="14">
        <f t="shared" si="62"/>
        <v>0.41000000000000003</v>
      </c>
      <c r="AC310" t="str">
        <f t="shared" si="63"/>
        <v>No Discount</v>
      </c>
      <c r="AD310" t="str">
        <f t="shared" si="64"/>
        <v>Low (&lt;$50)</v>
      </c>
      <c r="AE310" t="str">
        <f t="shared" si="65"/>
        <v>Small (1-2 units)</v>
      </c>
      <c r="AF310" t="str">
        <f t="shared" si="66"/>
        <v>Profitable</v>
      </c>
      <c r="AG310" t="str">
        <f t="shared" si="67"/>
        <v>High Margin</v>
      </c>
      <c r="AH310" t="str">
        <f t="shared" si="68"/>
        <v>Single Purchase</v>
      </c>
      <c r="AI310" t="str">
        <f t="shared" si="69"/>
        <v>Fast (&lt;=2 days)</v>
      </c>
    </row>
    <row r="311" spans="1:35" ht="15" customHeight="1" x14ac:dyDescent="0.3">
      <c r="A311">
        <v>310</v>
      </c>
      <c r="B311" t="s">
        <v>1316</v>
      </c>
      <c r="C311" s="12">
        <v>42625</v>
      </c>
      <c r="D311" s="12">
        <v>42627</v>
      </c>
      <c r="E311" t="s">
        <v>206</v>
      </c>
      <c r="F311" t="s">
        <v>1317</v>
      </c>
      <c r="G311" t="s">
        <v>1318</v>
      </c>
      <c r="H311" t="s">
        <v>224</v>
      </c>
      <c r="I311" t="s">
        <v>210</v>
      </c>
      <c r="J311" t="s">
        <v>1319</v>
      </c>
      <c r="K311" t="s">
        <v>640</v>
      </c>
      <c r="L311">
        <v>80004</v>
      </c>
      <c r="M311" t="s">
        <v>227</v>
      </c>
      <c r="N311" t="s">
        <v>1320</v>
      </c>
      <c r="O311" t="s">
        <v>215</v>
      </c>
      <c r="P311" t="s">
        <v>248</v>
      </c>
      <c r="Q311" t="s">
        <v>1321</v>
      </c>
      <c r="R311" s="13">
        <v>15.135999999999999</v>
      </c>
      <c r="S311">
        <v>4</v>
      </c>
      <c r="T311" s="14">
        <v>0.2</v>
      </c>
      <c r="U311" s="13">
        <v>3.5948000000000002</v>
      </c>
      <c r="V311">
        <f t="shared" si="56"/>
        <v>2016</v>
      </c>
      <c r="W311" t="str">
        <f t="shared" si="57"/>
        <v>Sep</v>
      </c>
      <c r="X311" t="str">
        <f t="shared" si="58"/>
        <v>Q3</v>
      </c>
      <c r="Y311" t="str">
        <f t="shared" si="59"/>
        <v>Mon</v>
      </c>
      <c r="Z311" s="16">
        <f t="shared" si="60"/>
        <v>2</v>
      </c>
      <c r="AA311" s="13">
        <f t="shared" si="61"/>
        <v>3.7839999999999998</v>
      </c>
      <c r="AB311" s="14">
        <f t="shared" si="62"/>
        <v>0.23750000000000002</v>
      </c>
      <c r="AC311" t="str">
        <f t="shared" si="63"/>
        <v>Low (1-20%)</v>
      </c>
      <c r="AD311" t="str">
        <f t="shared" si="64"/>
        <v>Low (&lt;$50)</v>
      </c>
      <c r="AE311" t="str">
        <f t="shared" si="65"/>
        <v>Medium (3-5 units)</v>
      </c>
      <c r="AF311" t="str">
        <f t="shared" si="66"/>
        <v>Profitable</v>
      </c>
      <c r="AG311" t="str">
        <f t="shared" si="67"/>
        <v>Healthy Margin</v>
      </c>
      <c r="AH311" t="str">
        <f t="shared" si="68"/>
        <v>Repeat Customer</v>
      </c>
      <c r="AI311" t="str">
        <f t="shared" si="69"/>
        <v>Fast (&lt;=2 days)</v>
      </c>
    </row>
    <row r="312" spans="1:35" ht="15" customHeight="1" x14ac:dyDescent="0.3">
      <c r="A312">
        <v>311</v>
      </c>
      <c r="B312" t="s">
        <v>1316</v>
      </c>
      <c r="C312" s="12">
        <v>42625</v>
      </c>
      <c r="D312" s="12">
        <v>42627</v>
      </c>
      <c r="E312" t="s">
        <v>206</v>
      </c>
      <c r="F312" t="s">
        <v>1317</v>
      </c>
      <c r="G312" t="s">
        <v>1318</v>
      </c>
      <c r="H312" t="s">
        <v>224</v>
      </c>
      <c r="I312" t="s">
        <v>210</v>
      </c>
      <c r="J312" t="s">
        <v>1319</v>
      </c>
      <c r="K312" t="s">
        <v>640</v>
      </c>
      <c r="L312">
        <v>80004</v>
      </c>
      <c r="M312" t="s">
        <v>227</v>
      </c>
      <c r="N312" t="s">
        <v>1322</v>
      </c>
      <c r="O312" t="s">
        <v>215</v>
      </c>
      <c r="P312" t="s">
        <v>219</v>
      </c>
      <c r="Q312" t="s">
        <v>1323</v>
      </c>
      <c r="R312" s="13">
        <v>466.76799999999997</v>
      </c>
      <c r="S312">
        <v>2</v>
      </c>
      <c r="T312" s="14">
        <v>0.2</v>
      </c>
      <c r="U312" s="13">
        <v>52.511400000000002</v>
      </c>
      <c r="V312">
        <f t="shared" si="56"/>
        <v>2016</v>
      </c>
      <c r="W312" t="str">
        <f t="shared" si="57"/>
        <v>Sep</v>
      </c>
      <c r="X312" t="str">
        <f t="shared" si="58"/>
        <v>Q3</v>
      </c>
      <c r="Y312" t="str">
        <f t="shared" si="59"/>
        <v>Mon</v>
      </c>
      <c r="Z312" s="16">
        <f t="shared" si="60"/>
        <v>2</v>
      </c>
      <c r="AA312" s="13">
        <f t="shared" si="61"/>
        <v>233.38399999999999</v>
      </c>
      <c r="AB312" s="14">
        <f t="shared" si="62"/>
        <v>0.11250000000000002</v>
      </c>
      <c r="AC312" t="str">
        <f t="shared" si="63"/>
        <v>Low (1-20%)</v>
      </c>
      <c r="AD312" t="str">
        <f t="shared" si="64"/>
        <v>High ($200-$500)</v>
      </c>
      <c r="AE312" t="str">
        <f t="shared" si="65"/>
        <v>Small (1-2 units)</v>
      </c>
      <c r="AF312" t="str">
        <f t="shared" si="66"/>
        <v>Profitable</v>
      </c>
      <c r="AG312" t="str">
        <f t="shared" si="67"/>
        <v>Healthy Margin</v>
      </c>
      <c r="AH312" t="str">
        <f t="shared" si="68"/>
        <v>Repeat Customer</v>
      </c>
      <c r="AI312" t="str">
        <f t="shared" si="69"/>
        <v>Fast (&lt;=2 days)</v>
      </c>
    </row>
    <row r="313" spans="1:35" ht="15" customHeight="1" x14ac:dyDescent="0.3">
      <c r="A313">
        <v>312</v>
      </c>
      <c r="B313" t="s">
        <v>1316</v>
      </c>
      <c r="C313" s="12">
        <v>42625</v>
      </c>
      <c r="D313" s="12">
        <v>42627</v>
      </c>
      <c r="E313" t="s">
        <v>206</v>
      </c>
      <c r="F313" t="s">
        <v>1317</v>
      </c>
      <c r="G313" t="s">
        <v>1318</v>
      </c>
      <c r="H313" t="s">
        <v>224</v>
      </c>
      <c r="I313" t="s">
        <v>210</v>
      </c>
      <c r="J313" t="s">
        <v>1319</v>
      </c>
      <c r="K313" t="s">
        <v>640</v>
      </c>
      <c r="L313">
        <v>80004</v>
      </c>
      <c r="M313" t="s">
        <v>227</v>
      </c>
      <c r="N313" t="s">
        <v>1324</v>
      </c>
      <c r="O313" t="s">
        <v>215</v>
      </c>
      <c r="P313" t="s">
        <v>248</v>
      </c>
      <c r="Q313" t="s">
        <v>1325</v>
      </c>
      <c r="R313" s="13">
        <v>15.231999999999999</v>
      </c>
      <c r="S313">
        <v>1</v>
      </c>
      <c r="T313" s="14">
        <v>0.2</v>
      </c>
      <c r="U313" s="13">
        <v>1.7136</v>
      </c>
      <c r="V313">
        <f t="shared" si="56"/>
        <v>2016</v>
      </c>
      <c r="W313" t="str">
        <f t="shared" si="57"/>
        <v>Sep</v>
      </c>
      <c r="X313" t="str">
        <f t="shared" si="58"/>
        <v>Q3</v>
      </c>
      <c r="Y313" t="str">
        <f t="shared" si="59"/>
        <v>Mon</v>
      </c>
      <c r="Z313" s="16">
        <f t="shared" si="60"/>
        <v>2</v>
      </c>
      <c r="AA313" s="13">
        <f t="shared" si="61"/>
        <v>15.231999999999999</v>
      </c>
      <c r="AB313" s="14">
        <f t="shared" si="62"/>
        <v>0.1125</v>
      </c>
      <c r="AC313" t="str">
        <f t="shared" si="63"/>
        <v>Low (1-20%)</v>
      </c>
      <c r="AD313" t="str">
        <f t="shared" si="64"/>
        <v>Low (&lt;$50)</v>
      </c>
      <c r="AE313" t="str">
        <f t="shared" si="65"/>
        <v>Small (1-2 units)</v>
      </c>
      <c r="AF313" t="str">
        <f t="shared" si="66"/>
        <v>Profitable</v>
      </c>
      <c r="AG313" t="str">
        <f t="shared" si="67"/>
        <v>Healthy Margin</v>
      </c>
      <c r="AH313" t="str">
        <f t="shared" si="68"/>
        <v>Repeat Customer</v>
      </c>
      <c r="AI313" t="str">
        <f t="shared" si="69"/>
        <v>Fast (&lt;=2 days)</v>
      </c>
    </row>
    <row r="314" spans="1:35" ht="15" customHeight="1" x14ac:dyDescent="0.3">
      <c r="A314">
        <v>313</v>
      </c>
      <c r="B314" t="s">
        <v>1316</v>
      </c>
      <c r="C314" s="12">
        <v>42625</v>
      </c>
      <c r="D314" s="12">
        <v>42627</v>
      </c>
      <c r="E314" t="s">
        <v>206</v>
      </c>
      <c r="F314" t="s">
        <v>1317</v>
      </c>
      <c r="G314" t="s">
        <v>1318</v>
      </c>
      <c r="H314" t="s">
        <v>224</v>
      </c>
      <c r="I314" t="s">
        <v>210</v>
      </c>
      <c r="J314" t="s">
        <v>1319</v>
      </c>
      <c r="K314" t="s">
        <v>640</v>
      </c>
      <c r="L314">
        <v>80004</v>
      </c>
      <c r="M314" t="s">
        <v>227</v>
      </c>
      <c r="N314" t="s">
        <v>1326</v>
      </c>
      <c r="O314" t="s">
        <v>229</v>
      </c>
      <c r="P314" t="s">
        <v>230</v>
      </c>
      <c r="Q314" t="s">
        <v>1327</v>
      </c>
      <c r="R314" s="13">
        <v>6.2640000000000002</v>
      </c>
      <c r="S314">
        <v>3</v>
      </c>
      <c r="T314" s="14">
        <v>0.2</v>
      </c>
      <c r="U314" s="13">
        <v>2.0358000000000001</v>
      </c>
      <c r="V314">
        <f t="shared" si="56"/>
        <v>2016</v>
      </c>
      <c r="W314" t="str">
        <f t="shared" si="57"/>
        <v>Sep</v>
      </c>
      <c r="X314" t="str">
        <f t="shared" si="58"/>
        <v>Q3</v>
      </c>
      <c r="Y314" t="str">
        <f t="shared" si="59"/>
        <v>Mon</v>
      </c>
      <c r="Z314" s="16">
        <f t="shared" si="60"/>
        <v>2</v>
      </c>
      <c r="AA314" s="13">
        <f t="shared" si="61"/>
        <v>2.0880000000000001</v>
      </c>
      <c r="AB314" s="14">
        <f t="shared" si="62"/>
        <v>0.32500000000000001</v>
      </c>
      <c r="AC314" t="str">
        <f t="shared" si="63"/>
        <v>Low (1-20%)</v>
      </c>
      <c r="AD314" t="str">
        <f t="shared" si="64"/>
        <v>Low (&lt;$50)</v>
      </c>
      <c r="AE314" t="str">
        <f t="shared" si="65"/>
        <v>Medium (3-5 units)</v>
      </c>
      <c r="AF314" t="str">
        <f t="shared" si="66"/>
        <v>Profitable</v>
      </c>
      <c r="AG314" t="str">
        <f t="shared" si="67"/>
        <v>High Margin</v>
      </c>
      <c r="AH314" t="str">
        <f t="shared" si="68"/>
        <v>Repeat Customer</v>
      </c>
      <c r="AI314" t="str">
        <f t="shared" si="69"/>
        <v>Fast (&lt;=2 days)</v>
      </c>
    </row>
    <row r="315" spans="1:35" ht="15" customHeight="1" x14ac:dyDescent="0.3">
      <c r="A315">
        <v>314</v>
      </c>
      <c r="B315" t="s">
        <v>1328</v>
      </c>
      <c r="C315" s="12">
        <v>41909</v>
      </c>
      <c r="D315" s="12">
        <v>41915</v>
      </c>
      <c r="E315" t="s">
        <v>233</v>
      </c>
      <c r="F315" t="s">
        <v>1329</v>
      </c>
      <c r="G315" t="s">
        <v>1330</v>
      </c>
      <c r="H315" t="s">
        <v>224</v>
      </c>
      <c r="I315" t="s">
        <v>210</v>
      </c>
      <c r="J315" t="s">
        <v>1331</v>
      </c>
      <c r="K315" t="s">
        <v>973</v>
      </c>
      <c r="L315">
        <v>7601</v>
      </c>
      <c r="M315" t="s">
        <v>331</v>
      </c>
      <c r="N315" t="s">
        <v>1332</v>
      </c>
      <c r="O315" t="s">
        <v>215</v>
      </c>
      <c r="P315" t="s">
        <v>248</v>
      </c>
      <c r="Q315" t="s">
        <v>1333</v>
      </c>
      <c r="R315" s="13">
        <v>87.54</v>
      </c>
      <c r="S315">
        <v>3</v>
      </c>
      <c r="T315" s="14">
        <v>0</v>
      </c>
      <c r="U315" s="13">
        <v>37.642200000000003</v>
      </c>
      <c r="V315">
        <f t="shared" si="56"/>
        <v>2014</v>
      </c>
      <c r="W315" t="str">
        <f t="shared" si="57"/>
        <v>Sep</v>
      </c>
      <c r="X315" t="str">
        <f t="shared" si="58"/>
        <v>Q3</v>
      </c>
      <c r="Y315" t="str">
        <f t="shared" si="59"/>
        <v>Sat</v>
      </c>
      <c r="Z315" s="16">
        <f t="shared" si="60"/>
        <v>6</v>
      </c>
      <c r="AA315" s="13">
        <f t="shared" si="61"/>
        <v>29.180000000000003</v>
      </c>
      <c r="AB315" s="14">
        <f t="shared" si="62"/>
        <v>0.43</v>
      </c>
      <c r="AC315" t="str">
        <f t="shared" si="63"/>
        <v>No Discount</v>
      </c>
      <c r="AD315" t="str">
        <f t="shared" si="64"/>
        <v>Medium ($50-$200)</v>
      </c>
      <c r="AE315" t="str">
        <f t="shared" si="65"/>
        <v>Medium (3-5 units)</v>
      </c>
      <c r="AF315" t="str">
        <f t="shared" si="66"/>
        <v>Profitable</v>
      </c>
      <c r="AG315" t="str">
        <f t="shared" si="67"/>
        <v>High Margin</v>
      </c>
      <c r="AH315" t="str">
        <f t="shared" si="68"/>
        <v>Single Purchase</v>
      </c>
      <c r="AI315" t="str">
        <f t="shared" si="69"/>
        <v>Slow (6+ days)</v>
      </c>
    </row>
    <row r="316" spans="1:35" ht="15" customHeight="1" x14ac:dyDescent="0.3">
      <c r="A316">
        <v>315</v>
      </c>
      <c r="B316" t="s">
        <v>1334</v>
      </c>
      <c r="C316" s="12">
        <v>41860</v>
      </c>
      <c r="D316" s="12">
        <v>41867</v>
      </c>
      <c r="E316" t="s">
        <v>233</v>
      </c>
      <c r="F316" t="s">
        <v>1335</v>
      </c>
      <c r="G316" t="s">
        <v>1336</v>
      </c>
      <c r="H316" t="s">
        <v>224</v>
      </c>
      <c r="I316" t="s">
        <v>210</v>
      </c>
      <c r="J316" t="s">
        <v>1337</v>
      </c>
      <c r="K316" t="s">
        <v>237</v>
      </c>
      <c r="L316">
        <v>33710</v>
      </c>
      <c r="M316" t="s">
        <v>213</v>
      </c>
      <c r="N316" t="s">
        <v>1338</v>
      </c>
      <c r="O316" t="s">
        <v>254</v>
      </c>
      <c r="P316" t="s">
        <v>255</v>
      </c>
      <c r="Q316" t="s">
        <v>1339</v>
      </c>
      <c r="R316" s="13">
        <v>178.38399999999999</v>
      </c>
      <c r="S316">
        <v>2</v>
      </c>
      <c r="T316" s="14">
        <v>0.2</v>
      </c>
      <c r="U316" s="13">
        <v>22.297999999999998</v>
      </c>
      <c r="V316">
        <f t="shared" si="56"/>
        <v>2014</v>
      </c>
      <c r="W316" t="str">
        <f t="shared" si="57"/>
        <v>Aug</v>
      </c>
      <c r="X316" t="str">
        <f t="shared" si="58"/>
        <v>Q3</v>
      </c>
      <c r="Y316" t="str">
        <f t="shared" si="59"/>
        <v>Sat</v>
      </c>
      <c r="Z316" s="16">
        <f t="shared" si="60"/>
        <v>7</v>
      </c>
      <c r="AA316" s="13">
        <f t="shared" si="61"/>
        <v>89.191999999999993</v>
      </c>
      <c r="AB316" s="14">
        <f t="shared" si="62"/>
        <v>0.125</v>
      </c>
      <c r="AC316" t="str">
        <f t="shared" si="63"/>
        <v>Low (1-20%)</v>
      </c>
      <c r="AD316" t="str">
        <f t="shared" si="64"/>
        <v>Medium ($50-$200)</v>
      </c>
      <c r="AE316" t="str">
        <f t="shared" si="65"/>
        <v>Small (1-2 units)</v>
      </c>
      <c r="AF316" t="str">
        <f t="shared" si="66"/>
        <v>Profitable</v>
      </c>
      <c r="AG316" t="str">
        <f t="shared" si="67"/>
        <v>Healthy Margin</v>
      </c>
      <c r="AH316" t="str">
        <f t="shared" si="68"/>
        <v>Repeat Customer</v>
      </c>
      <c r="AI316" t="str">
        <f t="shared" si="69"/>
        <v>Slow (6+ days)</v>
      </c>
    </row>
    <row r="317" spans="1:35" ht="15" customHeight="1" x14ac:dyDescent="0.3">
      <c r="A317">
        <v>316</v>
      </c>
      <c r="B317" t="s">
        <v>1334</v>
      </c>
      <c r="C317" s="12">
        <v>41860</v>
      </c>
      <c r="D317" s="12">
        <v>41867</v>
      </c>
      <c r="E317" t="s">
        <v>233</v>
      </c>
      <c r="F317" t="s">
        <v>1335</v>
      </c>
      <c r="G317" t="s">
        <v>1336</v>
      </c>
      <c r="H317" t="s">
        <v>224</v>
      </c>
      <c r="I317" t="s">
        <v>210</v>
      </c>
      <c r="J317" t="s">
        <v>1337</v>
      </c>
      <c r="K317" t="s">
        <v>237</v>
      </c>
      <c r="L317">
        <v>33710</v>
      </c>
      <c r="M317" t="s">
        <v>213</v>
      </c>
      <c r="N317" t="s">
        <v>1340</v>
      </c>
      <c r="O317" t="s">
        <v>229</v>
      </c>
      <c r="P317" t="s">
        <v>273</v>
      </c>
      <c r="Q317" t="s">
        <v>1341</v>
      </c>
      <c r="R317" s="13">
        <v>15.552</v>
      </c>
      <c r="S317">
        <v>3</v>
      </c>
      <c r="T317" s="14">
        <v>0.2</v>
      </c>
      <c r="U317" s="13">
        <v>5.4432</v>
      </c>
      <c r="V317">
        <f t="shared" si="56"/>
        <v>2014</v>
      </c>
      <c r="W317" t="str">
        <f t="shared" si="57"/>
        <v>Aug</v>
      </c>
      <c r="X317" t="str">
        <f t="shared" si="58"/>
        <v>Q3</v>
      </c>
      <c r="Y317" t="str">
        <f t="shared" si="59"/>
        <v>Sat</v>
      </c>
      <c r="Z317" s="16">
        <f t="shared" si="60"/>
        <v>7</v>
      </c>
      <c r="AA317" s="13">
        <f t="shared" si="61"/>
        <v>5.1840000000000002</v>
      </c>
      <c r="AB317" s="14">
        <f t="shared" si="62"/>
        <v>0.35000000000000003</v>
      </c>
      <c r="AC317" t="str">
        <f t="shared" si="63"/>
        <v>Low (1-20%)</v>
      </c>
      <c r="AD317" t="str">
        <f t="shared" si="64"/>
        <v>Low (&lt;$50)</v>
      </c>
      <c r="AE317" t="str">
        <f t="shared" si="65"/>
        <v>Medium (3-5 units)</v>
      </c>
      <c r="AF317" t="str">
        <f t="shared" si="66"/>
        <v>Profitable</v>
      </c>
      <c r="AG317" t="str">
        <f t="shared" si="67"/>
        <v>High Margin</v>
      </c>
      <c r="AH317" t="str">
        <f t="shared" si="68"/>
        <v>Repeat Customer</v>
      </c>
      <c r="AI317" t="str">
        <f t="shared" si="69"/>
        <v>Slow (6+ days)</v>
      </c>
    </row>
    <row r="318" spans="1:35" ht="15" customHeight="1" x14ac:dyDescent="0.3">
      <c r="A318">
        <v>317</v>
      </c>
      <c r="B318" t="s">
        <v>1342</v>
      </c>
      <c r="C318" s="12">
        <v>42001</v>
      </c>
      <c r="D318" s="12">
        <v>42003</v>
      </c>
      <c r="E318" t="s">
        <v>371</v>
      </c>
      <c r="F318" t="s">
        <v>1343</v>
      </c>
      <c r="G318" t="s">
        <v>1344</v>
      </c>
      <c r="H318" t="s">
        <v>224</v>
      </c>
      <c r="I318" t="s">
        <v>210</v>
      </c>
      <c r="J318" t="s">
        <v>329</v>
      </c>
      <c r="K318" t="s">
        <v>330</v>
      </c>
      <c r="L318">
        <v>19143</v>
      </c>
      <c r="M318" t="s">
        <v>331</v>
      </c>
      <c r="N318" t="s">
        <v>1345</v>
      </c>
      <c r="O318" t="s">
        <v>229</v>
      </c>
      <c r="P318" t="s">
        <v>251</v>
      </c>
      <c r="Q318" t="s">
        <v>1346</v>
      </c>
      <c r="R318" s="13">
        <v>99.135999999999996</v>
      </c>
      <c r="S318">
        <v>4</v>
      </c>
      <c r="T318" s="14">
        <v>0.2</v>
      </c>
      <c r="U318" s="13">
        <v>8.6744000000000003</v>
      </c>
      <c r="V318">
        <f t="shared" si="56"/>
        <v>2014</v>
      </c>
      <c r="W318" t="str">
        <f t="shared" si="57"/>
        <v>Dec</v>
      </c>
      <c r="X318" t="str">
        <f t="shared" si="58"/>
        <v>Q4</v>
      </c>
      <c r="Y318" t="str">
        <f t="shared" si="59"/>
        <v>Sun</v>
      </c>
      <c r="Z318" s="16">
        <f t="shared" si="60"/>
        <v>2</v>
      </c>
      <c r="AA318" s="13">
        <f t="shared" si="61"/>
        <v>24.783999999999999</v>
      </c>
      <c r="AB318" s="14">
        <f t="shared" si="62"/>
        <v>8.7500000000000008E-2</v>
      </c>
      <c r="AC318" t="str">
        <f t="shared" si="63"/>
        <v>Low (1-20%)</v>
      </c>
      <c r="AD318" t="str">
        <f t="shared" si="64"/>
        <v>Medium ($50-$200)</v>
      </c>
      <c r="AE318" t="str">
        <f t="shared" si="65"/>
        <v>Medium (3-5 units)</v>
      </c>
      <c r="AF318" t="str">
        <f t="shared" si="66"/>
        <v>Profitable</v>
      </c>
      <c r="AG318" t="str">
        <f t="shared" si="67"/>
        <v>Low Margin</v>
      </c>
      <c r="AH318" t="str">
        <f t="shared" si="68"/>
        <v>Repeat Customer</v>
      </c>
      <c r="AI318" t="str">
        <f t="shared" si="69"/>
        <v>Fast (&lt;=2 days)</v>
      </c>
    </row>
    <row r="319" spans="1:35" ht="15" customHeight="1" x14ac:dyDescent="0.3">
      <c r="A319">
        <v>318</v>
      </c>
      <c r="B319" t="s">
        <v>1347</v>
      </c>
      <c r="C319" s="12">
        <v>41947</v>
      </c>
      <c r="D319" s="12">
        <v>41952</v>
      </c>
      <c r="E319" t="s">
        <v>233</v>
      </c>
      <c r="F319" t="s">
        <v>1348</v>
      </c>
      <c r="G319" t="s">
        <v>1349</v>
      </c>
      <c r="H319" t="s">
        <v>285</v>
      </c>
      <c r="I319" t="s">
        <v>210</v>
      </c>
      <c r="J319" t="s">
        <v>449</v>
      </c>
      <c r="K319" t="s">
        <v>450</v>
      </c>
      <c r="L319">
        <v>10024</v>
      </c>
      <c r="M319" t="s">
        <v>331</v>
      </c>
      <c r="N319" t="s">
        <v>1350</v>
      </c>
      <c r="O319" t="s">
        <v>215</v>
      </c>
      <c r="P319" t="s">
        <v>219</v>
      </c>
      <c r="Q319" t="s">
        <v>1351</v>
      </c>
      <c r="R319" s="13">
        <v>135.88200000000001</v>
      </c>
      <c r="S319">
        <v>1</v>
      </c>
      <c r="T319" s="14">
        <v>0.1</v>
      </c>
      <c r="U319" s="13">
        <v>24.1568</v>
      </c>
      <c r="V319">
        <f t="shared" si="56"/>
        <v>2014</v>
      </c>
      <c r="W319" t="str">
        <f t="shared" si="57"/>
        <v>Nov</v>
      </c>
      <c r="X319" t="str">
        <f t="shared" si="58"/>
        <v>Q4</v>
      </c>
      <c r="Y319" t="str">
        <f t="shared" si="59"/>
        <v>Tue</v>
      </c>
      <c r="Z319" s="16">
        <f t="shared" si="60"/>
        <v>5</v>
      </c>
      <c r="AA319" s="13">
        <f t="shared" si="61"/>
        <v>135.88200000000001</v>
      </c>
      <c r="AB319" s="14">
        <f t="shared" si="62"/>
        <v>0.17777777777777778</v>
      </c>
      <c r="AC319" t="str">
        <f t="shared" si="63"/>
        <v>Low (1-20%)</v>
      </c>
      <c r="AD319" t="str">
        <f t="shared" si="64"/>
        <v>Medium ($50-$200)</v>
      </c>
      <c r="AE319" t="str">
        <f t="shared" si="65"/>
        <v>Small (1-2 units)</v>
      </c>
      <c r="AF319" t="str">
        <f t="shared" si="66"/>
        <v>Profitable</v>
      </c>
      <c r="AG319" t="str">
        <f t="shared" si="67"/>
        <v>Healthy Margin</v>
      </c>
      <c r="AH319" t="str">
        <f t="shared" si="68"/>
        <v>Repeat Customer</v>
      </c>
      <c r="AI319" t="str">
        <f t="shared" si="69"/>
        <v>Standard (3-5 days)</v>
      </c>
    </row>
    <row r="320" spans="1:35" ht="15" customHeight="1" x14ac:dyDescent="0.3">
      <c r="A320">
        <v>319</v>
      </c>
      <c r="B320" t="s">
        <v>1347</v>
      </c>
      <c r="C320" s="12">
        <v>41947</v>
      </c>
      <c r="D320" s="12">
        <v>41952</v>
      </c>
      <c r="E320" t="s">
        <v>233</v>
      </c>
      <c r="F320" t="s">
        <v>1348</v>
      </c>
      <c r="G320" t="s">
        <v>1349</v>
      </c>
      <c r="H320" t="s">
        <v>285</v>
      </c>
      <c r="I320" t="s">
        <v>210</v>
      </c>
      <c r="J320" t="s">
        <v>449</v>
      </c>
      <c r="K320" t="s">
        <v>450</v>
      </c>
      <c r="L320">
        <v>10024</v>
      </c>
      <c r="M320" t="s">
        <v>331</v>
      </c>
      <c r="N320" t="s">
        <v>1352</v>
      </c>
      <c r="O320" t="s">
        <v>254</v>
      </c>
      <c r="P320" t="s">
        <v>867</v>
      </c>
      <c r="Q320" t="s">
        <v>1353</v>
      </c>
      <c r="R320" s="13">
        <v>3991.98</v>
      </c>
      <c r="S320">
        <v>2</v>
      </c>
      <c r="T320" s="14">
        <v>0</v>
      </c>
      <c r="U320" s="13">
        <v>1995.99</v>
      </c>
      <c r="V320">
        <f t="shared" si="56"/>
        <v>2014</v>
      </c>
      <c r="W320" t="str">
        <f t="shared" si="57"/>
        <v>Nov</v>
      </c>
      <c r="X320" t="str">
        <f t="shared" si="58"/>
        <v>Q4</v>
      </c>
      <c r="Y320" t="str">
        <f t="shared" si="59"/>
        <v>Tue</v>
      </c>
      <c r="Z320" s="16">
        <f t="shared" si="60"/>
        <v>5</v>
      </c>
      <c r="AA320" s="13">
        <f t="shared" si="61"/>
        <v>1995.99</v>
      </c>
      <c r="AB320" s="14">
        <f t="shared" si="62"/>
        <v>0.5</v>
      </c>
      <c r="AC320" t="str">
        <f t="shared" si="63"/>
        <v>No Discount</v>
      </c>
      <c r="AD320" t="str">
        <f t="shared" si="64"/>
        <v>Premium ($500+)</v>
      </c>
      <c r="AE320" t="str">
        <f t="shared" si="65"/>
        <v>Small (1-2 units)</v>
      </c>
      <c r="AF320" t="str">
        <f t="shared" si="66"/>
        <v>Profitable</v>
      </c>
      <c r="AG320" t="str">
        <f t="shared" si="67"/>
        <v>High Margin</v>
      </c>
      <c r="AH320" t="str">
        <f t="shared" si="68"/>
        <v>Repeat Customer</v>
      </c>
      <c r="AI320" t="str">
        <f t="shared" si="69"/>
        <v>Standard (3-5 days)</v>
      </c>
    </row>
    <row r="321" spans="1:35" ht="15" customHeight="1" x14ac:dyDescent="0.3">
      <c r="A321">
        <v>320</v>
      </c>
      <c r="B321" t="s">
        <v>1347</v>
      </c>
      <c r="C321" s="12">
        <v>41947</v>
      </c>
      <c r="D321" s="12">
        <v>41952</v>
      </c>
      <c r="E321" t="s">
        <v>233</v>
      </c>
      <c r="F321" t="s">
        <v>1348</v>
      </c>
      <c r="G321" t="s">
        <v>1349</v>
      </c>
      <c r="H321" t="s">
        <v>285</v>
      </c>
      <c r="I321" t="s">
        <v>210</v>
      </c>
      <c r="J321" t="s">
        <v>449</v>
      </c>
      <c r="K321" t="s">
        <v>450</v>
      </c>
      <c r="L321">
        <v>10024</v>
      </c>
      <c r="M321" t="s">
        <v>331</v>
      </c>
      <c r="N321" t="s">
        <v>395</v>
      </c>
      <c r="O321" t="s">
        <v>254</v>
      </c>
      <c r="P321" t="s">
        <v>255</v>
      </c>
      <c r="Q321" t="s">
        <v>396</v>
      </c>
      <c r="R321" s="13">
        <v>275.94</v>
      </c>
      <c r="S321">
        <v>6</v>
      </c>
      <c r="T321" s="14">
        <v>0</v>
      </c>
      <c r="U321" s="13">
        <v>80.022599999999997</v>
      </c>
      <c r="V321">
        <f t="shared" si="56"/>
        <v>2014</v>
      </c>
      <c r="W321" t="str">
        <f t="shared" si="57"/>
        <v>Nov</v>
      </c>
      <c r="X321" t="str">
        <f t="shared" si="58"/>
        <v>Q4</v>
      </c>
      <c r="Y321" t="str">
        <f t="shared" si="59"/>
        <v>Tue</v>
      </c>
      <c r="Z321" s="16">
        <f t="shared" si="60"/>
        <v>5</v>
      </c>
      <c r="AA321" s="13">
        <f t="shared" si="61"/>
        <v>45.99</v>
      </c>
      <c r="AB321" s="14">
        <f t="shared" si="62"/>
        <v>0.28999999999999998</v>
      </c>
      <c r="AC321" t="str">
        <f t="shared" si="63"/>
        <v>No Discount</v>
      </c>
      <c r="AD321" t="str">
        <f t="shared" si="64"/>
        <v>High ($200-$500)</v>
      </c>
      <c r="AE321" t="str">
        <f t="shared" si="65"/>
        <v>Large (6+ units)</v>
      </c>
      <c r="AF321" t="str">
        <f t="shared" si="66"/>
        <v>Profitable</v>
      </c>
      <c r="AG321" t="str">
        <f t="shared" si="67"/>
        <v>High Margin</v>
      </c>
      <c r="AH321" t="str">
        <f t="shared" si="68"/>
        <v>Repeat Customer</v>
      </c>
      <c r="AI321" t="str">
        <f t="shared" si="69"/>
        <v>Standard (3-5 days)</v>
      </c>
    </row>
    <row r="322" spans="1:35" ht="15" customHeight="1" x14ac:dyDescent="0.3">
      <c r="A322">
        <v>321</v>
      </c>
      <c r="B322" t="s">
        <v>1347</v>
      </c>
      <c r="C322" s="12">
        <v>41947</v>
      </c>
      <c r="D322" s="12">
        <v>41952</v>
      </c>
      <c r="E322" t="s">
        <v>233</v>
      </c>
      <c r="F322" t="s">
        <v>1348</v>
      </c>
      <c r="G322" t="s">
        <v>1349</v>
      </c>
      <c r="H322" t="s">
        <v>285</v>
      </c>
      <c r="I322" t="s">
        <v>210</v>
      </c>
      <c r="J322" t="s">
        <v>449</v>
      </c>
      <c r="K322" t="s">
        <v>450</v>
      </c>
      <c r="L322">
        <v>10024</v>
      </c>
      <c r="M322" t="s">
        <v>331</v>
      </c>
      <c r="N322" t="s">
        <v>1354</v>
      </c>
      <c r="O322" t="s">
        <v>254</v>
      </c>
      <c r="P322" t="s">
        <v>344</v>
      </c>
      <c r="Q322" t="s">
        <v>1355</v>
      </c>
      <c r="R322" s="13">
        <v>360</v>
      </c>
      <c r="S322">
        <v>4</v>
      </c>
      <c r="T322" s="14">
        <v>0</v>
      </c>
      <c r="U322" s="13">
        <v>129.6</v>
      </c>
      <c r="V322">
        <f t="shared" ref="V322:V385" si="70">YEAR(C322)</f>
        <v>2014</v>
      </c>
      <c r="W322" t="str">
        <f t="shared" ref="W322:W385" si="71">TEXT(C322,"mmm")</f>
        <v>Nov</v>
      </c>
      <c r="X322" t="str">
        <f t="shared" ref="X322:X385" si="72">"Q"&amp;ROUNDUP(MONTH(C322)/3,0)</f>
        <v>Q4</v>
      </c>
      <c r="Y322" t="str">
        <f t="shared" ref="Y322:Y385" si="73">TEXT(C322,"ddd")</f>
        <v>Tue</v>
      </c>
      <c r="Z322" s="16">
        <f t="shared" ref="Z322:Z385" si="74">D322-C322</f>
        <v>5</v>
      </c>
      <c r="AA322" s="13">
        <f t="shared" ref="AA322:AA385" si="75">IFERROR(R322/S322,0)</f>
        <v>90</v>
      </c>
      <c r="AB322" s="14">
        <f t="shared" ref="AB322:AB385" si="76">IFERROR(U322/R322,0)</f>
        <v>0.36</v>
      </c>
      <c r="AC322" t="str">
        <f t="shared" ref="AC322:AC385" si="77">IF(T322=0,"No Discount",IF(T322&lt;=0.2,"Low (1-20%)",IF(T322&lt;=0.4,"Medium (21-40%)","High (40%+)")))</f>
        <v>No Discount</v>
      </c>
      <c r="AD322" t="str">
        <f t="shared" ref="AD322:AD385" si="78">IF(R322&lt;50,"Low (&lt;$50)",IF(R322&lt;200,"Medium ($50-$200)",IF(R322&lt;500,"High ($200-$500)","Premium ($500+)")))</f>
        <v>High ($200-$500)</v>
      </c>
      <c r="AE322" t="str">
        <f t="shared" ref="AE322:AE385" si="79">IF(S322&lt;=2,"Small (1-2 units)",IF(S322&lt;=5,"Medium (3-5 units)","Large (6+ units)"))</f>
        <v>Medium (3-5 units)</v>
      </c>
      <c r="AF322" t="str">
        <f t="shared" ref="AF322:AF385" si="80">IF(U322&lt;0,"Loss-Making","Profitable")</f>
        <v>Profitable</v>
      </c>
      <c r="AG322" t="str">
        <f t="shared" ref="AG322:AG385" si="81">IF(AB322&lt;0,"Underperforming",IF(AB322&lt;0.1,"Low Margin",IF(AB322&lt;0.25,"Healthy Margin","High Margin")))</f>
        <v>High Margin</v>
      </c>
      <c r="AH322" t="str">
        <f t="shared" ref="AH322:AH385" si="82">IF(COUNTIF($F$2:$F$1001,F322)&gt;1,"Repeat Customer","Single Purchase")</f>
        <v>Repeat Customer</v>
      </c>
      <c r="AI322" t="str">
        <f t="shared" ref="AI322:AI385" si="83">IF(Z322&lt;=2,"Fast (&lt;=2 days)",IF(Z322&lt;=5,"Standard (3-5 days)","Slow (6+ days)"))</f>
        <v>Standard (3-5 days)</v>
      </c>
    </row>
    <row r="323" spans="1:35" ht="15" customHeight="1" x14ac:dyDescent="0.3">
      <c r="A323">
        <v>322</v>
      </c>
      <c r="B323" t="s">
        <v>1347</v>
      </c>
      <c r="C323" s="12">
        <v>41947</v>
      </c>
      <c r="D323" s="12">
        <v>41952</v>
      </c>
      <c r="E323" t="s">
        <v>233</v>
      </c>
      <c r="F323" t="s">
        <v>1348</v>
      </c>
      <c r="G323" t="s">
        <v>1349</v>
      </c>
      <c r="H323" t="s">
        <v>285</v>
      </c>
      <c r="I323" t="s">
        <v>210</v>
      </c>
      <c r="J323" t="s">
        <v>449</v>
      </c>
      <c r="K323" t="s">
        <v>450</v>
      </c>
      <c r="L323">
        <v>10024</v>
      </c>
      <c r="M323" t="s">
        <v>331</v>
      </c>
      <c r="N323" t="s">
        <v>730</v>
      </c>
      <c r="O323" t="s">
        <v>229</v>
      </c>
      <c r="P323" t="s">
        <v>242</v>
      </c>
      <c r="Q323" t="s">
        <v>731</v>
      </c>
      <c r="R323" s="13">
        <v>43.57</v>
      </c>
      <c r="S323">
        <v>1</v>
      </c>
      <c r="T323" s="14">
        <v>0</v>
      </c>
      <c r="U323" s="13">
        <v>13.071</v>
      </c>
      <c r="V323">
        <f t="shared" si="70"/>
        <v>2014</v>
      </c>
      <c r="W323" t="str">
        <f t="shared" si="71"/>
        <v>Nov</v>
      </c>
      <c r="X323" t="str">
        <f t="shared" si="72"/>
        <v>Q4</v>
      </c>
      <c r="Y323" t="str">
        <f t="shared" si="73"/>
        <v>Tue</v>
      </c>
      <c r="Z323" s="16">
        <f t="shared" si="74"/>
        <v>5</v>
      </c>
      <c r="AA323" s="13">
        <f t="shared" si="75"/>
        <v>43.57</v>
      </c>
      <c r="AB323" s="14">
        <f t="shared" si="76"/>
        <v>0.3</v>
      </c>
      <c r="AC323" t="str">
        <f t="shared" si="77"/>
        <v>No Discount</v>
      </c>
      <c r="AD323" t="str">
        <f t="shared" si="78"/>
        <v>Low (&lt;$50)</v>
      </c>
      <c r="AE323" t="str">
        <f t="shared" si="79"/>
        <v>Small (1-2 units)</v>
      </c>
      <c r="AF323" t="str">
        <f t="shared" si="80"/>
        <v>Profitable</v>
      </c>
      <c r="AG323" t="str">
        <f t="shared" si="81"/>
        <v>High Margin</v>
      </c>
      <c r="AH323" t="str">
        <f t="shared" si="82"/>
        <v>Repeat Customer</v>
      </c>
      <c r="AI323" t="str">
        <f t="shared" si="83"/>
        <v>Standard (3-5 days)</v>
      </c>
    </row>
    <row r="324" spans="1:35" ht="15" customHeight="1" x14ac:dyDescent="0.3">
      <c r="A324">
        <v>323</v>
      </c>
      <c r="B324" t="s">
        <v>1356</v>
      </c>
      <c r="C324" s="12">
        <v>41901</v>
      </c>
      <c r="D324" s="12">
        <v>41906</v>
      </c>
      <c r="E324" t="s">
        <v>233</v>
      </c>
      <c r="F324" t="s">
        <v>1357</v>
      </c>
      <c r="G324" t="s">
        <v>1358</v>
      </c>
      <c r="H324" t="s">
        <v>224</v>
      </c>
      <c r="I324" t="s">
        <v>210</v>
      </c>
      <c r="J324" t="s">
        <v>1359</v>
      </c>
      <c r="K324" t="s">
        <v>226</v>
      </c>
      <c r="L324">
        <v>90805</v>
      </c>
      <c r="M324" t="s">
        <v>227</v>
      </c>
      <c r="N324" t="s">
        <v>1360</v>
      </c>
      <c r="O324" t="s">
        <v>229</v>
      </c>
      <c r="P324" t="s">
        <v>452</v>
      </c>
      <c r="Q324" t="s">
        <v>1361</v>
      </c>
      <c r="R324" s="13">
        <v>7.16</v>
      </c>
      <c r="S324">
        <v>2</v>
      </c>
      <c r="T324" s="14">
        <v>0</v>
      </c>
      <c r="U324" s="13">
        <v>3.58</v>
      </c>
      <c r="V324">
        <f t="shared" si="70"/>
        <v>2014</v>
      </c>
      <c r="W324" t="str">
        <f t="shared" si="71"/>
        <v>Sep</v>
      </c>
      <c r="X324" t="str">
        <f t="shared" si="72"/>
        <v>Q3</v>
      </c>
      <c r="Y324" t="str">
        <f t="shared" si="73"/>
        <v>Fri</v>
      </c>
      <c r="Z324" s="16">
        <f t="shared" si="74"/>
        <v>5</v>
      </c>
      <c r="AA324" s="13">
        <f t="shared" si="75"/>
        <v>3.58</v>
      </c>
      <c r="AB324" s="14">
        <f t="shared" si="76"/>
        <v>0.5</v>
      </c>
      <c r="AC324" t="str">
        <f t="shared" si="77"/>
        <v>No Discount</v>
      </c>
      <c r="AD324" t="str">
        <f t="shared" si="78"/>
        <v>Low (&lt;$50)</v>
      </c>
      <c r="AE324" t="str">
        <f t="shared" si="79"/>
        <v>Small (1-2 units)</v>
      </c>
      <c r="AF324" t="str">
        <f t="shared" si="80"/>
        <v>Profitable</v>
      </c>
      <c r="AG324" t="str">
        <f t="shared" si="81"/>
        <v>High Margin</v>
      </c>
      <c r="AH324" t="str">
        <f t="shared" si="82"/>
        <v>Single Purchase</v>
      </c>
      <c r="AI324" t="str">
        <f t="shared" si="83"/>
        <v>Standard (3-5 days)</v>
      </c>
    </row>
    <row r="325" spans="1:35" ht="15" customHeight="1" x14ac:dyDescent="0.3">
      <c r="A325">
        <v>324</v>
      </c>
      <c r="B325" t="s">
        <v>1362</v>
      </c>
      <c r="C325" s="12">
        <v>42483</v>
      </c>
      <c r="D325" s="12">
        <v>42487</v>
      </c>
      <c r="E325" t="s">
        <v>233</v>
      </c>
      <c r="F325" t="s">
        <v>1363</v>
      </c>
      <c r="G325" t="s">
        <v>1364</v>
      </c>
      <c r="H325" t="s">
        <v>224</v>
      </c>
      <c r="I325" t="s">
        <v>210</v>
      </c>
      <c r="J325" t="s">
        <v>1365</v>
      </c>
      <c r="K325" t="s">
        <v>226</v>
      </c>
      <c r="L325">
        <v>92345</v>
      </c>
      <c r="M325" t="s">
        <v>227</v>
      </c>
      <c r="N325" t="s">
        <v>1274</v>
      </c>
      <c r="O325" t="s">
        <v>229</v>
      </c>
      <c r="P325" t="s">
        <v>258</v>
      </c>
      <c r="Q325" t="s">
        <v>1275</v>
      </c>
      <c r="R325" s="13">
        <v>251.52</v>
      </c>
      <c r="S325">
        <v>6</v>
      </c>
      <c r="T325" s="14">
        <v>0.2</v>
      </c>
      <c r="U325" s="13">
        <v>81.744</v>
      </c>
      <c r="V325">
        <f t="shared" si="70"/>
        <v>2016</v>
      </c>
      <c r="W325" t="str">
        <f t="shared" si="71"/>
        <v>Apr</v>
      </c>
      <c r="X325" t="str">
        <f t="shared" si="72"/>
        <v>Q2</v>
      </c>
      <c r="Y325" t="str">
        <f t="shared" si="73"/>
        <v>Sat</v>
      </c>
      <c r="Z325" s="16">
        <f t="shared" si="74"/>
        <v>4</v>
      </c>
      <c r="AA325" s="13">
        <f t="shared" si="75"/>
        <v>41.92</v>
      </c>
      <c r="AB325" s="14">
        <f t="shared" si="76"/>
        <v>0.32500000000000001</v>
      </c>
      <c r="AC325" t="str">
        <f t="shared" si="77"/>
        <v>Low (1-20%)</v>
      </c>
      <c r="AD325" t="str">
        <f t="shared" si="78"/>
        <v>High ($200-$500)</v>
      </c>
      <c r="AE325" t="str">
        <f t="shared" si="79"/>
        <v>Large (6+ units)</v>
      </c>
      <c r="AF325" t="str">
        <f t="shared" si="80"/>
        <v>Profitable</v>
      </c>
      <c r="AG325" t="str">
        <f t="shared" si="81"/>
        <v>High Margin</v>
      </c>
      <c r="AH325" t="str">
        <f t="shared" si="82"/>
        <v>Repeat Customer</v>
      </c>
      <c r="AI325" t="str">
        <f t="shared" si="83"/>
        <v>Standard (3-5 days)</v>
      </c>
    </row>
    <row r="326" spans="1:35" ht="15" customHeight="1" x14ac:dyDescent="0.3">
      <c r="A326">
        <v>325</v>
      </c>
      <c r="B326" t="s">
        <v>1362</v>
      </c>
      <c r="C326" s="12">
        <v>42483</v>
      </c>
      <c r="D326" s="12">
        <v>42487</v>
      </c>
      <c r="E326" t="s">
        <v>233</v>
      </c>
      <c r="F326" t="s">
        <v>1363</v>
      </c>
      <c r="G326" t="s">
        <v>1364</v>
      </c>
      <c r="H326" t="s">
        <v>224</v>
      </c>
      <c r="I326" t="s">
        <v>210</v>
      </c>
      <c r="J326" t="s">
        <v>1365</v>
      </c>
      <c r="K326" t="s">
        <v>226</v>
      </c>
      <c r="L326">
        <v>92345</v>
      </c>
      <c r="M326" t="s">
        <v>227</v>
      </c>
      <c r="N326" t="s">
        <v>1366</v>
      </c>
      <c r="O326" t="s">
        <v>254</v>
      </c>
      <c r="P326" t="s">
        <v>344</v>
      </c>
      <c r="Q326" t="s">
        <v>1367</v>
      </c>
      <c r="R326" s="13">
        <v>99.99</v>
      </c>
      <c r="S326">
        <v>1</v>
      </c>
      <c r="T326" s="14">
        <v>0</v>
      </c>
      <c r="U326" s="13">
        <v>34.996499999999997</v>
      </c>
      <c r="V326">
        <f t="shared" si="70"/>
        <v>2016</v>
      </c>
      <c r="W326" t="str">
        <f t="shared" si="71"/>
        <v>Apr</v>
      </c>
      <c r="X326" t="str">
        <f t="shared" si="72"/>
        <v>Q2</v>
      </c>
      <c r="Y326" t="str">
        <f t="shared" si="73"/>
        <v>Sat</v>
      </c>
      <c r="Z326" s="16">
        <f t="shared" si="74"/>
        <v>4</v>
      </c>
      <c r="AA326" s="13">
        <f t="shared" si="75"/>
        <v>99.99</v>
      </c>
      <c r="AB326" s="14">
        <f t="shared" si="76"/>
        <v>0.35</v>
      </c>
      <c r="AC326" t="str">
        <f t="shared" si="77"/>
        <v>No Discount</v>
      </c>
      <c r="AD326" t="str">
        <f t="shared" si="78"/>
        <v>Medium ($50-$200)</v>
      </c>
      <c r="AE326" t="str">
        <f t="shared" si="79"/>
        <v>Small (1-2 units)</v>
      </c>
      <c r="AF326" t="str">
        <f t="shared" si="80"/>
        <v>Profitable</v>
      </c>
      <c r="AG326" t="str">
        <f t="shared" si="81"/>
        <v>High Margin</v>
      </c>
      <c r="AH326" t="str">
        <f t="shared" si="82"/>
        <v>Repeat Customer</v>
      </c>
      <c r="AI326" t="str">
        <f t="shared" si="83"/>
        <v>Standard (3-5 days)</v>
      </c>
    </row>
    <row r="327" spans="1:35" ht="15" customHeight="1" x14ac:dyDescent="0.3">
      <c r="A327">
        <v>326</v>
      </c>
      <c r="B327" t="s">
        <v>1368</v>
      </c>
      <c r="C327" s="12">
        <v>43042</v>
      </c>
      <c r="D327" s="12">
        <v>43044</v>
      </c>
      <c r="E327" t="s">
        <v>206</v>
      </c>
      <c r="F327" t="s">
        <v>1369</v>
      </c>
      <c r="G327" t="s">
        <v>1370</v>
      </c>
      <c r="H327" t="s">
        <v>224</v>
      </c>
      <c r="I327" t="s">
        <v>210</v>
      </c>
      <c r="J327" t="s">
        <v>1371</v>
      </c>
      <c r="K327" t="s">
        <v>518</v>
      </c>
      <c r="L327">
        <v>37130</v>
      </c>
      <c r="M327" t="s">
        <v>213</v>
      </c>
      <c r="N327" t="s">
        <v>1372</v>
      </c>
      <c r="O327" t="s">
        <v>215</v>
      </c>
      <c r="P327" t="s">
        <v>248</v>
      </c>
      <c r="Q327" t="s">
        <v>1373</v>
      </c>
      <c r="R327" s="13">
        <v>15.992000000000001</v>
      </c>
      <c r="S327">
        <v>1</v>
      </c>
      <c r="T327" s="14">
        <v>0.2</v>
      </c>
      <c r="U327" s="13">
        <v>0.99949999999999894</v>
      </c>
      <c r="V327">
        <f t="shared" si="70"/>
        <v>2017</v>
      </c>
      <c r="W327" t="str">
        <f t="shared" si="71"/>
        <v>Nov</v>
      </c>
      <c r="X327" t="str">
        <f t="shared" si="72"/>
        <v>Q4</v>
      </c>
      <c r="Y327" t="str">
        <f t="shared" si="73"/>
        <v>Fri</v>
      </c>
      <c r="Z327" s="16">
        <f t="shared" si="74"/>
        <v>2</v>
      </c>
      <c r="AA327" s="13">
        <f t="shared" si="75"/>
        <v>15.992000000000001</v>
      </c>
      <c r="AB327" s="14">
        <f t="shared" si="76"/>
        <v>6.2499999999999931E-2</v>
      </c>
      <c r="AC327" t="str">
        <f t="shared" si="77"/>
        <v>Low (1-20%)</v>
      </c>
      <c r="AD327" t="str">
        <f t="shared" si="78"/>
        <v>Low (&lt;$50)</v>
      </c>
      <c r="AE327" t="str">
        <f t="shared" si="79"/>
        <v>Small (1-2 units)</v>
      </c>
      <c r="AF327" t="str">
        <f t="shared" si="80"/>
        <v>Profitable</v>
      </c>
      <c r="AG327" t="str">
        <f t="shared" si="81"/>
        <v>Low Margin</v>
      </c>
      <c r="AH327" t="str">
        <f t="shared" si="82"/>
        <v>Single Purchase</v>
      </c>
      <c r="AI327" t="str">
        <f t="shared" si="83"/>
        <v>Fast (&lt;=2 days)</v>
      </c>
    </row>
    <row r="328" spans="1:35" ht="15" customHeight="1" x14ac:dyDescent="0.3">
      <c r="A328">
        <v>327</v>
      </c>
      <c r="B328" t="s">
        <v>1374</v>
      </c>
      <c r="C328" s="12">
        <v>42612</v>
      </c>
      <c r="D328" s="12">
        <v>42614</v>
      </c>
      <c r="E328" t="s">
        <v>371</v>
      </c>
      <c r="F328" t="s">
        <v>1375</v>
      </c>
      <c r="G328" t="s">
        <v>1376</v>
      </c>
      <c r="H328" t="s">
        <v>209</v>
      </c>
      <c r="I328" t="s">
        <v>210</v>
      </c>
      <c r="J328" t="s">
        <v>329</v>
      </c>
      <c r="K328" t="s">
        <v>330</v>
      </c>
      <c r="L328">
        <v>19143</v>
      </c>
      <c r="M328" t="s">
        <v>331</v>
      </c>
      <c r="N328" t="s">
        <v>1377</v>
      </c>
      <c r="O328" t="s">
        <v>254</v>
      </c>
      <c r="P328" t="s">
        <v>255</v>
      </c>
      <c r="Q328" t="s">
        <v>1378</v>
      </c>
      <c r="R328" s="13">
        <v>290.89800000000002</v>
      </c>
      <c r="S328">
        <v>3</v>
      </c>
      <c r="T328" s="14">
        <v>0.4</v>
      </c>
      <c r="U328" s="13">
        <v>-67.876199999999997</v>
      </c>
      <c r="V328">
        <f t="shared" si="70"/>
        <v>2016</v>
      </c>
      <c r="W328" t="str">
        <f t="shared" si="71"/>
        <v>Aug</v>
      </c>
      <c r="X328" t="str">
        <f t="shared" si="72"/>
        <v>Q3</v>
      </c>
      <c r="Y328" t="str">
        <f t="shared" si="73"/>
        <v>Tue</v>
      </c>
      <c r="Z328" s="16">
        <f t="shared" si="74"/>
        <v>2</v>
      </c>
      <c r="AA328" s="13">
        <f t="shared" si="75"/>
        <v>96.966000000000008</v>
      </c>
      <c r="AB328" s="14">
        <f t="shared" si="76"/>
        <v>-0.23333333333333331</v>
      </c>
      <c r="AC328" t="str">
        <f t="shared" si="77"/>
        <v>Medium (21-40%)</v>
      </c>
      <c r="AD328" t="str">
        <f t="shared" si="78"/>
        <v>High ($200-$500)</v>
      </c>
      <c r="AE328" t="str">
        <f t="shared" si="79"/>
        <v>Medium (3-5 units)</v>
      </c>
      <c r="AF328" t="str">
        <f t="shared" si="80"/>
        <v>Loss-Making</v>
      </c>
      <c r="AG328" t="str">
        <f t="shared" si="81"/>
        <v>Underperforming</v>
      </c>
      <c r="AH328" t="str">
        <f t="shared" si="82"/>
        <v>Repeat Customer</v>
      </c>
      <c r="AI328" t="str">
        <f t="shared" si="83"/>
        <v>Fast (&lt;=2 days)</v>
      </c>
    </row>
    <row r="329" spans="1:35" ht="15" customHeight="1" x14ac:dyDescent="0.3">
      <c r="A329">
        <v>328</v>
      </c>
      <c r="B329" t="s">
        <v>1374</v>
      </c>
      <c r="C329" s="12">
        <v>42612</v>
      </c>
      <c r="D329" s="12">
        <v>42614</v>
      </c>
      <c r="E329" t="s">
        <v>371</v>
      </c>
      <c r="F329" t="s">
        <v>1375</v>
      </c>
      <c r="G329" t="s">
        <v>1376</v>
      </c>
      <c r="H329" t="s">
        <v>209</v>
      </c>
      <c r="I329" t="s">
        <v>210</v>
      </c>
      <c r="J329" t="s">
        <v>329</v>
      </c>
      <c r="K329" t="s">
        <v>330</v>
      </c>
      <c r="L329">
        <v>19143</v>
      </c>
      <c r="M329" t="s">
        <v>331</v>
      </c>
      <c r="N329" t="s">
        <v>1379</v>
      </c>
      <c r="O329" t="s">
        <v>229</v>
      </c>
      <c r="P329" t="s">
        <v>242</v>
      </c>
      <c r="Q329" t="s">
        <v>1380</v>
      </c>
      <c r="R329" s="13">
        <v>54.223999999999997</v>
      </c>
      <c r="S329">
        <v>2</v>
      </c>
      <c r="T329" s="14">
        <v>0.2</v>
      </c>
      <c r="U329" s="13">
        <v>3.3889999999999998</v>
      </c>
      <c r="V329">
        <f t="shared" si="70"/>
        <v>2016</v>
      </c>
      <c r="W329" t="str">
        <f t="shared" si="71"/>
        <v>Aug</v>
      </c>
      <c r="X329" t="str">
        <f t="shared" si="72"/>
        <v>Q3</v>
      </c>
      <c r="Y329" t="str">
        <f t="shared" si="73"/>
        <v>Tue</v>
      </c>
      <c r="Z329" s="16">
        <f t="shared" si="74"/>
        <v>2</v>
      </c>
      <c r="AA329" s="13">
        <f t="shared" si="75"/>
        <v>27.111999999999998</v>
      </c>
      <c r="AB329" s="14">
        <f t="shared" si="76"/>
        <v>6.25E-2</v>
      </c>
      <c r="AC329" t="str">
        <f t="shared" si="77"/>
        <v>Low (1-20%)</v>
      </c>
      <c r="AD329" t="str">
        <f t="shared" si="78"/>
        <v>Medium ($50-$200)</v>
      </c>
      <c r="AE329" t="str">
        <f t="shared" si="79"/>
        <v>Small (1-2 units)</v>
      </c>
      <c r="AF329" t="str">
        <f t="shared" si="80"/>
        <v>Profitable</v>
      </c>
      <c r="AG329" t="str">
        <f t="shared" si="81"/>
        <v>Low Margin</v>
      </c>
      <c r="AH329" t="str">
        <f t="shared" si="82"/>
        <v>Repeat Customer</v>
      </c>
      <c r="AI329" t="str">
        <f t="shared" si="83"/>
        <v>Fast (&lt;=2 days)</v>
      </c>
    </row>
    <row r="330" spans="1:35" ht="15" customHeight="1" x14ac:dyDescent="0.3">
      <c r="A330">
        <v>329</v>
      </c>
      <c r="B330" t="s">
        <v>1374</v>
      </c>
      <c r="C330" s="12">
        <v>42612</v>
      </c>
      <c r="D330" s="12">
        <v>42614</v>
      </c>
      <c r="E330" t="s">
        <v>371</v>
      </c>
      <c r="F330" t="s">
        <v>1375</v>
      </c>
      <c r="G330" t="s">
        <v>1376</v>
      </c>
      <c r="H330" t="s">
        <v>209</v>
      </c>
      <c r="I330" t="s">
        <v>210</v>
      </c>
      <c r="J330" t="s">
        <v>329</v>
      </c>
      <c r="K330" t="s">
        <v>330</v>
      </c>
      <c r="L330">
        <v>19143</v>
      </c>
      <c r="M330" t="s">
        <v>331</v>
      </c>
      <c r="N330" t="s">
        <v>1381</v>
      </c>
      <c r="O330" t="s">
        <v>215</v>
      </c>
      <c r="P330" t="s">
        <v>219</v>
      </c>
      <c r="Q330" t="s">
        <v>1382</v>
      </c>
      <c r="R330" s="13">
        <v>786.74400000000003</v>
      </c>
      <c r="S330">
        <v>4</v>
      </c>
      <c r="T330" s="14">
        <v>0.3</v>
      </c>
      <c r="U330" s="13">
        <v>-258.5016</v>
      </c>
      <c r="V330">
        <f t="shared" si="70"/>
        <v>2016</v>
      </c>
      <c r="W330" t="str">
        <f t="shared" si="71"/>
        <v>Aug</v>
      </c>
      <c r="X330" t="str">
        <f t="shared" si="72"/>
        <v>Q3</v>
      </c>
      <c r="Y330" t="str">
        <f t="shared" si="73"/>
        <v>Tue</v>
      </c>
      <c r="Z330" s="16">
        <f t="shared" si="74"/>
        <v>2</v>
      </c>
      <c r="AA330" s="13">
        <f t="shared" si="75"/>
        <v>196.68600000000001</v>
      </c>
      <c r="AB330" s="14">
        <f t="shared" si="76"/>
        <v>-0.32857142857142857</v>
      </c>
      <c r="AC330" t="str">
        <f t="shared" si="77"/>
        <v>Medium (21-40%)</v>
      </c>
      <c r="AD330" t="str">
        <f t="shared" si="78"/>
        <v>Premium ($500+)</v>
      </c>
      <c r="AE330" t="str">
        <f t="shared" si="79"/>
        <v>Medium (3-5 units)</v>
      </c>
      <c r="AF330" t="str">
        <f t="shared" si="80"/>
        <v>Loss-Making</v>
      </c>
      <c r="AG330" t="str">
        <f t="shared" si="81"/>
        <v>Underperforming</v>
      </c>
      <c r="AH330" t="str">
        <f t="shared" si="82"/>
        <v>Repeat Customer</v>
      </c>
      <c r="AI330" t="str">
        <f t="shared" si="83"/>
        <v>Fast (&lt;=2 days)</v>
      </c>
    </row>
    <row r="331" spans="1:35" ht="15" customHeight="1" x14ac:dyDescent="0.3">
      <c r="A331">
        <v>330</v>
      </c>
      <c r="B331" t="s">
        <v>1374</v>
      </c>
      <c r="C331" s="12">
        <v>42612</v>
      </c>
      <c r="D331" s="12">
        <v>42614</v>
      </c>
      <c r="E331" t="s">
        <v>371</v>
      </c>
      <c r="F331" t="s">
        <v>1375</v>
      </c>
      <c r="G331" t="s">
        <v>1376</v>
      </c>
      <c r="H331" t="s">
        <v>209</v>
      </c>
      <c r="I331" t="s">
        <v>210</v>
      </c>
      <c r="J331" t="s">
        <v>329</v>
      </c>
      <c r="K331" t="s">
        <v>330</v>
      </c>
      <c r="L331">
        <v>19143</v>
      </c>
      <c r="M331" t="s">
        <v>331</v>
      </c>
      <c r="N331" t="s">
        <v>1383</v>
      </c>
      <c r="O331" t="s">
        <v>229</v>
      </c>
      <c r="P331" t="s">
        <v>230</v>
      </c>
      <c r="Q331" t="s">
        <v>1384</v>
      </c>
      <c r="R331" s="13">
        <v>100.24</v>
      </c>
      <c r="S331">
        <v>10</v>
      </c>
      <c r="T331" s="14">
        <v>0.2</v>
      </c>
      <c r="U331" s="13">
        <v>33.831000000000003</v>
      </c>
      <c r="V331">
        <f t="shared" si="70"/>
        <v>2016</v>
      </c>
      <c r="W331" t="str">
        <f t="shared" si="71"/>
        <v>Aug</v>
      </c>
      <c r="X331" t="str">
        <f t="shared" si="72"/>
        <v>Q3</v>
      </c>
      <c r="Y331" t="str">
        <f t="shared" si="73"/>
        <v>Tue</v>
      </c>
      <c r="Z331" s="16">
        <f t="shared" si="74"/>
        <v>2</v>
      </c>
      <c r="AA331" s="13">
        <f t="shared" si="75"/>
        <v>10.023999999999999</v>
      </c>
      <c r="AB331" s="14">
        <f t="shared" si="76"/>
        <v>0.33750000000000002</v>
      </c>
      <c r="AC331" t="str">
        <f t="shared" si="77"/>
        <v>Low (1-20%)</v>
      </c>
      <c r="AD331" t="str">
        <f t="shared" si="78"/>
        <v>Medium ($50-$200)</v>
      </c>
      <c r="AE331" t="str">
        <f t="shared" si="79"/>
        <v>Large (6+ units)</v>
      </c>
      <c r="AF331" t="str">
        <f t="shared" si="80"/>
        <v>Profitable</v>
      </c>
      <c r="AG331" t="str">
        <f t="shared" si="81"/>
        <v>High Margin</v>
      </c>
      <c r="AH331" t="str">
        <f t="shared" si="82"/>
        <v>Repeat Customer</v>
      </c>
      <c r="AI331" t="str">
        <f t="shared" si="83"/>
        <v>Fast (&lt;=2 days)</v>
      </c>
    </row>
    <row r="332" spans="1:35" ht="15" customHeight="1" x14ac:dyDescent="0.3">
      <c r="A332">
        <v>331</v>
      </c>
      <c r="B332" t="s">
        <v>1374</v>
      </c>
      <c r="C332" s="12">
        <v>42612</v>
      </c>
      <c r="D332" s="12">
        <v>42614</v>
      </c>
      <c r="E332" t="s">
        <v>371</v>
      </c>
      <c r="F332" t="s">
        <v>1375</v>
      </c>
      <c r="G332" t="s">
        <v>1376</v>
      </c>
      <c r="H332" t="s">
        <v>209</v>
      </c>
      <c r="I332" t="s">
        <v>210</v>
      </c>
      <c r="J332" t="s">
        <v>329</v>
      </c>
      <c r="K332" t="s">
        <v>330</v>
      </c>
      <c r="L332">
        <v>19143</v>
      </c>
      <c r="M332" t="s">
        <v>331</v>
      </c>
      <c r="N332" t="s">
        <v>1385</v>
      </c>
      <c r="O332" t="s">
        <v>229</v>
      </c>
      <c r="P332" t="s">
        <v>258</v>
      </c>
      <c r="Q332" t="s">
        <v>1386</v>
      </c>
      <c r="R332" s="13">
        <v>37.764000000000003</v>
      </c>
      <c r="S332">
        <v>6</v>
      </c>
      <c r="T332" s="14">
        <v>0.7</v>
      </c>
      <c r="U332" s="13">
        <v>-27.6936</v>
      </c>
      <c r="V332">
        <f t="shared" si="70"/>
        <v>2016</v>
      </c>
      <c r="W332" t="str">
        <f t="shared" si="71"/>
        <v>Aug</v>
      </c>
      <c r="X332" t="str">
        <f t="shared" si="72"/>
        <v>Q3</v>
      </c>
      <c r="Y332" t="str">
        <f t="shared" si="73"/>
        <v>Tue</v>
      </c>
      <c r="Z332" s="16">
        <f t="shared" si="74"/>
        <v>2</v>
      </c>
      <c r="AA332" s="13">
        <f t="shared" si="75"/>
        <v>6.2940000000000005</v>
      </c>
      <c r="AB332" s="14">
        <f t="shared" si="76"/>
        <v>-0.73333333333333328</v>
      </c>
      <c r="AC332" t="str">
        <f t="shared" si="77"/>
        <v>High (40%+)</v>
      </c>
      <c r="AD332" t="str">
        <f t="shared" si="78"/>
        <v>Low (&lt;$50)</v>
      </c>
      <c r="AE332" t="str">
        <f t="shared" si="79"/>
        <v>Large (6+ units)</v>
      </c>
      <c r="AF332" t="str">
        <f t="shared" si="80"/>
        <v>Loss-Making</v>
      </c>
      <c r="AG332" t="str">
        <f t="shared" si="81"/>
        <v>Underperforming</v>
      </c>
      <c r="AH332" t="str">
        <f t="shared" si="82"/>
        <v>Repeat Customer</v>
      </c>
      <c r="AI332" t="str">
        <f t="shared" si="83"/>
        <v>Fast (&lt;=2 days)</v>
      </c>
    </row>
    <row r="333" spans="1:35" ht="15" customHeight="1" x14ac:dyDescent="0.3">
      <c r="A333">
        <v>332</v>
      </c>
      <c r="B333" t="s">
        <v>1387</v>
      </c>
      <c r="C333" s="12">
        <v>42485</v>
      </c>
      <c r="D333" s="12">
        <v>42489</v>
      </c>
      <c r="E333" t="s">
        <v>206</v>
      </c>
      <c r="F333" t="s">
        <v>1388</v>
      </c>
      <c r="G333" t="s">
        <v>1389</v>
      </c>
      <c r="H333" t="s">
        <v>209</v>
      </c>
      <c r="I333" t="s">
        <v>210</v>
      </c>
      <c r="J333" t="s">
        <v>329</v>
      </c>
      <c r="K333" t="s">
        <v>330</v>
      </c>
      <c r="L333">
        <v>19134</v>
      </c>
      <c r="M333" t="s">
        <v>331</v>
      </c>
      <c r="N333" t="s">
        <v>1390</v>
      </c>
      <c r="O333" t="s">
        <v>254</v>
      </c>
      <c r="P333" t="s">
        <v>255</v>
      </c>
      <c r="Q333" t="s">
        <v>1391</v>
      </c>
      <c r="R333" s="13">
        <v>82.8</v>
      </c>
      <c r="S333">
        <v>2</v>
      </c>
      <c r="T333" s="14">
        <v>0.4</v>
      </c>
      <c r="U333" s="13">
        <v>-20.7</v>
      </c>
      <c r="V333">
        <f t="shared" si="70"/>
        <v>2016</v>
      </c>
      <c r="W333" t="str">
        <f t="shared" si="71"/>
        <v>Apr</v>
      </c>
      <c r="X333" t="str">
        <f t="shared" si="72"/>
        <v>Q2</v>
      </c>
      <c r="Y333" t="str">
        <f t="shared" si="73"/>
        <v>Mon</v>
      </c>
      <c r="Z333" s="16">
        <f t="shared" si="74"/>
        <v>4</v>
      </c>
      <c r="AA333" s="13">
        <f t="shared" si="75"/>
        <v>41.4</v>
      </c>
      <c r="AB333" s="14">
        <f t="shared" si="76"/>
        <v>-0.25</v>
      </c>
      <c r="AC333" t="str">
        <f t="shared" si="77"/>
        <v>Medium (21-40%)</v>
      </c>
      <c r="AD333" t="str">
        <f t="shared" si="78"/>
        <v>Medium ($50-$200)</v>
      </c>
      <c r="AE333" t="str">
        <f t="shared" si="79"/>
        <v>Small (1-2 units)</v>
      </c>
      <c r="AF333" t="str">
        <f t="shared" si="80"/>
        <v>Loss-Making</v>
      </c>
      <c r="AG333" t="str">
        <f t="shared" si="81"/>
        <v>Underperforming</v>
      </c>
      <c r="AH333" t="str">
        <f t="shared" si="82"/>
        <v>Repeat Customer</v>
      </c>
      <c r="AI333" t="str">
        <f t="shared" si="83"/>
        <v>Standard (3-5 days)</v>
      </c>
    </row>
    <row r="334" spans="1:35" ht="15" customHeight="1" x14ac:dyDescent="0.3">
      <c r="A334">
        <v>333</v>
      </c>
      <c r="B334" t="s">
        <v>1387</v>
      </c>
      <c r="C334" s="12">
        <v>42485</v>
      </c>
      <c r="D334" s="12">
        <v>42489</v>
      </c>
      <c r="E334" t="s">
        <v>206</v>
      </c>
      <c r="F334" t="s">
        <v>1388</v>
      </c>
      <c r="G334" t="s">
        <v>1389</v>
      </c>
      <c r="H334" t="s">
        <v>209</v>
      </c>
      <c r="I334" t="s">
        <v>210</v>
      </c>
      <c r="J334" t="s">
        <v>329</v>
      </c>
      <c r="K334" t="s">
        <v>330</v>
      </c>
      <c r="L334">
        <v>19134</v>
      </c>
      <c r="M334" t="s">
        <v>331</v>
      </c>
      <c r="N334" t="s">
        <v>1392</v>
      </c>
      <c r="O334" t="s">
        <v>229</v>
      </c>
      <c r="P334" t="s">
        <v>258</v>
      </c>
      <c r="Q334" t="s">
        <v>1393</v>
      </c>
      <c r="R334" s="13">
        <v>20.724</v>
      </c>
      <c r="S334">
        <v>2</v>
      </c>
      <c r="T334" s="14">
        <v>0.7</v>
      </c>
      <c r="U334" s="13">
        <v>-13.816000000000001</v>
      </c>
      <c r="V334">
        <f t="shared" si="70"/>
        <v>2016</v>
      </c>
      <c r="W334" t="str">
        <f t="shared" si="71"/>
        <v>Apr</v>
      </c>
      <c r="X334" t="str">
        <f t="shared" si="72"/>
        <v>Q2</v>
      </c>
      <c r="Y334" t="str">
        <f t="shared" si="73"/>
        <v>Mon</v>
      </c>
      <c r="Z334" s="16">
        <f t="shared" si="74"/>
        <v>4</v>
      </c>
      <c r="AA334" s="13">
        <f t="shared" si="75"/>
        <v>10.362</v>
      </c>
      <c r="AB334" s="14">
        <f t="shared" si="76"/>
        <v>-0.66666666666666674</v>
      </c>
      <c r="AC334" t="str">
        <f t="shared" si="77"/>
        <v>High (40%+)</v>
      </c>
      <c r="AD334" t="str">
        <f t="shared" si="78"/>
        <v>Low (&lt;$50)</v>
      </c>
      <c r="AE334" t="str">
        <f t="shared" si="79"/>
        <v>Small (1-2 units)</v>
      </c>
      <c r="AF334" t="str">
        <f t="shared" si="80"/>
        <v>Loss-Making</v>
      </c>
      <c r="AG334" t="str">
        <f t="shared" si="81"/>
        <v>Underperforming</v>
      </c>
      <c r="AH334" t="str">
        <f t="shared" si="82"/>
        <v>Repeat Customer</v>
      </c>
      <c r="AI334" t="str">
        <f t="shared" si="83"/>
        <v>Standard (3-5 days)</v>
      </c>
    </row>
    <row r="335" spans="1:35" ht="15" customHeight="1" x14ac:dyDescent="0.3">
      <c r="A335">
        <v>334</v>
      </c>
      <c r="B335" t="s">
        <v>1387</v>
      </c>
      <c r="C335" s="12">
        <v>42485</v>
      </c>
      <c r="D335" s="12">
        <v>42489</v>
      </c>
      <c r="E335" t="s">
        <v>206</v>
      </c>
      <c r="F335" t="s">
        <v>1388</v>
      </c>
      <c r="G335" t="s">
        <v>1389</v>
      </c>
      <c r="H335" t="s">
        <v>209</v>
      </c>
      <c r="I335" t="s">
        <v>210</v>
      </c>
      <c r="J335" t="s">
        <v>329</v>
      </c>
      <c r="K335" t="s">
        <v>330</v>
      </c>
      <c r="L335">
        <v>19134</v>
      </c>
      <c r="M335" t="s">
        <v>331</v>
      </c>
      <c r="N335" t="s">
        <v>1394</v>
      </c>
      <c r="O335" t="s">
        <v>229</v>
      </c>
      <c r="P335" t="s">
        <v>258</v>
      </c>
      <c r="Q335" t="s">
        <v>1395</v>
      </c>
      <c r="R335" s="13">
        <v>4.8959999999999999</v>
      </c>
      <c r="S335">
        <v>3</v>
      </c>
      <c r="T335" s="14">
        <v>0.7</v>
      </c>
      <c r="U335" s="13">
        <v>-3.4272</v>
      </c>
      <c r="V335">
        <f t="shared" si="70"/>
        <v>2016</v>
      </c>
      <c r="W335" t="str">
        <f t="shared" si="71"/>
        <v>Apr</v>
      </c>
      <c r="X335" t="str">
        <f t="shared" si="72"/>
        <v>Q2</v>
      </c>
      <c r="Y335" t="str">
        <f t="shared" si="73"/>
        <v>Mon</v>
      </c>
      <c r="Z335" s="16">
        <f t="shared" si="74"/>
        <v>4</v>
      </c>
      <c r="AA335" s="13">
        <f t="shared" si="75"/>
        <v>1.6319999999999999</v>
      </c>
      <c r="AB335" s="14">
        <f t="shared" si="76"/>
        <v>-0.70000000000000007</v>
      </c>
      <c r="AC335" t="str">
        <f t="shared" si="77"/>
        <v>High (40%+)</v>
      </c>
      <c r="AD335" t="str">
        <f t="shared" si="78"/>
        <v>Low (&lt;$50)</v>
      </c>
      <c r="AE335" t="str">
        <f t="shared" si="79"/>
        <v>Medium (3-5 units)</v>
      </c>
      <c r="AF335" t="str">
        <f t="shared" si="80"/>
        <v>Loss-Making</v>
      </c>
      <c r="AG335" t="str">
        <f t="shared" si="81"/>
        <v>Underperforming</v>
      </c>
      <c r="AH335" t="str">
        <f t="shared" si="82"/>
        <v>Repeat Customer</v>
      </c>
      <c r="AI335" t="str">
        <f t="shared" si="83"/>
        <v>Standard (3-5 days)</v>
      </c>
    </row>
    <row r="336" spans="1:35" ht="15" customHeight="1" x14ac:dyDescent="0.3">
      <c r="A336">
        <v>335</v>
      </c>
      <c r="B336" t="s">
        <v>1396</v>
      </c>
      <c r="C336" s="12">
        <v>42248</v>
      </c>
      <c r="D336" s="12">
        <v>42251</v>
      </c>
      <c r="E336" t="s">
        <v>206</v>
      </c>
      <c r="F336" t="s">
        <v>1397</v>
      </c>
      <c r="G336" t="s">
        <v>1398</v>
      </c>
      <c r="H336" t="s">
        <v>209</v>
      </c>
      <c r="I336" t="s">
        <v>210</v>
      </c>
      <c r="J336" t="s">
        <v>225</v>
      </c>
      <c r="K336" t="s">
        <v>226</v>
      </c>
      <c r="L336">
        <v>90045</v>
      </c>
      <c r="M336" t="s">
        <v>227</v>
      </c>
      <c r="N336" t="s">
        <v>1399</v>
      </c>
      <c r="O336" t="s">
        <v>229</v>
      </c>
      <c r="P336" t="s">
        <v>258</v>
      </c>
      <c r="Q336" t="s">
        <v>1400</v>
      </c>
      <c r="R336" s="13">
        <v>4.7519999999999998</v>
      </c>
      <c r="S336">
        <v>1</v>
      </c>
      <c r="T336" s="14">
        <v>0.2</v>
      </c>
      <c r="U336" s="13">
        <v>1.6037999999999999</v>
      </c>
      <c r="V336">
        <f t="shared" si="70"/>
        <v>2015</v>
      </c>
      <c r="W336" t="str">
        <f t="shared" si="71"/>
        <v>Sep</v>
      </c>
      <c r="X336" t="str">
        <f t="shared" si="72"/>
        <v>Q3</v>
      </c>
      <c r="Y336" t="str">
        <f t="shared" si="73"/>
        <v>Tue</v>
      </c>
      <c r="Z336" s="16">
        <f t="shared" si="74"/>
        <v>3</v>
      </c>
      <c r="AA336" s="13">
        <f t="shared" si="75"/>
        <v>4.7519999999999998</v>
      </c>
      <c r="AB336" s="14">
        <f t="shared" si="76"/>
        <v>0.33749999999999997</v>
      </c>
      <c r="AC336" t="str">
        <f t="shared" si="77"/>
        <v>Low (1-20%)</v>
      </c>
      <c r="AD336" t="str">
        <f t="shared" si="78"/>
        <v>Low (&lt;$50)</v>
      </c>
      <c r="AE336" t="str">
        <f t="shared" si="79"/>
        <v>Small (1-2 units)</v>
      </c>
      <c r="AF336" t="str">
        <f t="shared" si="80"/>
        <v>Profitable</v>
      </c>
      <c r="AG336" t="str">
        <f t="shared" si="81"/>
        <v>High Margin</v>
      </c>
      <c r="AH336" t="str">
        <f t="shared" si="82"/>
        <v>Repeat Customer</v>
      </c>
      <c r="AI336" t="str">
        <f t="shared" si="83"/>
        <v>Standard (3-5 days)</v>
      </c>
    </row>
    <row r="337" spans="1:35" ht="15" customHeight="1" x14ac:dyDescent="0.3">
      <c r="A337">
        <v>336</v>
      </c>
      <c r="B337" t="s">
        <v>1396</v>
      </c>
      <c r="C337" s="12">
        <v>42248</v>
      </c>
      <c r="D337" s="12">
        <v>42251</v>
      </c>
      <c r="E337" t="s">
        <v>206</v>
      </c>
      <c r="F337" t="s">
        <v>1397</v>
      </c>
      <c r="G337" t="s">
        <v>1398</v>
      </c>
      <c r="H337" t="s">
        <v>209</v>
      </c>
      <c r="I337" t="s">
        <v>210</v>
      </c>
      <c r="J337" t="s">
        <v>225</v>
      </c>
      <c r="K337" t="s">
        <v>226</v>
      </c>
      <c r="L337">
        <v>90045</v>
      </c>
      <c r="M337" t="s">
        <v>227</v>
      </c>
      <c r="N337" t="s">
        <v>1401</v>
      </c>
      <c r="O337" t="s">
        <v>254</v>
      </c>
      <c r="P337" t="s">
        <v>1402</v>
      </c>
      <c r="Q337" t="s">
        <v>1403</v>
      </c>
      <c r="R337" s="13">
        <v>959.98400000000004</v>
      </c>
      <c r="S337">
        <v>2</v>
      </c>
      <c r="T337" s="14">
        <v>0.2</v>
      </c>
      <c r="U337" s="13">
        <v>335.99439999999998</v>
      </c>
      <c r="V337">
        <f t="shared" si="70"/>
        <v>2015</v>
      </c>
      <c r="W337" t="str">
        <f t="shared" si="71"/>
        <v>Sep</v>
      </c>
      <c r="X337" t="str">
        <f t="shared" si="72"/>
        <v>Q3</v>
      </c>
      <c r="Y337" t="str">
        <f t="shared" si="73"/>
        <v>Tue</v>
      </c>
      <c r="Z337" s="16">
        <f t="shared" si="74"/>
        <v>3</v>
      </c>
      <c r="AA337" s="13">
        <f t="shared" si="75"/>
        <v>479.99200000000002</v>
      </c>
      <c r="AB337" s="14">
        <f t="shared" si="76"/>
        <v>0.35</v>
      </c>
      <c r="AC337" t="str">
        <f t="shared" si="77"/>
        <v>Low (1-20%)</v>
      </c>
      <c r="AD337" t="str">
        <f t="shared" si="78"/>
        <v>Premium ($500+)</v>
      </c>
      <c r="AE337" t="str">
        <f t="shared" si="79"/>
        <v>Small (1-2 units)</v>
      </c>
      <c r="AF337" t="str">
        <f t="shared" si="80"/>
        <v>Profitable</v>
      </c>
      <c r="AG337" t="str">
        <f t="shared" si="81"/>
        <v>High Margin</v>
      </c>
      <c r="AH337" t="str">
        <f t="shared" si="82"/>
        <v>Repeat Customer</v>
      </c>
      <c r="AI337" t="str">
        <f t="shared" si="83"/>
        <v>Standard (3-5 days)</v>
      </c>
    </row>
    <row r="338" spans="1:35" ht="15" customHeight="1" x14ac:dyDescent="0.3">
      <c r="A338">
        <v>337</v>
      </c>
      <c r="B338" t="s">
        <v>1396</v>
      </c>
      <c r="C338" s="12">
        <v>42248</v>
      </c>
      <c r="D338" s="12">
        <v>42251</v>
      </c>
      <c r="E338" t="s">
        <v>206</v>
      </c>
      <c r="F338" t="s">
        <v>1397</v>
      </c>
      <c r="G338" t="s">
        <v>1398</v>
      </c>
      <c r="H338" t="s">
        <v>209</v>
      </c>
      <c r="I338" t="s">
        <v>210</v>
      </c>
      <c r="J338" t="s">
        <v>225</v>
      </c>
      <c r="K338" t="s">
        <v>226</v>
      </c>
      <c r="L338">
        <v>90045</v>
      </c>
      <c r="M338" t="s">
        <v>227</v>
      </c>
      <c r="N338" t="s">
        <v>1404</v>
      </c>
      <c r="O338" t="s">
        <v>229</v>
      </c>
      <c r="P338" t="s">
        <v>258</v>
      </c>
      <c r="Q338" t="s">
        <v>1405</v>
      </c>
      <c r="R338" s="13">
        <v>14.368</v>
      </c>
      <c r="S338">
        <v>4</v>
      </c>
      <c r="T338" s="14">
        <v>0.2</v>
      </c>
      <c r="U338" s="13">
        <v>4.49</v>
      </c>
      <c r="V338">
        <f t="shared" si="70"/>
        <v>2015</v>
      </c>
      <c r="W338" t="str">
        <f t="shared" si="71"/>
        <v>Sep</v>
      </c>
      <c r="X338" t="str">
        <f t="shared" si="72"/>
        <v>Q3</v>
      </c>
      <c r="Y338" t="str">
        <f t="shared" si="73"/>
        <v>Tue</v>
      </c>
      <c r="Z338" s="16">
        <f t="shared" si="74"/>
        <v>3</v>
      </c>
      <c r="AA338" s="13">
        <f t="shared" si="75"/>
        <v>3.5920000000000001</v>
      </c>
      <c r="AB338" s="14">
        <f t="shared" si="76"/>
        <v>0.3125</v>
      </c>
      <c r="AC338" t="str">
        <f t="shared" si="77"/>
        <v>Low (1-20%)</v>
      </c>
      <c r="AD338" t="str">
        <f t="shared" si="78"/>
        <v>Low (&lt;$50)</v>
      </c>
      <c r="AE338" t="str">
        <f t="shared" si="79"/>
        <v>Medium (3-5 units)</v>
      </c>
      <c r="AF338" t="str">
        <f t="shared" si="80"/>
        <v>Profitable</v>
      </c>
      <c r="AG338" t="str">
        <f t="shared" si="81"/>
        <v>High Margin</v>
      </c>
      <c r="AH338" t="str">
        <f t="shared" si="82"/>
        <v>Repeat Customer</v>
      </c>
      <c r="AI338" t="str">
        <f t="shared" si="83"/>
        <v>Standard (3-5 days)</v>
      </c>
    </row>
    <row r="339" spans="1:35" ht="15" customHeight="1" x14ac:dyDescent="0.3">
      <c r="A339">
        <v>338</v>
      </c>
      <c r="B339" t="s">
        <v>1406</v>
      </c>
      <c r="C339" s="12">
        <v>41832</v>
      </c>
      <c r="D339" s="12">
        <v>41837</v>
      </c>
      <c r="E339" t="s">
        <v>233</v>
      </c>
      <c r="F339" t="s">
        <v>1407</v>
      </c>
      <c r="G339" t="s">
        <v>1408</v>
      </c>
      <c r="H339" t="s">
        <v>224</v>
      </c>
      <c r="I339" t="s">
        <v>210</v>
      </c>
      <c r="J339" t="s">
        <v>310</v>
      </c>
      <c r="K339" t="s">
        <v>226</v>
      </c>
      <c r="L339">
        <v>94122</v>
      </c>
      <c r="M339" t="s">
        <v>227</v>
      </c>
      <c r="N339" t="s">
        <v>1409</v>
      </c>
      <c r="O339" t="s">
        <v>229</v>
      </c>
      <c r="P339" t="s">
        <v>258</v>
      </c>
      <c r="Q339" t="s">
        <v>1410</v>
      </c>
      <c r="R339" s="13">
        <v>7.7119999999999997</v>
      </c>
      <c r="S339">
        <v>2</v>
      </c>
      <c r="T339" s="14">
        <v>0.2</v>
      </c>
      <c r="U339" s="13">
        <v>2.7955999999999999</v>
      </c>
      <c r="V339">
        <f t="shared" si="70"/>
        <v>2014</v>
      </c>
      <c r="W339" t="str">
        <f t="shared" si="71"/>
        <v>Jul</v>
      </c>
      <c r="X339" t="str">
        <f t="shared" si="72"/>
        <v>Q3</v>
      </c>
      <c r="Y339" t="str">
        <f t="shared" si="73"/>
        <v>Sat</v>
      </c>
      <c r="Z339" s="16">
        <f t="shared" si="74"/>
        <v>5</v>
      </c>
      <c r="AA339" s="13">
        <f t="shared" si="75"/>
        <v>3.8559999999999999</v>
      </c>
      <c r="AB339" s="14">
        <f t="shared" si="76"/>
        <v>0.36249999999999999</v>
      </c>
      <c r="AC339" t="str">
        <f t="shared" si="77"/>
        <v>Low (1-20%)</v>
      </c>
      <c r="AD339" t="str">
        <f t="shared" si="78"/>
        <v>Low (&lt;$50)</v>
      </c>
      <c r="AE339" t="str">
        <f t="shared" si="79"/>
        <v>Small (1-2 units)</v>
      </c>
      <c r="AF339" t="str">
        <f t="shared" si="80"/>
        <v>Profitable</v>
      </c>
      <c r="AG339" t="str">
        <f t="shared" si="81"/>
        <v>High Margin</v>
      </c>
      <c r="AH339" t="str">
        <f t="shared" si="82"/>
        <v>Repeat Customer</v>
      </c>
      <c r="AI339" t="str">
        <f t="shared" si="83"/>
        <v>Standard (3-5 days)</v>
      </c>
    </row>
    <row r="340" spans="1:35" ht="15" customHeight="1" x14ac:dyDescent="0.3">
      <c r="A340">
        <v>339</v>
      </c>
      <c r="B340" t="s">
        <v>1406</v>
      </c>
      <c r="C340" s="12">
        <v>41832</v>
      </c>
      <c r="D340" s="12">
        <v>41837</v>
      </c>
      <c r="E340" t="s">
        <v>233</v>
      </c>
      <c r="F340" t="s">
        <v>1407</v>
      </c>
      <c r="G340" t="s">
        <v>1408</v>
      </c>
      <c r="H340" t="s">
        <v>224</v>
      </c>
      <c r="I340" t="s">
        <v>210</v>
      </c>
      <c r="J340" t="s">
        <v>310</v>
      </c>
      <c r="K340" t="s">
        <v>226</v>
      </c>
      <c r="L340">
        <v>94122</v>
      </c>
      <c r="M340" t="s">
        <v>227</v>
      </c>
      <c r="N340" t="s">
        <v>1411</v>
      </c>
      <c r="O340" t="s">
        <v>215</v>
      </c>
      <c r="P340" t="s">
        <v>239</v>
      </c>
      <c r="Q340" t="s">
        <v>1412</v>
      </c>
      <c r="R340" s="13">
        <v>698.35199999999998</v>
      </c>
      <c r="S340">
        <v>3</v>
      </c>
      <c r="T340" s="14">
        <v>0.2</v>
      </c>
      <c r="U340" s="13">
        <v>-17.4588000000001</v>
      </c>
      <c r="V340">
        <f t="shared" si="70"/>
        <v>2014</v>
      </c>
      <c r="W340" t="str">
        <f t="shared" si="71"/>
        <v>Jul</v>
      </c>
      <c r="X340" t="str">
        <f t="shared" si="72"/>
        <v>Q3</v>
      </c>
      <c r="Y340" t="str">
        <f t="shared" si="73"/>
        <v>Sat</v>
      </c>
      <c r="Z340" s="16">
        <f t="shared" si="74"/>
        <v>5</v>
      </c>
      <c r="AA340" s="13">
        <f t="shared" si="75"/>
        <v>232.78399999999999</v>
      </c>
      <c r="AB340" s="14">
        <f t="shared" si="76"/>
        <v>-2.5000000000000144E-2</v>
      </c>
      <c r="AC340" t="str">
        <f t="shared" si="77"/>
        <v>Low (1-20%)</v>
      </c>
      <c r="AD340" t="str">
        <f t="shared" si="78"/>
        <v>Premium ($500+)</v>
      </c>
      <c r="AE340" t="str">
        <f t="shared" si="79"/>
        <v>Medium (3-5 units)</v>
      </c>
      <c r="AF340" t="str">
        <f t="shared" si="80"/>
        <v>Loss-Making</v>
      </c>
      <c r="AG340" t="str">
        <f t="shared" si="81"/>
        <v>Underperforming</v>
      </c>
      <c r="AH340" t="str">
        <f t="shared" si="82"/>
        <v>Repeat Customer</v>
      </c>
      <c r="AI340" t="str">
        <f t="shared" si="83"/>
        <v>Standard (3-5 days)</v>
      </c>
    </row>
    <row r="341" spans="1:35" ht="15" customHeight="1" x14ac:dyDescent="0.3">
      <c r="A341">
        <v>340</v>
      </c>
      <c r="B341" t="s">
        <v>1413</v>
      </c>
      <c r="C341" s="12">
        <v>42177</v>
      </c>
      <c r="D341" s="12">
        <v>42181</v>
      </c>
      <c r="E341" t="s">
        <v>206</v>
      </c>
      <c r="F341" t="s">
        <v>1101</v>
      </c>
      <c r="G341" t="s">
        <v>1102</v>
      </c>
      <c r="H341" t="s">
        <v>209</v>
      </c>
      <c r="I341" t="s">
        <v>210</v>
      </c>
      <c r="J341" t="s">
        <v>1414</v>
      </c>
      <c r="K341" t="s">
        <v>304</v>
      </c>
      <c r="L341">
        <v>84041</v>
      </c>
      <c r="M341" t="s">
        <v>227</v>
      </c>
      <c r="N341" t="s">
        <v>1415</v>
      </c>
      <c r="O341" t="s">
        <v>229</v>
      </c>
      <c r="P341" t="s">
        <v>452</v>
      </c>
      <c r="Q341" t="s">
        <v>1416</v>
      </c>
      <c r="R341" s="13">
        <v>4.96</v>
      </c>
      <c r="S341">
        <v>4</v>
      </c>
      <c r="T341" s="14">
        <v>0</v>
      </c>
      <c r="U341" s="13">
        <v>2.3311999999999999</v>
      </c>
      <c r="V341">
        <f t="shared" si="70"/>
        <v>2015</v>
      </c>
      <c r="W341" t="str">
        <f t="shared" si="71"/>
        <v>Jun</v>
      </c>
      <c r="X341" t="str">
        <f t="shared" si="72"/>
        <v>Q2</v>
      </c>
      <c r="Y341" t="str">
        <f t="shared" si="73"/>
        <v>Mon</v>
      </c>
      <c r="Z341" s="16">
        <f t="shared" si="74"/>
        <v>4</v>
      </c>
      <c r="AA341" s="13">
        <f t="shared" si="75"/>
        <v>1.24</v>
      </c>
      <c r="AB341" s="14">
        <f t="shared" si="76"/>
        <v>0.47</v>
      </c>
      <c r="AC341" t="str">
        <f t="shared" si="77"/>
        <v>No Discount</v>
      </c>
      <c r="AD341" t="str">
        <f t="shared" si="78"/>
        <v>Low (&lt;$50)</v>
      </c>
      <c r="AE341" t="str">
        <f t="shared" si="79"/>
        <v>Medium (3-5 units)</v>
      </c>
      <c r="AF341" t="str">
        <f t="shared" si="80"/>
        <v>Profitable</v>
      </c>
      <c r="AG341" t="str">
        <f t="shared" si="81"/>
        <v>High Margin</v>
      </c>
      <c r="AH341" t="str">
        <f t="shared" si="82"/>
        <v>Repeat Customer</v>
      </c>
      <c r="AI341" t="str">
        <f t="shared" si="83"/>
        <v>Standard (3-5 days)</v>
      </c>
    </row>
    <row r="342" spans="1:35" ht="15" customHeight="1" x14ac:dyDescent="0.3">
      <c r="A342">
        <v>341</v>
      </c>
      <c r="B342" t="s">
        <v>1417</v>
      </c>
      <c r="C342" s="12">
        <v>41742</v>
      </c>
      <c r="D342" s="12">
        <v>41746</v>
      </c>
      <c r="E342" t="s">
        <v>206</v>
      </c>
      <c r="F342" t="s">
        <v>765</v>
      </c>
      <c r="G342" t="s">
        <v>766</v>
      </c>
      <c r="H342" t="s">
        <v>224</v>
      </c>
      <c r="I342" t="s">
        <v>210</v>
      </c>
      <c r="J342" t="s">
        <v>329</v>
      </c>
      <c r="K342" t="s">
        <v>330</v>
      </c>
      <c r="L342">
        <v>19140</v>
      </c>
      <c r="M342" t="s">
        <v>331</v>
      </c>
      <c r="N342" t="s">
        <v>1418</v>
      </c>
      <c r="O342" t="s">
        <v>229</v>
      </c>
      <c r="P342" t="s">
        <v>251</v>
      </c>
      <c r="Q342" t="s">
        <v>1419</v>
      </c>
      <c r="R342" s="13">
        <v>17.856000000000002</v>
      </c>
      <c r="S342">
        <v>4</v>
      </c>
      <c r="T342" s="14">
        <v>0.2</v>
      </c>
      <c r="U342" s="13">
        <v>1.1160000000000001</v>
      </c>
      <c r="V342">
        <f t="shared" si="70"/>
        <v>2014</v>
      </c>
      <c r="W342" t="str">
        <f t="shared" si="71"/>
        <v>Apr</v>
      </c>
      <c r="X342" t="str">
        <f t="shared" si="72"/>
        <v>Q2</v>
      </c>
      <c r="Y342" t="str">
        <f t="shared" si="73"/>
        <v>Sun</v>
      </c>
      <c r="Z342" s="16">
        <f t="shared" si="74"/>
        <v>4</v>
      </c>
      <c r="AA342" s="13">
        <f t="shared" si="75"/>
        <v>4.4640000000000004</v>
      </c>
      <c r="AB342" s="14">
        <f t="shared" si="76"/>
        <v>6.25E-2</v>
      </c>
      <c r="AC342" t="str">
        <f t="shared" si="77"/>
        <v>Low (1-20%)</v>
      </c>
      <c r="AD342" t="str">
        <f t="shared" si="78"/>
        <v>Low (&lt;$50)</v>
      </c>
      <c r="AE342" t="str">
        <f t="shared" si="79"/>
        <v>Medium (3-5 units)</v>
      </c>
      <c r="AF342" t="str">
        <f t="shared" si="80"/>
        <v>Profitable</v>
      </c>
      <c r="AG342" t="str">
        <f t="shared" si="81"/>
        <v>Low Margin</v>
      </c>
      <c r="AH342" t="str">
        <f t="shared" si="82"/>
        <v>Repeat Customer</v>
      </c>
      <c r="AI342" t="str">
        <f t="shared" si="83"/>
        <v>Standard (3-5 days)</v>
      </c>
    </row>
    <row r="343" spans="1:35" ht="15" customHeight="1" x14ac:dyDescent="0.3">
      <c r="A343">
        <v>342</v>
      </c>
      <c r="B343" t="s">
        <v>1417</v>
      </c>
      <c r="C343" s="12">
        <v>41742</v>
      </c>
      <c r="D343" s="12">
        <v>41746</v>
      </c>
      <c r="E343" t="s">
        <v>206</v>
      </c>
      <c r="F343" t="s">
        <v>765</v>
      </c>
      <c r="G343" t="s">
        <v>766</v>
      </c>
      <c r="H343" t="s">
        <v>224</v>
      </c>
      <c r="I343" t="s">
        <v>210</v>
      </c>
      <c r="J343" t="s">
        <v>329</v>
      </c>
      <c r="K343" t="s">
        <v>330</v>
      </c>
      <c r="L343">
        <v>19140</v>
      </c>
      <c r="M343" t="s">
        <v>331</v>
      </c>
      <c r="N343" t="s">
        <v>280</v>
      </c>
      <c r="O343" t="s">
        <v>229</v>
      </c>
      <c r="P343" t="s">
        <v>258</v>
      </c>
      <c r="Q343" t="s">
        <v>281</v>
      </c>
      <c r="R343" s="13">
        <v>509.97</v>
      </c>
      <c r="S343">
        <v>10</v>
      </c>
      <c r="T343" s="14">
        <v>0.7</v>
      </c>
      <c r="U343" s="13">
        <v>-407.976</v>
      </c>
      <c r="V343">
        <f t="shared" si="70"/>
        <v>2014</v>
      </c>
      <c r="W343" t="str">
        <f t="shared" si="71"/>
        <v>Apr</v>
      </c>
      <c r="X343" t="str">
        <f t="shared" si="72"/>
        <v>Q2</v>
      </c>
      <c r="Y343" t="str">
        <f t="shared" si="73"/>
        <v>Sun</v>
      </c>
      <c r="Z343" s="16">
        <f t="shared" si="74"/>
        <v>4</v>
      </c>
      <c r="AA343" s="13">
        <f t="shared" si="75"/>
        <v>50.997</v>
      </c>
      <c r="AB343" s="14">
        <f t="shared" si="76"/>
        <v>-0.79999999999999993</v>
      </c>
      <c r="AC343" t="str">
        <f t="shared" si="77"/>
        <v>High (40%+)</v>
      </c>
      <c r="AD343" t="str">
        <f t="shared" si="78"/>
        <v>Premium ($500+)</v>
      </c>
      <c r="AE343" t="str">
        <f t="shared" si="79"/>
        <v>Large (6+ units)</v>
      </c>
      <c r="AF343" t="str">
        <f t="shared" si="80"/>
        <v>Loss-Making</v>
      </c>
      <c r="AG343" t="str">
        <f t="shared" si="81"/>
        <v>Underperforming</v>
      </c>
      <c r="AH343" t="str">
        <f t="shared" si="82"/>
        <v>Repeat Customer</v>
      </c>
      <c r="AI343" t="str">
        <f t="shared" si="83"/>
        <v>Standard (3-5 days)</v>
      </c>
    </row>
    <row r="344" spans="1:35" ht="15" customHeight="1" x14ac:dyDescent="0.3">
      <c r="A344">
        <v>343</v>
      </c>
      <c r="B344" t="s">
        <v>1417</v>
      </c>
      <c r="C344" s="12">
        <v>41742</v>
      </c>
      <c r="D344" s="12">
        <v>41746</v>
      </c>
      <c r="E344" t="s">
        <v>206</v>
      </c>
      <c r="F344" t="s">
        <v>765</v>
      </c>
      <c r="G344" t="s">
        <v>766</v>
      </c>
      <c r="H344" t="s">
        <v>224</v>
      </c>
      <c r="I344" t="s">
        <v>210</v>
      </c>
      <c r="J344" t="s">
        <v>329</v>
      </c>
      <c r="K344" t="s">
        <v>330</v>
      </c>
      <c r="L344">
        <v>19140</v>
      </c>
      <c r="M344" t="s">
        <v>331</v>
      </c>
      <c r="N344" t="s">
        <v>745</v>
      </c>
      <c r="O344" t="s">
        <v>229</v>
      </c>
      <c r="P344" t="s">
        <v>452</v>
      </c>
      <c r="Q344" t="s">
        <v>746</v>
      </c>
      <c r="R344" s="13">
        <v>30.992000000000001</v>
      </c>
      <c r="S344">
        <v>13</v>
      </c>
      <c r="T344" s="14">
        <v>0.2</v>
      </c>
      <c r="U344" s="13">
        <v>10.0724</v>
      </c>
      <c r="V344">
        <f t="shared" si="70"/>
        <v>2014</v>
      </c>
      <c r="W344" t="str">
        <f t="shared" si="71"/>
        <v>Apr</v>
      </c>
      <c r="X344" t="str">
        <f t="shared" si="72"/>
        <v>Q2</v>
      </c>
      <c r="Y344" t="str">
        <f t="shared" si="73"/>
        <v>Sun</v>
      </c>
      <c r="Z344" s="16">
        <f t="shared" si="74"/>
        <v>4</v>
      </c>
      <c r="AA344" s="13">
        <f t="shared" si="75"/>
        <v>2.3839999999999999</v>
      </c>
      <c r="AB344" s="14">
        <f t="shared" si="76"/>
        <v>0.32500000000000001</v>
      </c>
      <c r="AC344" t="str">
        <f t="shared" si="77"/>
        <v>Low (1-20%)</v>
      </c>
      <c r="AD344" t="str">
        <f t="shared" si="78"/>
        <v>Low (&lt;$50)</v>
      </c>
      <c r="AE344" t="str">
        <f t="shared" si="79"/>
        <v>Large (6+ units)</v>
      </c>
      <c r="AF344" t="str">
        <f t="shared" si="80"/>
        <v>Profitable</v>
      </c>
      <c r="AG344" t="str">
        <f t="shared" si="81"/>
        <v>High Margin</v>
      </c>
      <c r="AH344" t="str">
        <f t="shared" si="82"/>
        <v>Repeat Customer</v>
      </c>
      <c r="AI344" t="str">
        <f t="shared" si="83"/>
        <v>Standard (3-5 days)</v>
      </c>
    </row>
    <row r="345" spans="1:35" ht="15" customHeight="1" x14ac:dyDescent="0.3">
      <c r="A345">
        <v>344</v>
      </c>
      <c r="B345" t="s">
        <v>1417</v>
      </c>
      <c r="C345" s="12">
        <v>41742</v>
      </c>
      <c r="D345" s="12">
        <v>41746</v>
      </c>
      <c r="E345" t="s">
        <v>206</v>
      </c>
      <c r="F345" t="s">
        <v>765</v>
      </c>
      <c r="G345" t="s">
        <v>766</v>
      </c>
      <c r="H345" t="s">
        <v>224</v>
      </c>
      <c r="I345" t="s">
        <v>210</v>
      </c>
      <c r="J345" t="s">
        <v>329</v>
      </c>
      <c r="K345" t="s">
        <v>330</v>
      </c>
      <c r="L345">
        <v>19140</v>
      </c>
      <c r="M345" t="s">
        <v>331</v>
      </c>
      <c r="N345" t="s">
        <v>1420</v>
      </c>
      <c r="O345" t="s">
        <v>254</v>
      </c>
      <c r="P345" t="s">
        <v>255</v>
      </c>
      <c r="Q345" t="s">
        <v>1421</v>
      </c>
      <c r="R345" s="13">
        <v>71.927999999999997</v>
      </c>
      <c r="S345">
        <v>12</v>
      </c>
      <c r="T345" s="14">
        <v>0.4</v>
      </c>
      <c r="U345" s="13">
        <v>8.3915999999999897</v>
      </c>
      <c r="V345">
        <f t="shared" si="70"/>
        <v>2014</v>
      </c>
      <c r="W345" t="str">
        <f t="shared" si="71"/>
        <v>Apr</v>
      </c>
      <c r="X345" t="str">
        <f t="shared" si="72"/>
        <v>Q2</v>
      </c>
      <c r="Y345" t="str">
        <f t="shared" si="73"/>
        <v>Sun</v>
      </c>
      <c r="Z345" s="16">
        <f t="shared" si="74"/>
        <v>4</v>
      </c>
      <c r="AA345" s="13">
        <f t="shared" si="75"/>
        <v>5.9939999999999998</v>
      </c>
      <c r="AB345" s="14">
        <f t="shared" si="76"/>
        <v>0.11666666666666653</v>
      </c>
      <c r="AC345" t="str">
        <f t="shared" si="77"/>
        <v>Medium (21-40%)</v>
      </c>
      <c r="AD345" t="str">
        <f t="shared" si="78"/>
        <v>Medium ($50-$200)</v>
      </c>
      <c r="AE345" t="str">
        <f t="shared" si="79"/>
        <v>Large (6+ units)</v>
      </c>
      <c r="AF345" t="str">
        <f t="shared" si="80"/>
        <v>Profitable</v>
      </c>
      <c r="AG345" t="str">
        <f t="shared" si="81"/>
        <v>Healthy Margin</v>
      </c>
      <c r="AH345" t="str">
        <f t="shared" si="82"/>
        <v>Repeat Customer</v>
      </c>
      <c r="AI345" t="str">
        <f t="shared" si="83"/>
        <v>Standard (3-5 days)</v>
      </c>
    </row>
    <row r="346" spans="1:35" ht="15" customHeight="1" x14ac:dyDescent="0.3">
      <c r="A346">
        <v>345</v>
      </c>
      <c r="B346" t="s">
        <v>1422</v>
      </c>
      <c r="C346" s="12">
        <v>42358</v>
      </c>
      <c r="D346" s="12">
        <v>42362</v>
      </c>
      <c r="E346" t="s">
        <v>233</v>
      </c>
      <c r="F346" t="s">
        <v>880</v>
      </c>
      <c r="G346" t="s">
        <v>881</v>
      </c>
      <c r="H346" t="s">
        <v>209</v>
      </c>
      <c r="I346" t="s">
        <v>210</v>
      </c>
      <c r="J346" t="s">
        <v>1423</v>
      </c>
      <c r="K346" t="s">
        <v>287</v>
      </c>
      <c r="L346">
        <v>78745</v>
      </c>
      <c r="M346" t="s">
        <v>288</v>
      </c>
      <c r="N346" t="s">
        <v>305</v>
      </c>
      <c r="O346" t="s">
        <v>229</v>
      </c>
      <c r="P346" t="s">
        <v>242</v>
      </c>
      <c r="Q346" t="s">
        <v>306</v>
      </c>
      <c r="R346" s="13">
        <v>88.8</v>
      </c>
      <c r="S346">
        <v>4</v>
      </c>
      <c r="T346" s="14">
        <v>0.2</v>
      </c>
      <c r="U346" s="13">
        <v>-2.22000000000001</v>
      </c>
      <c r="V346">
        <f t="shared" si="70"/>
        <v>2015</v>
      </c>
      <c r="W346" t="str">
        <f t="shared" si="71"/>
        <v>Dec</v>
      </c>
      <c r="X346" t="str">
        <f t="shared" si="72"/>
        <v>Q4</v>
      </c>
      <c r="Y346" t="str">
        <f t="shared" si="73"/>
        <v>Sun</v>
      </c>
      <c r="Z346" s="16">
        <f t="shared" si="74"/>
        <v>4</v>
      </c>
      <c r="AA346" s="13">
        <f t="shared" si="75"/>
        <v>22.2</v>
      </c>
      <c r="AB346" s="14">
        <f t="shared" si="76"/>
        <v>-2.5000000000000112E-2</v>
      </c>
      <c r="AC346" t="str">
        <f t="shared" si="77"/>
        <v>Low (1-20%)</v>
      </c>
      <c r="AD346" t="str">
        <f t="shared" si="78"/>
        <v>Medium ($50-$200)</v>
      </c>
      <c r="AE346" t="str">
        <f t="shared" si="79"/>
        <v>Medium (3-5 units)</v>
      </c>
      <c r="AF346" t="str">
        <f t="shared" si="80"/>
        <v>Loss-Making</v>
      </c>
      <c r="AG346" t="str">
        <f t="shared" si="81"/>
        <v>Underperforming</v>
      </c>
      <c r="AH346" t="str">
        <f t="shared" si="82"/>
        <v>Repeat Customer</v>
      </c>
      <c r="AI346" t="str">
        <f t="shared" si="83"/>
        <v>Standard (3-5 days)</v>
      </c>
    </row>
    <row r="347" spans="1:35" ht="15" customHeight="1" x14ac:dyDescent="0.3">
      <c r="A347">
        <v>346</v>
      </c>
      <c r="B347" t="s">
        <v>1424</v>
      </c>
      <c r="C347" s="12">
        <v>42901</v>
      </c>
      <c r="D347" s="12">
        <v>42905</v>
      </c>
      <c r="E347" t="s">
        <v>233</v>
      </c>
      <c r="F347" t="s">
        <v>1425</v>
      </c>
      <c r="G347" t="s">
        <v>1426</v>
      </c>
      <c r="H347" t="s">
        <v>209</v>
      </c>
      <c r="I347" t="s">
        <v>210</v>
      </c>
      <c r="J347" t="s">
        <v>310</v>
      </c>
      <c r="K347" t="s">
        <v>226</v>
      </c>
      <c r="L347">
        <v>94122</v>
      </c>
      <c r="M347" t="s">
        <v>227</v>
      </c>
      <c r="N347" t="s">
        <v>741</v>
      </c>
      <c r="O347" t="s">
        <v>254</v>
      </c>
      <c r="P347" t="s">
        <v>255</v>
      </c>
      <c r="Q347" t="s">
        <v>742</v>
      </c>
      <c r="R347" s="13">
        <v>47.975999999999999</v>
      </c>
      <c r="S347">
        <v>3</v>
      </c>
      <c r="T347" s="14">
        <v>0.2</v>
      </c>
      <c r="U347" s="13">
        <v>4.7976000000000001</v>
      </c>
      <c r="V347">
        <f t="shared" si="70"/>
        <v>2017</v>
      </c>
      <c r="W347" t="str">
        <f t="shared" si="71"/>
        <v>Jun</v>
      </c>
      <c r="X347" t="str">
        <f t="shared" si="72"/>
        <v>Q2</v>
      </c>
      <c r="Y347" t="str">
        <f t="shared" si="73"/>
        <v>Thu</v>
      </c>
      <c r="Z347" s="16">
        <f t="shared" si="74"/>
        <v>4</v>
      </c>
      <c r="AA347" s="13">
        <f t="shared" si="75"/>
        <v>15.991999999999999</v>
      </c>
      <c r="AB347" s="14">
        <f t="shared" si="76"/>
        <v>0.1</v>
      </c>
      <c r="AC347" t="str">
        <f t="shared" si="77"/>
        <v>Low (1-20%)</v>
      </c>
      <c r="AD347" t="str">
        <f t="shared" si="78"/>
        <v>Low (&lt;$50)</v>
      </c>
      <c r="AE347" t="str">
        <f t="shared" si="79"/>
        <v>Medium (3-5 units)</v>
      </c>
      <c r="AF347" t="str">
        <f t="shared" si="80"/>
        <v>Profitable</v>
      </c>
      <c r="AG347" t="str">
        <f t="shared" si="81"/>
        <v>Healthy Margin</v>
      </c>
      <c r="AH347" t="str">
        <f t="shared" si="82"/>
        <v>Single Purchase</v>
      </c>
      <c r="AI347" t="str">
        <f t="shared" si="83"/>
        <v>Standard (3-5 days)</v>
      </c>
    </row>
    <row r="348" spans="1:35" ht="15" customHeight="1" x14ac:dyDescent="0.3">
      <c r="A348">
        <v>347</v>
      </c>
      <c r="B348" t="s">
        <v>1427</v>
      </c>
      <c r="C348" s="12">
        <v>42924</v>
      </c>
      <c r="D348" s="12">
        <v>42928</v>
      </c>
      <c r="E348" t="s">
        <v>233</v>
      </c>
      <c r="F348" t="s">
        <v>1428</v>
      </c>
      <c r="G348" t="s">
        <v>1429</v>
      </c>
      <c r="H348" t="s">
        <v>209</v>
      </c>
      <c r="I348" t="s">
        <v>210</v>
      </c>
      <c r="J348" t="s">
        <v>1430</v>
      </c>
      <c r="K348" t="s">
        <v>1431</v>
      </c>
      <c r="L348">
        <v>1852</v>
      </c>
      <c r="M348" t="s">
        <v>331</v>
      </c>
      <c r="N348" t="s">
        <v>967</v>
      </c>
      <c r="O348" t="s">
        <v>229</v>
      </c>
      <c r="P348" t="s">
        <v>251</v>
      </c>
      <c r="Q348" t="s">
        <v>968</v>
      </c>
      <c r="R348" s="13">
        <v>7.56</v>
      </c>
      <c r="S348">
        <v>3</v>
      </c>
      <c r="T348" s="14">
        <v>0</v>
      </c>
      <c r="U348" s="13">
        <v>3.0996000000000001</v>
      </c>
      <c r="V348">
        <f t="shared" si="70"/>
        <v>2017</v>
      </c>
      <c r="W348" t="str">
        <f t="shared" si="71"/>
        <v>Jul</v>
      </c>
      <c r="X348" t="str">
        <f t="shared" si="72"/>
        <v>Q3</v>
      </c>
      <c r="Y348" t="str">
        <f t="shared" si="73"/>
        <v>Sat</v>
      </c>
      <c r="Z348" s="16">
        <f t="shared" si="74"/>
        <v>4</v>
      </c>
      <c r="AA348" s="13">
        <f t="shared" si="75"/>
        <v>2.52</v>
      </c>
      <c r="AB348" s="14">
        <f t="shared" si="76"/>
        <v>0.41000000000000003</v>
      </c>
      <c r="AC348" t="str">
        <f t="shared" si="77"/>
        <v>No Discount</v>
      </c>
      <c r="AD348" t="str">
        <f t="shared" si="78"/>
        <v>Low (&lt;$50)</v>
      </c>
      <c r="AE348" t="str">
        <f t="shared" si="79"/>
        <v>Medium (3-5 units)</v>
      </c>
      <c r="AF348" t="str">
        <f t="shared" si="80"/>
        <v>Profitable</v>
      </c>
      <c r="AG348" t="str">
        <f t="shared" si="81"/>
        <v>High Margin</v>
      </c>
      <c r="AH348" t="str">
        <f t="shared" si="82"/>
        <v>Repeat Customer</v>
      </c>
      <c r="AI348" t="str">
        <f t="shared" si="83"/>
        <v>Standard (3-5 days)</v>
      </c>
    </row>
    <row r="349" spans="1:35" ht="15" customHeight="1" x14ac:dyDescent="0.3">
      <c r="A349">
        <v>348</v>
      </c>
      <c r="B349" t="s">
        <v>1427</v>
      </c>
      <c r="C349" s="12">
        <v>42924</v>
      </c>
      <c r="D349" s="12">
        <v>42928</v>
      </c>
      <c r="E349" t="s">
        <v>233</v>
      </c>
      <c r="F349" t="s">
        <v>1428</v>
      </c>
      <c r="G349" t="s">
        <v>1429</v>
      </c>
      <c r="H349" t="s">
        <v>209</v>
      </c>
      <c r="I349" t="s">
        <v>210</v>
      </c>
      <c r="J349" t="s">
        <v>1430</v>
      </c>
      <c r="K349" t="s">
        <v>1431</v>
      </c>
      <c r="L349">
        <v>1852</v>
      </c>
      <c r="M349" t="s">
        <v>331</v>
      </c>
      <c r="N349" t="s">
        <v>368</v>
      </c>
      <c r="O349" t="s">
        <v>229</v>
      </c>
      <c r="P349" t="s">
        <v>273</v>
      </c>
      <c r="Q349" t="s">
        <v>369</v>
      </c>
      <c r="R349" s="13">
        <v>24.56</v>
      </c>
      <c r="S349">
        <v>2</v>
      </c>
      <c r="T349" s="14">
        <v>0</v>
      </c>
      <c r="U349" s="13">
        <v>11.543200000000001</v>
      </c>
      <c r="V349">
        <f t="shared" si="70"/>
        <v>2017</v>
      </c>
      <c r="W349" t="str">
        <f t="shared" si="71"/>
        <v>Jul</v>
      </c>
      <c r="X349" t="str">
        <f t="shared" si="72"/>
        <v>Q3</v>
      </c>
      <c r="Y349" t="str">
        <f t="shared" si="73"/>
        <v>Sat</v>
      </c>
      <c r="Z349" s="16">
        <f t="shared" si="74"/>
        <v>4</v>
      </c>
      <c r="AA349" s="13">
        <f t="shared" si="75"/>
        <v>12.28</v>
      </c>
      <c r="AB349" s="14">
        <f t="shared" si="76"/>
        <v>0.47000000000000003</v>
      </c>
      <c r="AC349" t="str">
        <f t="shared" si="77"/>
        <v>No Discount</v>
      </c>
      <c r="AD349" t="str">
        <f t="shared" si="78"/>
        <v>Low (&lt;$50)</v>
      </c>
      <c r="AE349" t="str">
        <f t="shared" si="79"/>
        <v>Small (1-2 units)</v>
      </c>
      <c r="AF349" t="str">
        <f t="shared" si="80"/>
        <v>Profitable</v>
      </c>
      <c r="AG349" t="str">
        <f t="shared" si="81"/>
        <v>High Margin</v>
      </c>
      <c r="AH349" t="str">
        <f t="shared" si="82"/>
        <v>Repeat Customer</v>
      </c>
      <c r="AI349" t="str">
        <f t="shared" si="83"/>
        <v>Standard (3-5 days)</v>
      </c>
    </row>
    <row r="350" spans="1:35" ht="15" customHeight="1" x14ac:dyDescent="0.3">
      <c r="A350">
        <v>349</v>
      </c>
      <c r="B350" t="s">
        <v>1427</v>
      </c>
      <c r="C350" s="12">
        <v>42924</v>
      </c>
      <c r="D350" s="12">
        <v>42928</v>
      </c>
      <c r="E350" t="s">
        <v>233</v>
      </c>
      <c r="F350" t="s">
        <v>1428</v>
      </c>
      <c r="G350" t="s">
        <v>1429</v>
      </c>
      <c r="H350" t="s">
        <v>209</v>
      </c>
      <c r="I350" t="s">
        <v>210</v>
      </c>
      <c r="J350" t="s">
        <v>1430</v>
      </c>
      <c r="K350" t="s">
        <v>1431</v>
      </c>
      <c r="L350">
        <v>1852</v>
      </c>
      <c r="M350" t="s">
        <v>331</v>
      </c>
      <c r="N350" t="s">
        <v>1432</v>
      </c>
      <c r="O350" t="s">
        <v>229</v>
      </c>
      <c r="P350" t="s">
        <v>251</v>
      </c>
      <c r="Q350" t="s">
        <v>1433</v>
      </c>
      <c r="R350" s="13">
        <v>12.96</v>
      </c>
      <c r="S350">
        <v>2</v>
      </c>
      <c r="T350" s="14">
        <v>0</v>
      </c>
      <c r="U350" s="13">
        <v>4.1471999999999998</v>
      </c>
      <c r="V350">
        <f t="shared" si="70"/>
        <v>2017</v>
      </c>
      <c r="W350" t="str">
        <f t="shared" si="71"/>
        <v>Jul</v>
      </c>
      <c r="X350" t="str">
        <f t="shared" si="72"/>
        <v>Q3</v>
      </c>
      <c r="Y350" t="str">
        <f t="shared" si="73"/>
        <v>Sat</v>
      </c>
      <c r="Z350" s="16">
        <f t="shared" si="74"/>
        <v>4</v>
      </c>
      <c r="AA350" s="13">
        <f t="shared" si="75"/>
        <v>6.48</v>
      </c>
      <c r="AB350" s="14">
        <f t="shared" si="76"/>
        <v>0.31999999999999995</v>
      </c>
      <c r="AC350" t="str">
        <f t="shared" si="77"/>
        <v>No Discount</v>
      </c>
      <c r="AD350" t="str">
        <f t="shared" si="78"/>
        <v>Low (&lt;$50)</v>
      </c>
      <c r="AE350" t="str">
        <f t="shared" si="79"/>
        <v>Small (1-2 units)</v>
      </c>
      <c r="AF350" t="str">
        <f t="shared" si="80"/>
        <v>Profitable</v>
      </c>
      <c r="AG350" t="str">
        <f t="shared" si="81"/>
        <v>High Margin</v>
      </c>
      <c r="AH350" t="str">
        <f t="shared" si="82"/>
        <v>Repeat Customer</v>
      </c>
      <c r="AI350" t="str">
        <f t="shared" si="83"/>
        <v>Standard (3-5 days)</v>
      </c>
    </row>
    <row r="351" spans="1:35" ht="15" customHeight="1" x14ac:dyDescent="0.3">
      <c r="A351">
        <v>350</v>
      </c>
      <c r="B351" t="s">
        <v>1434</v>
      </c>
      <c r="C351" s="12">
        <v>42614</v>
      </c>
      <c r="D351" s="12">
        <v>42616</v>
      </c>
      <c r="E351" t="s">
        <v>371</v>
      </c>
      <c r="F351" t="s">
        <v>1435</v>
      </c>
      <c r="G351" t="s">
        <v>1436</v>
      </c>
      <c r="H351" t="s">
        <v>285</v>
      </c>
      <c r="I351" t="s">
        <v>210</v>
      </c>
      <c r="J351" t="s">
        <v>449</v>
      </c>
      <c r="K351" t="s">
        <v>450</v>
      </c>
      <c r="L351">
        <v>10009</v>
      </c>
      <c r="M351" t="s">
        <v>331</v>
      </c>
      <c r="N351" t="s">
        <v>1153</v>
      </c>
      <c r="O351" t="s">
        <v>254</v>
      </c>
      <c r="P351" t="s">
        <v>344</v>
      </c>
      <c r="Q351" t="s">
        <v>1154</v>
      </c>
      <c r="R351" s="13">
        <v>6.79</v>
      </c>
      <c r="S351">
        <v>1</v>
      </c>
      <c r="T351" s="14">
        <v>0</v>
      </c>
      <c r="U351" s="13">
        <v>2.3086000000000002</v>
      </c>
      <c r="V351">
        <f t="shared" si="70"/>
        <v>2016</v>
      </c>
      <c r="W351" t="str">
        <f t="shared" si="71"/>
        <v>Sep</v>
      </c>
      <c r="X351" t="str">
        <f t="shared" si="72"/>
        <v>Q3</v>
      </c>
      <c r="Y351" t="str">
        <f t="shared" si="73"/>
        <v>Thu</v>
      </c>
      <c r="Z351" s="16">
        <f t="shared" si="74"/>
        <v>2</v>
      </c>
      <c r="AA351" s="13">
        <f t="shared" si="75"/>
        <v>6.79</v>
      </c>
      <c r="AB351" s="14">
        <f t="shared" si="76"/>
        <v>0.34</v>
      </c>
      <c r="AC351" t="str">
        <f t="shared" si="77"/>
        <v>No Discount</v>
      </c>
      <c r="AD351" t="str">
        <f t="shared" si="78"/>
        <v>Low (&lt;$50)</v>
      </c>
      <c r="AE351" t="str">
        <f t="shared" si="79"/>
        <v>Small (1-2 units)</v>
      </c>
      <c r="AF351" t="str">
        <f t="shared" si="80"/>
        <v>Profitable</v>
      </c>
      <c r="AG351" t="str">
        <f t="shared" si="81"/>
        <v>High Margin</v>
      </c>
      <c r="AH351" t="str">
        <f t="shared" si="82"/>
        <v>Repeat Customer</v>
      </c>
      <c r="AI351" t="str">
        <f t="shared" si="83"/>
        <v>Fast (&lt;=2 days)</v>
      </c>
    </row>
    <row r="352" spans="1:35" ht="15" customHeight="1" x14ac:dyDescent="0.3">
      <c r="A352">
        <v>351</v>
      </c>
      <c r="B352" t="s">
        <v>1434</v>
      </c>
      <c r="C352" s="12">
        <v>42614</v>
      </c>
      <c r="D352" s="12">
        <v>42616</v>
      </c>
      <c r="E352" t="s">
        <v>371</v>
      </c>
      <c r="F352" t="s">
        <v>1435</v>
      </c>
      <c r="G352" t="s">
        <v>1436</v>
      </c>
      <c r="H352" t="s">
        <v>285</v>
      </c>
      <c r="I352" t="s">
        <v>210</v>
      </c>
      <c r="J352" t="s">
        <v>449</v>
      </c>
      <c r="K352" t="s">
        <v>450</v>
      </c>
      <c r="L352">
        <v>10009</v>
      </c>
      <c r="M352" t="s">
        <v>331</v>
      </c>
      <c r="N352" t="s">
        <v>1437</v>
      </c>
      <c r="O352" t="s">
        <v>229</v>
      </c>
      <c r="P352" t="s">
        <v>273</v>
      </c>
      <c r="Q352" t="s">
        <v>1438</v>
      </c>
      <c r="R352" s="13">
        <v>24.56</v>
      </c>
      <c r="S352">
        <v>2</v>
      </c>
      <c r="T352" s="14">
        <v>0</v>
      </c>
      <c r="U352" s="13">
        <v>11.543200000000001</v>
      </c>
      <c r="V352">
        <f t="shared" si="70"/>
        <v>2016</v>
      </c>
      <c r="W352" t="str">
        <f t="shared" si="71"/>
        <v>Sep</v>
      </c>
      <c r="X352" t="str">
        <f t="shared" si="72"/>
        <v>Q3</v>
      </c>
      <c r="Y352" t="str">
        <f t="shared" si="73"/>
        <v>Thu</v>
      </c>
      <c r="Z352" s="16">
        <f t="shared" si="74"/>
        <v>2</v>
      </c>
      <c r="AA352" s="13">
        <f t="shared" si="75"/>
        <v>12.28</v>
      </c>
      <c r="AB352" s="14">
        <f t="shared" si="76"/>
        <v>0.47000000000000003</v>
      </c>
      <c r="AC352" t="str">
        <f t="shared" si="77"/>
        <v>No Discount</v>
      </c>
      <c r="AD352" t="str">
        <f t="shared" si="78"/>
        <v>Low (&lt;$50)</v>
      </c>
      <c r="AE352" t="str">
        <f t="shared" si="79"/>
        <v>Small (1-2 units)</v>
      </c>
      <c r="AF352" t="str">
        <f t="shared" si="80"/>
        <v>Profitable</v>
      </c>
      <c r="AG352" t="str">
        <f t="shared" si="81"/>
        <v>High Margin</v>
      </c>
      <c r="AH352" t="str">
        <f t="shared" si="82"/>
        <v>Repeat Customer</v>
      </c>
      <c r="AI352" t="str">
        <f t="shared" si="83"/>
        <v>Fast (&lt;=2 days)</v>
      </c>
    </row>
    <row r="353" spans="1:35" ht="15" customHeight="1" x14ac:dyDescent="0.3">
      <c r="A353">
        <v>352</v>
      </c>
      <c r="B353" t="s">
        <v>1434</v>
      </c>
      <c r="C353" s="12">
        <v>42614</v>
      </c>
      <c r="D353" s="12">
        <v>42616</v>
      </c>
      <c r="E353" t="s">
        <v>371</v>
      </c>
      <c r="F353" t="s">
        <v>1435</v>
      </c>
      <c r="G353" t="s">
        <v>1436</v>
      </c>
      <c r="H353" t="s">
        <v>285</v>
      </c>
      <c r="I353" t="s">
        <v>210</v>
      </c>
      <c r="J353" t="s">
        <v>449</v>
      </c>
      <c r="K353" t="s">
        <v>450</v>
      </c>
      <c r="L353">
        <v>10009</v>
      </c>
      <c r="M353" t="s">
        <v>331</v>
      </c>
      <c r="N353" t="s">
        <v>1439</v>
      </c>
      <c r="O353" t="s">
        <v>229</v>
      </c>
      <c r="P353" t="s">
        <v>258</v>
      </c>
      <c r="Q353" t="s">
        <v>1440</v>
      </c>
      <c r="R353" s="13">
        <v>3.048</v>
      </c>
      <c r="S353">
        <v>1</v>
      </c>
      <c r="T353" s="14">
        <v>0.2</v>
      </c>
      <c r="U353" s="13">
        <v>1.0668</v>
      </c>
      <c r="V353">
        <f t="shared" si="70"/>
        <v>2016</v>
      </c>
      <c r="W353" t="str">
        <f t="shared" si="71"/>
        <v>Sep</v>
      </c>
      <c r="X353" t="str">
        <f t="shared" si="72"/>
        <v>Q3</v>
      </c>
      <c r="Y353" t="str">
        <f t="shared" si="73"/>
        <v>Thu</v>
      </c>
      <c r="Z353" s="16">
        <f t="shared" si="74"/>
        <v>2</v>
      </c>
      <c r="AA353" s="13">
        <f t="shared" si="75"/>
        <v>3.048</v>
      </c>
      <c r="AB353" s="14">
        <f t="shared" si="76"/>
        <v>0.35</v>
      </c>
      <c r="AC353" t="str">
        <f t="shared" si="77"/>
        <v>Low (1-20%)</v>
      </c>
      <c r="AD353" t="str">
        <f t="shared" si="78"/>
        <v>Low (&lt;$50)</v>
      </c>
      <c r="AE353" t="str">
        <f t="shared" si="79"/>
        <v>Small (1-2 units)</v>
      </c>
      <c r="AF353" t="str">
        <f t="shared" si="80"/>
        <v>Profitable</v>
      </c>
      <c r="AG353" t="str">
        <f t="shared" si="81"/>
        <v>High Margin</v>
      </c>
      <c r="AH353" t="str">
        <f t="shared" si="82"/>
        <v>Repeat Customer</v>
      </c>
      <c r="AI353" t="str">
        <f t="shared" si="83"/>
        <v>Fast (&lt;=2 days)</v>
      </c>
    </row>
    <row r="354" spans="1:35" ht="15" customHeight="1" x14ac:dyDescent="0.3">
      <c r="A354">
        <v>353</v>
      </c>
      <c r="B354" t="s">
        <v>1434</v>
      </c>
      <c r="C354" s="12">
        <v>42614</v>
      </c>
      <c r="D354" s="12">
        <v>42616</v>
      </c>
      <c r="E354" t="s">
        <v>371</v>
      </c>
      <c r="F354" t="s">
        <v>1435</v>
      </c>
      <c r="G354" t="s">
        <v>1436</v>
      </c>
      <c r="H354" t="s">
        <v>285</v>
      </c>
      <c r="I354" t="s">
        <v>210</v>
      </c>
      <c r="J354" t="s">
        <v>449</v>
      </c>
      <c r="K354" t="s">
        <v>450</v>
      </c>
      <c r="L354">
        <v>10009</v>
      </c>
      <c r="M354" t="s">
        <v>331</v>
      </c>
      <c r="N354" t="s">
        <v>1437</v>
      </c>
      <c r="O354" t="s">
        <v>229</v>
      </c>
      <c r="P354" t="s">
        <v>273</v>
      </c>
      <c r="Q354" t="s">
        <v>1438</v>
      </c>
      <c r="R354" s="13">
        <v>49.12</v>
      </c>
      <c r="S354">
        <v>4</v>
      </c>
      <c r="T354" s="14">
        <v>0</v>
      </c>
      <c r="U354" s="13">
        <v>23.086400000000001</v>
      </c>
      <c r="V354">
        <f t="shared" si="70"/>
        <v>2016</v>
      </c>
      <c r="W354" t="str">
        <f t="shared" si="71"/>
        <v>Sep</v>
      </c>
      <c r="X354" t="str">
        <f t="shared" si="72"/>
        <v>Q3</v>
      </c>
      <c r="Y354" t="str">
        <f t="shared" si="73"/>
        <v>Thu</v>
      </c>
      <c r="Z354" s="16">
        <f t="shared" si="74"/>
        <v>2</v>
      </c>
      <c r="AA354" s="13">
        <f t="shared" si="75"/>
        <v>12.28</v>
      </c>
      <c r="AB354" s="14">
        <f t="shared" si="76"/>
        <v>0.47000000000000003</v>
      </c>
      <c r="AC354" t="str">
        <f t="shared" si="77"/>
        <v>No Discount</v>
      </c>
      <c r="AD354" t="str">
        <f t="shared" si="78"/>
        <v>Low (&lt;$50)</v>
      </c>
      <c r="AE354" t="str">
        <f t="shared" si="79"/>
        <v>Medium (3-5 units)</v>
      </c>
      <c r="AF354" t="str">
        <f t="shared" si="80"/>
        <v>Profitable</v>
      </c>
      <c r="AG354" t="str">
        <f t="shared" si="81"/>
        <v>High Margin</v>
      </c>
      <c r="AH354" t="str">
        <f t="shared" si="82"/>
        <v>Repeat Customer</v>
      </c>
      <c r="AI354" t="str">
        <f t="shared" si="83"/>
        <v>Fast (&lt;=2 days)</v>
      </c>
    </row>
    <row r="355" spans="1:35" ht="15" customHeight="1" x14ac:dyDescent="0.3">
      <c r="A355">
        <v>354</v>
      </c>
      <c r="B355" t="s">
        <v>1434</v>
      </c>
      <c r="C355" s="12">
        <v>42614</v>
      </c>
      <c r="D355" s="12">
        <v>42616</v>
      </c>
      <c r="E355" t="s">
        <v>371</v>
      </c>
      <c r="F355" t="s">
        <v>1435</v>
      </c>
      <c r="G355" t="s">
        <v>1436</v>
      </c>
      <c r="H355" t="s">
        <v>285</v>
      </c>
      <c r="I355" t="s">
        <v>210</v>
      </c>
      <c r="J355" t="s">
        <v>449</v>
      </c>
      <c r="K355" t="s">
        <v>450</v>
      </c>
      <c r="L355">
        <v>10009</v>
      </c>
      <c r="M355" t="s">
        <v>331</v>
      </c>
      <c r="N355" t="s">
        <v>1441</v>
      </c>
      <c r="O355" t="s">
        <v>229</v>
      </c>
      <c r="P355" t="s">
        <v>258</v>
      </c>
      <c r="Q355" t="s">
        <v>1442</v>
      </c>
      <c r="R355" s="13">
        <v>4355.1679999999997</v>
      </c>
      <c r="S355">
        <v>4</v>
      </c>
      <c r="T355" s="14">
        <v>0.2</v>
      </c>
      <c r="U355" s="13">
        <v>1415.4295999999999</v>
      </c>
      <c r="V355">
        <f t="shared" si="70"/>
        <v>2016</v>
      </c>
      <c r="W355" t="str">
        <f t="shared" si="71"/>
        <v>Sep</v>
      </c>
      <c r="X355" t="str">
        <f t="shared" si="72"/>
        <v>Q3</v>
      </c>
      <c r="Y355" t="str">
        <f t="shared" si="73"/>
        <v>Thu</v>
      </c>
      <c r="Z355" s="16">
        <f t="shared" si="74"/>
        <v>2</v>
      </c>
      <c r="AA355" s="13">
        <f t="shared" si="75"/>
        <v>1088.7919999999999</v>
      </c>
      <c r="AB355" s="14">
        <f t="shared" si="76"/>
        <v>0.32500000000000001</v>
      </c>
      <c r="AC355" t="str">
        <f t="shared" si="77"/>
        <v>Low (1-20%)</v>
      </c>
      <c r="AD355" t="str">
        <f t="shared" si="78"/>
        <v>Premium ($500+)</v>
      </c>
      <c r="AE355" t="str">
        <f t="shared" si="79"/>
        <v>Medium (3-5 units)</v>
      </c>
      <c r="AF355" t="str">
        <f t="shared" si="80"/>
        <v>Profitable</v>
      </c>
      <c r="AG355" t="str">
        <f t="shared" si="81"/>
        <v>High Margin</v>
      </c>
      <c r="AH355" t="str">
        <f t="shared" si="82"/>
        <v>Repeat Customer</v>
      </c>
      <c r="AI355" t="str">
        <f t="shared" si="83"/>
        <v>Fast (&lt;=2 days)</v>
      </c>
    </row>
    <row r="356" spans="1:35" ht="15" customHeight="1" x14ac:dyDescent="0.3">
      <c r="A356">
        <v>355</v>
      </c>
      <c r="B356" t="s">
        <v>1443</v>
      </c>
      <c r="C356" s="12">
        <v>42468</v>
      </c>
      <c r="D356" s="12">
        <v>42473</v>
      </c>
      <c r="E356" t="s">
        <v>233</v>
      </c>
      <c r="F356" t="s">
        <v>1444</v>
      </c>
      <c r="G356" t="s">
        <v>1445</v>
      </c>
      <c r="H356" t="s">
        <v>209</v>
      </c>
      <c r="I356" t="s">
        <v>210</v>
      </c>
      <c r="J356" t="s">
        <v>449</v>
      </c>
      <c r="K356" t="s">
        <v>450</v>
      </c>
      <c r="L356">
        <v>10035</v>
      </c>
      <c r="M356" t="s">
        <v>331</v>
      </c>
      <c r="N356" t="s">
        <v>1446</v>
      </c>
      <c r="O356" t="s">
        <v>215</v>
      </c>
      <c r="P356" t="s">
        <v>216</v>
      </c>
      <c r="Q356" t="s">
        <v>1447</v>
      </c>
      <c r="R356" s="13">
        <v>388.70400000000001</v>
      </c>
      <c r="S356">
        <v>6</v>
      </c>
      <c r="T356" s="14">
        <v>0.2</v>
      </c>
      <c r="U356" s="13">
        <v>-4.8587999999999996</v>
      </c>
      <c r="V356">
        <f t="shared" si="70"/>
        <v>2016</v>
      </c>
      <c r="W356" t="str">
        <f t="shared" si="71"/>
        <v>Apr</v>
      </c>
      <c r="X356" t="str">
        <f t="shared" si="72"/>
        <v>Q2</v>
      </c>
      <c r="Y356" t="str">
        <f t="shared" si="73"/>
        <v>Fri</v>
      </c>
      <c r="Z356" s="16">
        <f t="shared" si="74"/>
        <v>5</v>
      </c>
      <c r="AA356" s="13">
        <f t="shared" si="75"/>
        <v>64.784000000000006</v>
      </c>
      <c r="AB356" s="14">
        <f t="shared" si="76"/>
        <v>-1.2499999999999999E-2</v>
      </c>
      <c r="AC356" t="str">
        <f t="shared" si="77"/>
        <v>Low (1-20%)</v>
      </c>
      <c r="AD356" t="str">
        <f t="shared" si="78"/>
        <v>High ($200-$500)</v>
      </c>
      <c r="AE356" t="str">
        <f t="shared" si="79"/>
        <v>Large (6+ units)</v>
      </c>
      <c r="AF356" t="str">
        <f t="shared" si="80"/>
        <v>Loss-Making</v>
      </c>
      <c r="AG356" t="str">
        <f t="shared" si="81"/>
        <v>Underperforming</v>
      </c>
      <c r="AH356" t="str">
        <f t="shared" si="82"/>
        <v>Repeat Customer</v>
      </c>
      <c r="AI356" t="str">
        <f t="shared" si="83"/>
        <v>Standard (3-5 days)</v>
      </c>
    </row>
    <row r="357" spans="1:35" ht="15" customHeight="1" x14ac:dyDescent="0.3">
      <c r="A357">
        <v>356</v>
      </c>
      <c r="B357" t="s">
        <v>1443</v>
      </c>
      <c r="C357" s="12">
        <v>42468</v>
      </c>
      <c r="D357" s="12">
        <v>42473</v>
      </c>
      <c r="E357" t="s">
        <v>233</v>
      </c>
      <c r="F357" t="s">
        <v>1444</v>
      </c>
      <c r="G357" t="s">
        <v>1445</v>
      </c>
      <c r="H357" t="s">
        <v>209</v>
      </c>
      <c r="I357" t="s">
        <v>210</v>
      </c>
      <c r="J357" t="s">
        <v>449</v>
      </c>
      <c r="K357" t="s">
        <v>450</v>
      </c>
      <c r="L357">
        <v>10035</v>
      </c>
      <c r="M357" t="s">
        <v>331</v>
      </c>
      <c r="N357" t="s">
        <v>1448</v>
      </c>
      <c r="O357" t="s">
        <v>229</v>
      </c>
      <c r="P357" t="s">
        <v>356</v>
      </c>
      <c r="Q357" t="s">
        <v>1449</v>
      </c>
      <c r="R357" s="13">
        <v>8.26</v>
      </c>
      <c r="S357">
        <v>2</v>
      </c>
      <c r="T357" s="14">
        <v>0</v>
      </c>
      <c r="U357" s="13">
        <v>3.7995999999999999</v>
      </c>
      <c r="V357">
        <f t="shared" si="70"/>
        <v>2016</v>
      </c>
      <c r="W357" t="str">
        <f t="shared" si="71"/>
        <v>Apr</v>
      </c>
      <c r="X357" t="str">
        <f t="shared" si="72"/>
        <v>Q2</v>
      </c>
      <c r="Y357" t="str">
        <f t="shared" si="73"/>
        <v>Fri</v>
      </c>
      <c r="Z357" s="16">
        <f t="shared" si="74"/>
        <v>5</v>
      </c>
      <c r="AA357" s="13">
        <f t="shared" si="75"/>
        <v>4.13</v>
      </c>
      <c r="AB357" s="14">
        <f t="shared" si="76"/>
        <v>0.46</v>
      </c>
      <c r="AC357" t="str">
        <f t="shared" si="77"/>
        <v>No Discount</v>
      </c>
      <c r="AD357" t="str">
        <f t="shared" si="78"/>
        <v>Low (&lt;$50)</v>
      </c>
      <c r="AE357" t="str">
        <f t="shared" si="79"/>
        <v>Small (1-2 units)</v>
      </c>
      <c r="AF357" t="str">
        <f t="shared" si="80"/>
        <v>Profitable</v>
      </c>
      <c r="AG357" t="str">
        <f t="shared" si="81"/>
        <v>High Margin</v>
      </c>
      <c r="AH357" t="str">
        <f t="shared" si="82"/>
        <v>Repeat Customer</v>
      </c>
      <c r="AI357" t="str">
        <f t="shared" si="83"/>
        <v>Standard (3-5 days)</v>
      </c>
    </row>
    <row r="358" spans="1:35" ht="15" customHeight="1" x14ac:dyDescent="0.3">
      <c r="A358">
        <v>357</v>
      </c>
      <c r="B358" t="s">
        <v>1443</v>
      </c>
      <c r="C358" s="12">
        <v>42468</v>
      </c>
      <c r="D358" s="12">
        <v>42473</v>
      </c>
      <c r="E358" t="s">
        <v>233</v>
      </c>
      <c r="F358" t="s">
        <v>1444</v>
      </c>
      <c r="G358" t="s">
        <v>1445</v>
      </c>
      <c r="H358" t="s">
        <v>209</v>
      </c>
      <c r="I358" t="s">
        <v>210</v>
      </c>
      <c r="J358" t="s">
        <v>449</v>
      </c>
      <c r="K358" t="s">
        <v>450</v>
      </c>
      <c r="L358">
        <v>10035</v>
      </c>
      <c r="M358" t="s">
        <v>331</v>
      </c>
      <c r="N358" t="s">
        <v>1450</v>
      </c>
      <c r="O358" t="s">
        <v>229</v>
      </c>
      <c r="P358" t="s">
        <v>251</v>
      </c>
      <c r="Q358" t="s">
        <v>1451</v>
      </c>
      <c r="R358" s="13">
        <v>17.04</v>
      </c>
      <c r="S358">
        <v>4</v>
      </c>
      <c r="T358" s="14">
        <v>0</v>
      </c>
      <c r="U358" s="13">
        <v>6.9863999999999997</v>
      </c>
      <c r="V358">
        <f t="shared" si="70"/>
        <v>2016</v>
      </c>
      <c r="W358" t="str">
        <f t="shared" si="71"/>
        <v>Apr</v>
      </c>
      <c r="X358" t="str">
        <f t="shared" si="72"/>
        <v>Q2</v>
      </c>
      <c r="Y358" t="str">
        <f t="shared" si="73"/>
        <v>Fri</v>
      </c>
      <c r="Z358" s="16">
        <f t="shared" si="74"/>
        <v>5</v>
      </c>
      <c r="AA358" s="13">
        <f t="shared" si="75"/>
        <v>4.26</v>
      </c>
      <c r="AB358" s="14">
        <f t="shared" si="76"/>
        <v>0.41000000000000003</v>
      </c>
      <c r="AC358" t="str">
        <f t="shared" si="77"/>
        <v>No Discount</v>
      </c>
      <c r="AD358" t="str">
        <f t="shared" si="78"/>
        <v>Low (&lt;$50)</v>
      </c>
      <c r="AE358" t="str">
        <f t="shared" si="79"/>
        <v>Medium (3-5 units)</v>
      </c>
      <c r="AF358" t="str">
        <f t="shared" si="80"/>
        <v>Profitable</v>
      </c>
      <c r="AG358" t="str">
        <f t="shared" si="81"/>
        <v>High Margin</v>
      </c>
      <c r="AH358" t="str">
        <f t="shared" si="82"/>
        <v>Repeat Customer</v>
      </c>
      <c r="AI358" t="str">
        <f t="shared" si="83"/>
        <v>Standard (3-5 days)</v>
      </c>
    </row>
    <row r="359" spans="1:35" ht="15" customHeight="1" x14ac:dyDescent="0.3">
      <c r="A359">
        <v>358</v>
      </c>
      <c r="B359" t="s">
        <v>1443</v>
      </c>
      <c r="C359" s="12">
        <v>42468</v>
      </c>
      <c r="D359" s="12">
        <v>42473</v>
      </c>
      <c r="E359" t="s">
        <v>233</v>
      </c>
      <c r="F359" t="s">
        <v>1444</v>
      </c>
      <c r="G359" t="s">
        <v>1445</v>
      </c>
      <c r="H359" t="s">
        <v>209</v>
      </c>
      <c r="I359" t="s">
        <v>210</v>
      </c>
      <c r="J359" t="s">
        <v>449</v>
      </c>
      <c r="K359" t="s">
        <v>450</v>
      </c>
      <c r="L359">
        <v>10035</v>
      </c>
      <c r="M359" t="s">
        <v>331</v>
      </c>
      <c r="N359" t="s">
        <v>1452</v>
      </c>
      <c r="O359" t="s">
        <v>229</v>
      </c>
      <c r="P359" t="s">
        <v>273</v>
      </c>
      <c r="Q359" t="s">
        <v>1453</v>
      </c>
      <c r="R359" s="13">
        <v>34.4</v>
      </c>
      <c r="S359">
        <v>5</v>
      </c>
      <c r="T359" s="14">
        <v>0</v>
      </c>
      <c r="U359" s="13">
        <v>15.824</v>
      </c>
      <c r="V359">
        <f t="shared" si="70"/>
        <v>2016</v>
      </c>
      <c r="W359" t="str">
        <f t="shared" si="71"/>
        <v>Apr</v>
      </c>
      <c r="X359" t="str">
        <f t="shared" si="72"/>
        <v>Q2</v>
      </c>
      <c r="Y359" t="str">
        <f t="shared" si="73"/>
        <v>Fri</v>
      </c>
      <c r="Z359" s="16">
        <f t="shared" si="74"/>
        <v>5</v>
      </c>
      <c r="AA359" s="13">
        <f t="shared" si="75"/>
        <v>6.88</v>
      </c>
      <c r="AB359" s="14">
        <f t="shared" si="76"/>
        <v>0.46</v>
      </c>
      <c r="AC359" t="str">
        <f t="shared" si="77"/>
        <v>No Discount</v>
      </c>
      <c r="AD359" t="str">
        <f t="shared" si="78"/>
        <v>Low (&lt;$50)</v>
      </c>
      <c r="AE359" t="str">
        <f t="shared" si="79"/>
        <v>Medium (3-5 units)</v>
      </c>
      <c r="AF359" t="str">
        <f t="shared" si="80"/>
        <v>Profitable</v>
      </c>
      <c r="AG359" t="str">
        <f t="shared" si="81"/>
        <v>High Margin</v>
      </c>
      <c r="AH359" t="str">
        <f t="shared" si="82"/>
        <v>Repeat Customer</v>
      </c>
      <c r="AI359" t="str">
        <f t="shared" si="83"/>
        <v>Standard (3-5 days)</v>
      </c>
    </row>
    <row r="360" spans="1:35" ht="15" customHeight="1" x14ac:dyDescent="0.3">
      <c r="A360">
        <v>359</v>
      </c>
      <c r="B360" t="s">
        <v>1454</v>
      </c>
      <c r="C360" s="12">
        <v>42483</v>
      </c>
      <c r="D360" s="12">
        <v>42488</v>
      </c>
      <c r="E360" t="s">
        <v>233</v>
      </c>
      <c r="F360" t="s">
        <v>1004</v>
      </c>
      <c r="G360" t="s">
        <v>1005</v>
      </c>
      <c r="H360" t="s">
        <v>224</v>
      </c>
      <c r="I360" t="s">
        <v>210</v>
      </c>
      <c r="J360" t="s">
        <v>650</v>
      </c>
      <c r="K360" t="s">
        <v>271</v>
      </c>
      <c r="L360">
        <v>28205</v>
      </c>
      <c r="M360" t="s">
        <v>213</v>
      </c>
      <c r="N360" t="s">
        <v>987</v>
      </c>
      <c r="O360" t="s">
        <v>229</v>
      </c>
      <c r="P360" t="s">
        <v>273</v>
      </c>
      <c r="Q360" t="s">
        <v>988</v>
      </c>
      <c r="R360" s="13">
        <v>36.24</v>
      </c>
      <c r="S360">
        <v>5</v>
      </c>
      <c r="T360" s="14">
        <v>0.2</v>
      </c>
      <c r="U360" s="13">
        <v>11.324999999999999</v>
      </c>
      <c r="V360">
        <f t="shared" si="70"/>
        <v>2016</v>
      </c>
      <c r="W360" t="str">
        <f t="shared" si="71"/>
        <v>Apr</v>
      </c>
      <c r="X360" t="str">
        <f t="shared" si="72"/>
        <v>Q2</v>
      </c>
      <c r="Y360" t="str">
        <f t="shared" si="73"/>
        <v>Sat</v>
      </c>
      <c r="Z360" s="16">
        <f t="shared" si="74"/>
        <v>5</v>
      </c>
      <c r="AA360" s="13">
        <f t="shared" si="75"/>
        <v>7.2480000000000002</v>
      </c>
      <c r="AB360" s="14">
        <f t="shared" si="76"/>
        <v>0.31249999999999994</v>
      </c>
      <c r="AC360" t="str">
        <f t="shared" si="77"/>
        <v>Low (1-20%)</v>
      </c>
      <c r="AD360" t="str">
        <f t="shared" si="78"/>
        <v>Low (&lt;$50)</v>
      </c>
      <c r="AE360" t="str">
        <f t="shared" si="79"/>
        <v>Medium (3-5 units)</v>
      </c>
      <c r="AF360" t="str">
        <f t="shared" si="80"/>
        <v>Profitable</v>
      </c>
      <c r="AG360" t="str">
        <f t="shared" si="81"/>
        <v>High Margin</v>
      </c>
      <c r="AH360" t="str">
        <f t="shared" si="82"/>
        <v>Repeat Customer</v>
      </c>
      <c r="AI360" t="str">
        <f t="shared" si="83"/>
        <v>Standard (3-5 days)</v>
      </c>
    </row>
    <row r="361" spans="1:35" ht="15" customHeight="1" x14ac:dyDescent="0.3">
      <c r="A361">
        <v>360</v>
      </c>
      <c r="B361" t="s">
        <v>1455</v>
      </c>
      <c r="C361" s="12">
        <v>42802</v>
      </c>
      <c r="D361" s="12">
        <v>42805</v>
      </c>
      <c r="E361" t="s">
        <v>371</v>
      </c>
      <c r="F361" t="s">
        <v>1456</v>
      </c>
      <c r="G361" t="s">
        <v>1457</v>
      </c>
      <c r="H361" t="s">
        <v>224</v>
      </c>
      <c r="I361" t="s">
        <v>210</v>
      </c>
      <c r="J361" t="s">
        <v>680</v>
      </c>
      <c r="K361" t="s">
        <v>1458</v>
      </c>
      <c r="L361">
        <v>31907</v>
      </c>
      <c r="M361" t="s">
        <v>213</v>
      </c>
      <c r="N361" t="s">
        <v>1459</v>
      </c>
      <c r="O361" t="s">
        <v>229</v>
      </c>
      <c r="P361" t="s">
        <v>261</v>
      </c>
      <c r="Q361" t="s">
        <v>1460</v>
      </c>
      <c r="R361" s="13">
        <v>647.84</v>
      </c>
      <c r="S361">
        <v>8</v>
      </c>
      <c r="T361" s="14">
        <v>0</v>
      </c>
      <c r="U361" s="13">
        <v>168.4384</v>
      </c>
      <c r="V361">
        <f t="shared" si="70"/>
        <v>2017</v>
      </c>
      <c r="W361" t="str">
        <f t="shared" si="71"/>
        <v>Mar</v>
      </c>
      <c r="X361" t="str">
        <f t="shared" si="72"/>
        <v>Q1</v>
      </c>
      <c r="Y361" t="str">
        <f t="shared" si="73"/>
        <v>Wed</v>
      </c>
      <c r="Z361" s="16">
        <f t="shared" si="74"/>
        <v>3</v>
      </c>
      <c r="AA361" s="13">
        <f t="shared" si="75"/>
        <v>80.98</v>
      </c>
      <c r="AB361" s="14">
        <f t="shared" si="76"/>
        <v>0.26</v>
      </c>
      <c r="AC361" t="str">
        <f t="shared" si="77"/>
        <v>No Discount</v>
      </c>
      <c r="AD361" t="str">
        <f t="shared" si="78"/>
        <v>Premium ($500+)</v>
      </c>
      <c r="AE361" t="str">
        <f t="shared" si="79"/>
        <v>Large (6+ units)</v>
      </c>
      <c r="AF361" t="str">
        <f t="shared" si="80"/>
        <v>Profitable</v>
      </c>
      <c r="AG361" t="str">
        <f t="shared" si="81"/>
        <v>High Margin</v>
      </c>
      <c r="AH361" t="str">
        <f t="shared" si="82"/>
        <v>Repeat Customer</v>
      </c>
      <c r="AI361" t="str">
        <f t="shared" si="83"/>
        <v>Standard (3-5 days)</v>
      </c>
    </row>
    <row r="362" spans="1:35" ht="15" customHeight="1" x14ac:dyDescent="0.3">
      <c r="A362">
        <v>361</v>
      </c>
      <c r="B362" t="s">
        <v>1455</v>
      </c>
      <c r="C362" s="12">
        <v>42802</v>
      </c>
      <c r="D362" s="12">
        <v>42805</v>
      </c>
      <c r="E362" t="s">
        <v>371</v>
      </c>
      <c r="F362" t="s">
        <v>1456</v>
      </c>
      <c r="G362" t="s">
        <v>1457</v>
      </c>
      <c r="H362" t="s">
        <v>224</v>
      </c>
      <c r="I362" t="s">
        <v>210</v>
      </c>
      <c r="J362" t="s">
        <v>680</v>
      </c>
      <c r="K362" t="s">
        <v>1458</v>
      </c>
      <c r="L362">
        <v>31907</v>
      </c>
      <c r="M362" t="s">
        <v>213</v>
      </c>
      <c r="N362" t="s">
        <v>1461</v>
      </c>
      <c r="O362" t="s">
        <v>229</v>
      </c>
      <c r="P362" t="s">
        <v>230</v>
      </c>
      <c r="Q362" t="s">
        <v>1462</v>
      </c>
      <c r="R362" s="13">
        <v>20.7</v>
      </c>
      <c r="S362">
        <v>2</v>
      </c>
      <c r="T362" s="14">
        <v>0</v>
      </c>
      <c r="U362" s="13">
        <v>9.9359999999999999</v>
      </c>
      <c r="V362">
        <f t="shared" si="70"/>
        <v>2017</v>
      </c>
      <c r="W362" t="str">
        <f t="shared" si="71"/>
        <v>Mar</v>
      </c>
      <c r="X362" t="str">
        <f t="shared" si="72"/>
        <v>Q1</v>
      </c>
      <c r="Y362" t="str">
        <f t="shared" si="73"/>
        <v>Wed</v>
      </c>
      <c r="Z362" s="16">
        <f t="shared" si="74"/>
        <v>3</v>
      </c>
      <c r="AA362" s="13">
        <f t="shared" si="75"/>
        <v>10.35</v>
      </c>
      <c r="AB362" s="14">
        <f t="shared" si="76"/>
        <v>0.48000000000000004</v>
      </c>
      <c r="AC362" t="str">
        <f t="shared" si="77"/>
        <v>No Discount</v>
      </c>
      <c r="AD362" t="str">
        <f t="shared" si="78"/>
        <v>Low (&lt;$50)</v>
      </c>
      <c r="AE362" t="str">
        <f t="shared" si="79"/>
        <v>Small (1-2 units)</v>
      </c>
      <c r="AF362" t="str">
        <f t="shared" si="80"/>
        <v>Profitable</v>
      </c>
      <c r="AG362" t="str">
        <f t="shared" si="81"/>
        <v>High Margin</v>
      </c>
      <c r="AH362" t="str">
        <f t="shared" si="82"/>
        <v>Repeat Customer</v>
      </c>
      <c r="AI362" t="str">
        <f t="shared" si="83"/>
        <v>Standard (3-5 days)</v>
      </c>
    </row>
    <row r="363" spans="1:35" ht="15" customHeight="1" x14ac:dyDescent="0.3">
      <c r="A363">
        <v>362</v>
      </c>
      <c r="B363" t="s">
        <v>1463</v>
      </c>
      <c r="C363" s="12">
        <v>43003</v>
      </c>
      <c r="D363" s="12">
        <v>43009</v>
      </c>
      <c r="E363" t="s">
        <v>233</v>
      </c>
      <c r="F363" t="s">
        <v>1464</v>
      </c>
      <c r="G363" t="s">
        <v>1465</v>
      </c>
      <c r="H363" t="s">
        <v>209</v>
      </c>
      <c r="I363" t="s">
        <v>210</v>
      </c>
      <c r="J363" t="s">
        <v>449</v>
      </c>
      <c r="K363" t="s">
        <v>450</v>
      </c>
      <c r="L363">
        <v>10009</v>
      </c>
      <c r="M363" t="s">
        <v>331</v>
      </c>
      <c r="N363" t="s">
        <v>1461</v>
      </c>
      <c r="O363" t="s">
        <v>229</v>
      </c>
      <c r="P363" t="s">
        <v>230</v>
      </c>
      <c r="Q363" t="s">
        <v>1462</v>
      </c>
      <c r="R363" s="13">
        <v>20.7</v>
      </c>
      <c r="S363">
        <v>2</v>
      </c>
      <c r="T363" s="14">
        <v>0</v>
      </c>
      <c r="U363" s="13">
        <v>9.9359999999999999</v>
      </c>
      <c r="V363">
        <f t="shared" si="70"/>
        <v>2017</v>
      </c>
      <c r="W363" t="str">
        <f t="shared" si="71"/>
        <v>Sep</v>
      </c>
      <c r="X363" t="str">
        <f t="shared" si="72"/>
        <v>Q3</v>
      </c>
      <c r="Y363" t="str">
        <f t="shared" si="73"/>
        <v>Mon</v>
      </c>
      <c r="Z363" s="16">
        <f t="shared" si="74"/>
        <v>6</v>
      </c>
      <c r="AA363" s="13">
        <f t="shared" si="75"/>
        <v>10.35</v>
      </c>
      <c r="AB363" s="14">
        <f t="shared" si="76"/>
        <v>0.48000000000000004</v>
      </c>
      <c r="AC363" t="str">
        <f t="shared" si="77"/>
        <v>No Discount</v>
      </c>
      <c r="AD363" t="str">
        <f t="shared" si="78"/>
        <v>Low (&lt;$50)</v>
      </c>
      <c r="AE363" t="str">
        <f t="shared" si="79"/>
        <v>Small (1-2 units)</v>
      </c>
      <c r="AF363" t="str">
        <f t="shared" si="80"/>
        <v>Profitable</v>
      </c>
      <c r="AG363" t="str">
        <f t="shared" si="81"/>
        <v>High Margin</v>
      </c>
      <c r="AH363" t="str">
        <f t="shared" si="82"/>
        <v>Repeat Customer</v>
      </c>
      <c r="AI363" t="str">
        <f t="shared" si="83"/>
        <v>Slow (6+ days)</v>
      </c>
    </row>
    <row r="364" spans="1:35" ht="15" customHeight="1" x14ac:dyDescent="0.3">
      <c r="A364">
        <v>363</v>
      </c>
      <c r="B364" t="s">
        <v>1463</v>
      </c>
      <c r="C364" s="12">
        <v>43003</v>
      </c>
      <c r="D364" s="12">
        <v>43009</v>
      </c>
      <c r="E364" t="s">
        <v>233</v>
      </c>
      <c r="F364" t="s">
        <v>1464</v>
      </c>
      <c r="G364" t="s">
        <v>1465</v>
      </c>
      <c r="H364" t="s">
        <v>209</v>
      </c>
      <c r="I364" t="s">
        <v>210</v>
      </c>
      <c r="J364" t="s">
        <v>449</v>
      </c>
      <c r="K364" t="s">
        <v>450</v>
      </c>
      <c r="L364">
        <v>10009</v>
      </c>
      <c r="M364" t="s">
        <v>331</v>
      </c>
      <c r="N364" t="s">
        <v>1466</v>
      </c>
      <c r="O364" t="s">
        <v>215</v>
      </c>
      <c r="P364" t="s">
        <v>219</v>
      </c>
      <c r="Q364" t="s">
        <v>1467</v>
      </c>
      <c r="R364" s="13">
        <v>488.64600000000002</v>
      </c>
      <c r="S364">
        <v>3</v>
      </c>
      <c r="T364" s="14">
        <v>0.1</v>
      </c>
      <c r="U364" s="13">
        <v>86.870400000000004</v>
      </c>
      <c r="V364">
        <f t="shared" si="70"/>
        <v>2017</v>
      </c>
      <c r="W364" t="str">
        <f t="shared" si="71"/>
        <v>Sep</v>
      </c>
      <c r="X364" t="str">
        <f t="shared" si="72"/>
        <v>Q3</v>
      </c>
      <c r="Y364" t="str">
        <f t="shared" si="73"/>
        <v>Mon</v>
      </c>
      <c r="Z364" s="16">
        <f t="shared" si="74"/>
        <v>6</v>
      </c>
      <c r="AA364" s="13">
        <f t="shared" si="75"/>
        <v>162.88200000000001</v>
      </c>
      <c r="AB364" s="14">
        <f t="shared" si="76"/>
        <v>0.17777777777777778</v>
      </c>
      <c r="AC364" t="str">
        <f t="shared" si="77"/>
        <v>Low (1-20%)</v>
      </c>
      <c r="AD364" t="str">
        <f t="shared" si="78"/>
        <v>High ($200-$500)</v>
      </c>
      <c r="AE364" t="str">
        <f t="shared" si="79"/>
        <v>Medium (3-5 units)</v>
      </c>
      <c r="AF364" t="str">
        <f t="shared" si="80"/>
        <v>Profitable</v>
      </c>
      <c r="AG364" t="str">
        <f t="shared" si="81"/>
        <v>Healthy Margin</v>
      </c>
      <c r="AH364" t="str">
        <f t="shared" si="82"/>
        <v>Repeat Customer</v>
      </c>
      <c r="AI364" t="str">
        <f t="shared" si="83"/>
        <v>Slow (6+ days)</v>
      </c>
    </row>
    <row r="365" spans="1:35" ht="15" customHeight="1" x14ac:dyDescent="0.3">
      <c r="A365">
        <v>364</v>
      </c>
      <c r="B365" t="s">
        <v>1463</v>
      </c>
      <c r="C365" s="12">
        <v>43003</v>
      </c>
      <c r="D365" s="12">
        <v>43009</v>
      </c>
      <c r="E365" t="s">
        <v>233</v>
      </c>
      <c r="F365" t="s">
        <v>1464</v>
      </c>
      <c r="G365" t="s">
        <v>1465</v>
      </c>
      <c r="H365" t="s">
        <v>209</v>
      </c>
      <c r="I365" t="s">
        <v>210</v>
      </c>
      <c r="J365" t="s">
        <v>449</v>
      </c>
      <c r="K365" t="s">
        <v>450</v>
      </c>
      <c r="L365">
        <v>10009</v>
      </c>
      <c r="M365" t="s">
        <v>331</v>
      </c>
      <c r="N365" t="s">
        <v>1468</v>
      </c>
      <c r="O365" t="s">
        <v>229</v>
      </c>
      <c r="P365" t="s">
        <v>251</v>
      </c>
      <c r="Q365" t="s">
        <v>1469</v>
      </c>
      <c r="R365" s="13">
        <v>5.56</v>
      </c>
      <c r="S365">
        <v>2</v>
      </c>
      <c r="T365" s="14">
        <v>0</v>
      </c>
      <c r="U365" s="13">
        <v>1.4456</v>
      </c>
      <c r="V365">
        <f t="shared" si="70"/>
        <v>2017</v>
      </c>
      <c r="W365" t="str">
        <f t="shared" si="71"/>
        <v>Sep</v>
      </c>
      <c r="X365" t="str">
        <f t="shared" si="72"/>
        <v>Q3</v>
      </c>
      <c r="Y365" t="str">
        <f t="shared" si="73"/>
        <v>Mon</v>
      </c>
      <c r="Z365" s="16">
        <f t="shared" si="74"/>
        <v>6</v>
      </c>
      <c r="AA365" s="13">
        <f t="shared" si="75"/>
        <v>2.78</v>
      </c>
      <c r="AB365" s="14">
        <f t="shared" si="76"/>
        <v>0.26</v>
      </c>
      <c r="AC365" t="str">
        <f t="shared" si="77"/>
        <v>No Discount</v>
      </c>
      <c r="AD365" t="str">
        <f t="shared" si="78"/>
        <v>Low (&lt;$50)</v>
      </c>
      <c r="AE365" t="str">
        <f t="shared" si="79"/>
        <v>Small (1-2 units)</v>
      </c>
      <c r="AF365" t="str">
        <f t="shared" si="80"/>
        <v>Profitable</v>
      </c>
      <c r="AG365" t="str">
        <f t="shared" si="81"/>
        <v>High Margin</v>
      </c>
      <c r="AH365" t="str">
        <f t="shared" si="82"/>
        <v>Repeat Customer</v>
      </c>
      <c r="AI365" t="str">
        <f t="shared" si="83"/>
        <v>Slow (6+ days)</v>
      </c>
    </row>
    <row r="366" spans="1:35" ht="15" customHeight="1" x14ac:dyDescent="0.3">
      <c r="A366">
        <v>365</v>
      </c>
      <c r="B366" t="s">
        <v>1463</v>
      </c>
      <c r="C366" s="12">
        <v>43003</v>
      </c>
      <c r="D366" s="12">
        <v>43009</v>
      </c>
      <c r="E366" t="s">
        <v>233</v>
      </c>
      <c r="F366" t="s">
        <v>1464</v>
      </c>
      <c r="G366" t="s">
        <v>1465</v>
      </c>
      <c r="H366" t="s">
        <v>209</v>
      </c>
      <c r="I366" t="s">
        <v>210</v>
      </c>
      <c r="J366" t="s">
        <v>449</v>
      </c>
      <c r="K366" t="s">
        <v>450</v>
      </c>
      <c r="L366">
        <v>10009</v>
      </c>
      <c r="M366" t="s">
        <v>331</v>
      </c>
      <c r="N366" t="s">
        <v>1470</v>
      </c>
      <c r="O366" t="s">
        <v>215</v>
      </c>
      <c r="P366" t="s">
        <v>248</v>
      </c>
      <c r="Q366" t="s">
        <v>1471</v>
      </c>
      <c r="R366" s="13">
        <v>47.12</v>
      </c>
      <c r="S366">
        <v>8</v>
      </c>
      <c r="T366" s="14">
        <v>0</v>
      </c>
      <c r="U366" s="13">
        <v>20.732800000000001</v>
      </c>
      <c r="V366">
        <f t="shared" si="70"/>
        <v>2017</v>
      </c>
      <c r="W366" t="str">
        <f t="shared" si="71"/>
        <v>Sep</v>
      </c>
      <c r="X366" t="str">
        <f t="shared" si="72"/>
        <v>Q3</v>
      </c>
      <c r="Y366" t="str">
        <f t="shared" si="73"/>
        <v>Mon</v>
      </c>
      <c r="Z366" s="16">
        <f t="shared" si="74"/>
        <v>6</v>
      </c>
      <c r="AA366" s="13">
        <f t="shared" si="75"/>
        <v>5.89</v>
      </c>
      <c r="AB366" s="14">
        <f t="shared" si="76"/>
        <v>0.44000000000000006</v>
      </c>
      <c r="AC366" t="str">
        <f t="shared" si="77"/>
        <v>No Discount</v>
      </c>
      <c r="AD366" t="str">
        <f t="shared" si="78"/>
        <v>Low (&lt;$50)</v>
      </c>
      <c r="AE366" t="str">
        <f t="shared" si="79"/>
        <v>Large (6+ units)</v>
      </c>
      <c r="AF366" t="str">
        <f t="shared" si="80"/>
        <v>Profitable</v>
      </c>
      <c r="AG366" t="str">
        <f t="shared" si="81"/>
        <v>High Margin</v>
      </c>
      <c r="AH366" t="str">
        <f t="shared" si="82"/>
        <v>Repeat Customer</v>
      </c>
      <c r="AI366" t="str">
        <f t="shared" si="83"/>
        <v>Slow (6+ days)</v>
      </c>
    </row>
    <row r="367" spans="1:35" ht="15" customHeight="1" x14ac:dyDescent="0.3">
      <c r="A367">
        <v>366</v>
      </c>
      <c r="B367" t="s">
        <v>1472</v>
      </c>
      <c r="C367" s="12">
        <v>41906</v>
      </c>
      <c r="D367" s="12">
        <v>41911</v>
      </c>
      <c r="E367" t="s">
        <v>233</v>
      </c>
      <c r="F367" t="s">
        <v>1473</v>
      </c>
      <c r="G367" t="s">
        <v>1474</v>
      </c>
      <c r="H367" t="s">
        <v>209</v>
      </c>
      <c r="I367" t="s">
        <v>210</v>
      </c>
      <c r="J367" t="s">
        <v>310</v>
      </c>
      <c r="K367" t="s">
        <v>226</v>
      </c>
      <c r="L367">
        <v>94109</v>
      </c>
      <c r="M367" t="s">
        <v>227</v>
      </c>
      <c r="N367" t="s">
        <v>422</v>
      </c>
      <c r="O367" t="s">
        <v>229</v>
      </c>
      <c r="P367" t="s">
        <v>242</v>
      </c>
      <c r="Q367" t="s">
        <v>423</v>
      </c>
      <c r="R367" s="13">
        <v>211.96</v>
      </c>
      <c r="S367">
        <v>4</v>
      </c>
      <c r="T367" s="14">
        <v>0</v>
      </c>
      <c r="U367" s="13">
        <v>8.4783999999999899</v>
      </c>
      <c r="V367">
        <f t="shared" si="70"/>
        <v>2014</v>
      </c>
      <c r="W367" t="str">
        <f t="shared" si="71"/>
        <v>Sep</v>
      </c>
      <c r="X367" t="str">
        <f t="shared" si="72"/>
        <v>Q3</v>
      </c>
      <c r="Y367" t="str">
        <f t="shared" si="73"/>
        <v>Wed</v>
      </c>
      <c r="Z367" s="16">
        <f t="shared" si="74"/>
        <v>5</v>
      </c>
      <c r="AA367" s="13">
        <f t="shared" si="75"/>
        <v>52.99</v>
      </c>
      <c r="AB367" s="14">
        <f t="shared" si="76"/>
        <v>3.9999999999999952E-2</v>
      </c>
      <c r="AC367" t="str">
        <f t="shared" si="77"/>
        <v>No Discount</v>
      </c>
      <c r="AD367" t="str">
        <f t="shared" si="78"/>
        <v>High ($200-$500)</v>
      </c>
      <c r="AE367" t="str">
        <f t="shared" si="79"/>
        <v>Medium (3-5 units)</v>
      </c>
      <c r="AF367" t="str">
        <f t="shared" si="80"/>
        <v>Profitable</v>
      </c>
      <c r="AG367" t="str">
        <f t="shared" si="81"/>
        <v>Low Margin</v>
      </c>
      <c r="AH367" t="str">
        <f t="shared" si="82"/>
        <v>Single Purchase</v>
      </c>
      <c r="AI367" t="str">
        <f t="shared" si="83"/>
        <v>Standard (3-5 days)</v>
      </c>
    </row>
    <row r="368" spans="1:35" ht="15" customHeight="1" x14ac:dyDescent="0.3">
      <c r="A368">
        <v>367</v>
      </c>
      <c r="B368" t="s">
        <v>1475</v>
      </c>
      <c r="C368" s="12">
        <v>42664</v>
      </c>
      <c r="D368" s="12">
        <v>42664</v>
      </c>
      <c r="E368" t="s">
        <v>1476</v>
      </c>
      <c r="F368" t="s">
        <v>1477</v>
      </c>
      <c r="G368" t="s">
        <v>1478</v>
      </c>
      <c r="H368" t="s">
        <v>224</v>
      </c>
      <c r="I368" t="s">
        <v>210</v>
      </c>
      <c r="J368" t="s">
        <v>1479</v>
      </c>
      <c r="K368" t="s">
        <v>932</v>
      </c>
      <c r="L368">
        <v>6040</v>
      </c>
      <c r="M368" t="s">
        <v>331</v>
      </c>
      <c r="N368" t="s">
        <v>1480</v>
      </c>
      <c r="O368" t="s">
        <v>229</v>
      </c>
      <c r="P368" t="s">
        <v>258</v>
      </c>
      <c r="Q368" t="s">
        <v>1481</v>
      </c>
      <c r="R368" s="13">
        <v>23.2</v>
      </c>
      <c r="S368">
        <v>4</v>
      </c>
      <c r="T368" s="14">
        <v>0</v>
      </c>
      <c r="U368" s="13">
        <v>10.44</v>
      </c>
      <c r="V368">
        <f t="shared" si="70"/>
        <v>2016</v>
      </c>
      <c r="W368" t="str">
        <f t="shared" si="71"/>
        <v>Oct</v>
      </c>
      <c r="X368" t="str">
        <f t="shared" si="72"/>
        <v>Q4</v>
      </c>
      <c r="Y368" t="str">
        <f t="shared" si="73"/>
        <v>Fri</v>
      </c>
      <c r="Z368" s="16">
        <f t="shared" si="74"/>
        <v>0</v>
      </c>
      <c r="AA368" s="13">
        <f t="shared" si="75"/>
        <v>5.8</v>
      </c>
      <c r="AB368" s="14">
        <f t="shared" si="76"/>
        <v>0.45</v>
      </c>
      <c r="AC368" t="str">
        <f t="shared" si="77"/>
        <v>No Discount</v>
      </c>
      <c r="AD368" t="str">
        <f t="shared" si="78"/>
        <v>Low (&lt;$50)</v>
      </c>
      <c r="AE368" t="str">
        <f t="shared" si="79"/>
        <v>Medium (3-5 units)</v>
      </c>
      <c r="AF368" t="str">
        <f t="shared" si="80"/>
        <v>Profitable</v>
      </c>
      <c r="AG368" t="str">
        <f t="shared" si="81"/>
        <v>High Margin</v>
      </c>
      <c r="AH368" t="str">
        <f t="shared" si="82"/>
        <v>Repeat Customer</v>
      </c>
      <c r="AI368" t="str">
        <f t="shared" si="83"/>
        <v>Fast (&lt;=2 days)</v>
      </c>
    </row>
    <row r="369" spans="1:35" ht="15" customHeight="1" x14ac:dyDescent="0.3">
      <c r="A369">
        <v>368</v>
      </c>
      <c r="B369" t="s">
        <v>1475</v>
      </c>
      <c r="C369" s="12">
        <v>42664</v>
      </c>
      <c r="D369" s="12">
        <v>42664</v>
      </c>
      <c r="E369" t="s">
        <v>1476</v>
      </c>
      <c r="F369" t="s">
        <v>1477</v>
      </c>
      <c r="G369" t="s">
        <v>1478</v>
      </c>
      <c r="H369" t="s">
        <v>224</v>
      </c>
      <c r="I369" t="s">
        <v>210</v>
      </c>
      <c r="J369" t="s">
        <v>1479</v>
      </c>
      <c r="K369" t="s">
        <v>932</v>
      </c>
      <c r="L369">
        <v>6040</v>
      </c>
      <c r="M369" t="s">
        <v>331</v>
      </c>
      <c r="N369" t="s">
        <v>1482</v>
      </c>
      <c r="O369" t="s">
        <v>229</v>
      </c>
      <c r="P369" t="s">
        <v>762</v>
      </c>
      <c r="Q369" t="s">
        <v>1483</v>
      </c>
      <c r="R369" s="13">
        <v>7.36</v>
      </c>
      <c r="S369">
        <v>2</v>
      </c>
      <c r="T369" s="14">
        <v>0</v>
      </c>
      <c r="U369" s="13">
        <v>0.1472</v>
      </c>
      <c r="V369">
        <f t="shared" si="70"/>
        <v>2016</v>
      </c>
      <c r="W369" t="str">
        <f t="shared" si="71"/>
        <v>Oct</v>
      </c>
      <c r="X369" t="str">
        <f t="shared" si="72"/>
        <v>Q4</v>
      </c>
      <c r="Y369" t="str">
        <f t="shared" si="73"/>
        <v>Fri</v>
      </c>
      <c r="Z369" s="16">
        <f t="shared" si="74"/>
        <v>0</v>
      </c>
      <c r="AA369" s="13">
        <f t="shared" si="75"/>
        <v>3.68</v>
      </c>
      <c r="AB369" s="14">
        <f t="shared" si="76"/>
        <v>0.02</v>
      </c>
      <c r="AC369" t="str">
        <f t="shared" si="77"/>
        <v>No Discount</v>
      </c>
      <c r="AD369" t="str">
        <f t="shared" si="78"/>
        <v>Low (&lt;$50)</v>
      </c>
      <c r="AE369" t="str">
        <f t="shared" si="79"/>
        <v>Small (1-2 units)</v>
      </c>
      <c r="AF369" t="str">
        <f t="shared" si="80"/>
        <v>Profitable</v>
      </c>
      <c r="AG369" t="str">
        <f t="shared" si="81"/>
        <v>Low Margin</v>
      </c>
      <c r="AH369" t="str">
        <f t="shared" si="82"/>
        <v>Repeat Customer</v>
      </c>
      <c r="AI369" t="str">
        <f t="shared" si="83"/>
        <v>Fast (&lt;=2 days)</v>
      </c>
    </row>
    <row r="370" spans="1:35" ht="15" customHeight="1" x14ac:dyDescent="0.3">
      <c r="A370">
        <v>369</v>
      </c>
      <c r="B370" t="s">
        <v>1475</v>
      </c>
      <c r="C370" s="12">
        <v>42664</v>
      </c>
      <c r="D370" s="12">
        <v>42664</v>
      </c>
      <c r="E370" t="s">
        <v>1476</v>
      </c>
      <c r="F370" t="s">
        <v>1477</v>
      </c>
      <c r="G370" t="s">
        <v>1478</v>
      </c>
      <c r="H370" t="s">
        <v>224</v>
      </c>
      <c r="I370" t="s">
        <v>210</v>
      </c>
      <c r="J370" t="s">
        <v>1479</v>
      </c>
      <c r="K370" t="s">
        <v>932</v>
      </c>
      <c r="L370">
        <v>6040</v>
      </c>
      <c r="M370" t="s">
        <v>331</v>
      </c>
      <c r="N370" t="s">
        <v>1484</v>
      </c>
      <c r="O370" t="s">
        <v>229</v>
      </c>
      <c r="P370" t="s">
        <v>242</v>
      </c>
      <c r="Q370" t="s">
        <v>1485</v>
      </c>
      <c r="R370" s="13">
        <v>104.79</v>
      </c>
      <c r="S370">
        <v>7</v>
      </c>
      <c r="T370" s="14">
        <v>0</v>
      </c>
      <c r="U370" s="13">
        <v>29.341200000000001</v>
      </c>
      <c r="V370">
        <f t="shared" si="70"/>
        <v>2016</v>
      </c>
      <c r="W370" t="str">
        <f t="shared" si="71"/>
        <v>Oct</v>
      </c>
      <c r="X370" t="str">
        <f t="shared" si="72"/>
        <v>Q4</v>
      </c>
      <c r="Y370" t="str">
        <f t="shared" si="73"/>
        <v>Fri</v>
      </c>
      <c r="Z370" s="16">
        <f t="shared" si="74"/>
        <v>0</v>
      </c>
      <c r="AA370" s="13">
        <f t="shared" si="75"/>
        <v>14.97</v>
      </c>
      <c r="AB370" s="14">
        <f t="shared" si="76"/>
        <v>0.27999999999999997</v>
      </c>
      <c r="AC370" t="str">
        <f t="shared" si="77"/>
        <v>No Discount</v>
      </c>
      <c r="AD370" t="str">
        <f t="shared" si="78"/>
        <v>Medium ($50-$200)</v>
      </c>
      <c r="AE370" t="str">
        <f t="shared" si="79"/>
        <v>Large (6+ units)</v>
      </c>
      <c r="AF370" t="str">
        <f t="shared" si="80"/>
        <v>Profitable</v>
      </c>
      <c r="AG370" t="str">
        <f t="shared" si="81"/>
        <v>High Margin</v>
      </c>
      <c r="AH370" t="str">
        <f t="shared" si="82"/>
        <v>Repeat Customer</v>
      </c>
      <c r="AI370" t="str">
        <f t="shared" si="83"/>
        <v>Fast (&lt;=2 days)</v>
      </c>
    </row>
    <row r="371" spans="1:35" ht="15" customHeight="1" x14ac:dyDescent="0.3">
      <c r="A371">
        <v>370</v>
      </c>
      <c r="B371" t="s">
        <v>1475</v>
      </c>
      <c r="C371" s="12">
        <v>42664</v>
      </c>
      <c r="D371" s="12">
        <v>42664</v>
      </c>
      <c r="E371" t="s">
        <v>1476</v>
      </c>
      <c r="F371" t="s">
        <v>1477</v>
      </c>
      <c r="G371" t="s">
        <v>1478</v>
      </c>
      <c r="H371" t="s">
        <v>224</v>
      </c>
      <c r="I371" t="s">
        <v>210</v>
      </c>
      <c r="J371" t="s">
        <v>1479</v>
      </c>
      <c r="K371" t="s">
        <v>932</v>
      </c>
      <c r="L371">
        <v>6040</v>
      </c>
      <c r="M371" t="s">
        <v>331</v>
      </c>
      <c r="N371" t="s">
        <v>384</v>
      </c>
      <c r="O371" t="s">
        <v>215</v>
      </c>
      <c r="P371" t="s">
        <v>216</v>
      </c>
      <c r="Q371" t="s">
        <v>385</v>
      </c>
      <c r="R371" s="13">
        <v>1043.92</v>
      </c>
      <c r="S371">
        <v>4</v>
      </c>
      <c r="T371" s="14">
        <v>0</v>
      </c>
      <c r="U371" s="13">
        <v>271.41919999999999</v>
      </c>
      <c r="V371">
        <f t="shared" si="70"/>
        <v>2016</v>
      </c>
      <c r="W371" t="str">
        <f t="shared" si="71"/>
        <v>Oct</v>
      </c>
      <c r="X371" t="str">
        <f t="shared" si="72"/>
        <v>Q4</v>
      </c>
      <c r="Y371" t="str">
        <f t="shared" si="73"/>
        <v>Fri</v>
      </c>
      <c r="Z371" s="16">
        <f t="shared" si="74"/>
        <v>0</v>
      </c>
      <c r="AA371" s="13">
        <f t="shared" si="75"/>
        <v>260.98</v>
      </c>
      <c r="AB371" s="14">
        <f t="shared" si="76"/>
        <v>0.25999999999999995</v>
      </c>
      <c r="AC371" t="str">
        <f t="shared" si="77"/>
        <v>No Discount</v>
      </c>
      <c r="AD371" t="str">
        <f t="shared" si="78"/>
        <v>Premium ($500+)</v>
      </c>
      <c r="AE371" t="str">
        <f t="shared" si="79"/>
        <v>Medium (3-5 units)</v>
      </c>
      <c r="AF371" t="str">
        <f t="shared" si="80"/>
        <v>Profitable</v>
      </c>
      <c r="AG371" t="str">
        <f t="shared" si="81"/>
        <v>High Margin</v>
      </c>
      <c r="AH371" t="str">
        <f t="shared" si="82"/>
        <v>Repeat Customer</v>
      </c>
      <c r="AI371" t="str">
        <f t="shared" si="83"/>
        <v>Fast (&lt;=2 days)</v>
      </c>
    </row>
    <row r="372" spans="1:35" ht="15" customHeight="1" x14ac:dyDescent="0.3">
      <c r="A372">
        <v>371</v>
      </c>
      <c r="B372" t="s">
        <v>1486</v>
      </c>
      <c r="C372" s="12">
        <v>42884</v>
      </c>
      <c r="D372" s="12">
        <v>42890</v>
      </c>
      <c r="E372" t="s">
        <v>233</v>
      </c>
      <c r="F372" t="s">
        <v>1487</v>
      </c>
      <c r="G372" t="s">
        <v>1488</v>
      </c>
      <c r="H372" t="s">
        <v>209</v>
      </c>
      <c r="I372" t="s">
        <v>210</v>
      </c>
      <c r="J372" t="s">
        <v>1489</v>
      </c>
      <c r="K372" t="s">
        <v>287</v>
      </c>
      <c r="L372">
        <v>78550</v>
      </c>
      <c r="M372" t="s">
        <v>288</v>
      </c>
      <c r="N372" t="s">
        <v>1490</v>
      </c>
      <c r="O372" t="s">
        <v>229</v>
      </c>
      <c r="P372" t="s">
        <v>273</v>
      </c>
      <c r="Q372" t="s">
        <v>1491</v>
      </c>
      <c r="R372" s="13">
        <v>25.92</v>
      </c>
      <c r="S372">
        <v>5</v>
      </c>
      <c r="T372" s="14">
        <v>0.2</v>
      </c>
      <c r="U372" s="13">
        <v>9.3960000000000008</v>
      </c>
      <c r="V372">
        <f t="shared" si="70"/>
        <v>2017</v>
      </c>
      <c r="W372" t="str">
        <f t="shared" si="71"/>
        <v>May</v>
      </c>
      <c r="X372" t="str">
        <f t="shared" si="72"/>
        <v>Q2</v>
      </c>
      <c r="Y372" t="str">
        <f t="shared" si="73"/>
        <v>Mon</v>
      </c>
      <c r="Z372" s="16">
        <f t="shared" si="74"/>
        <v>6</v>
      </c>
      <c r="AA372" s="13">
        <f t="shared" si="75"/>
        <v>5.1840000000000002</v>
      </c>
      <c r="AB372" s="14">
        <f t="shared" si="76"/>
        <v>0.36249999999999999</v>
      </c>
      <c r="AC372" t="str">
        <f t="shared" si="77"/>
        <v>Low (1-20%)</v>
      </c>
      <c r="AD372" t="str">
        <f t="shared" si="78"/>
        <v>Low (&lt;$50)</v>
      </c>
      <c r="AE372" t="str">
        <f t="shared" si="79"/>
        <v>Medium (3-5 units)</v>
      </c>
      <c r="AF372" t="str">
        <f t="shared" si="80"/>
        <v>Profitable</v>
      </c>
      <c r="AG372" t="str">
        <f t="shared" si="81"/>
        <v>High Margin</v>
      </c>
      <c r="AH372" t="str">
        <f t="shared" si="82"/>
        <v>Repeat Customer</v>
      </c>
      <c r="AI372" t="str">
        <f t="shared" si="83"/>
        <v>Slow (6+ days)</v>
      </c>
    </row>
    <row r="373" spans="1:35" ht="15" customHeight="1" x14ac:dyDescent="0.3">
      <c r="A373">
        <v>372</v>
      </c>
      <c r="B373" t="s">
        <v>1486</v>
      </c>
      <c r="C373" s="12">
        <v>42884</v>
      </c>
      <c r="D373" s="12">
        <v>42890</v>
      </c>
      <c r="E373" t="s">
        <v>233</v>
      </c>
      <c r="F373" t="s">
        <v>1487</v>
      </c>
      <c r="G373" t="s">
        <v>1488</v>
      </c>
      <c r="H373" t="s">
        <v>209</v>
      </c>
      <c r="I373" t="s">
        <v>210</v>
      </c>
      <c r="J373" t="s">
        <v>1489</v>
      </c>
      <c r="K373" t="s">
        <v>287</v>
      </c>
      <c r="L373">
        <v>78550</v>
      </c>
      <c r="M373" t="s">
        <v>288</v>
      </c>
      <c r="N373" t="s">
        <v>1492</v>
      </c>
      <c r="O373" t="s">
        <v>229</v>
      </c>
      <c r="P373" t="s">
        <v>242</v>
      </c>
      <c r="Q373" t="s">
        <v>1493</v>
      </c>
      <c r="R373" s="13">
        <v>53.423999999999999</v>
      </c>
      <c r="S373">
        <v>3</v>
      </c>
      <c r="T373" s="14">
        <v>0.2</v>
      </c>
      <c r="U373" s="13">
        <v>4.6745999999999999</v>
      </c>
      <c r="V373">
        <f t="shared" si="70"/>
        <v>2017</v>
      </c>
      <c r="W373" t="str">
        <f t="shared" si="71"/>
        <v>May</v>
      </c>
      <c r="X373" t="str">
        <f t="shared" si="72"/>
        <v>Q2</v>
      </c>
      <c r="Y373" t="str">
        <f t="shared" si="73"/>
        <v>Mon</v>
      </c>
      <c r="Z373" s="16">
        <f t="shared" si="74"/>
        <v>6</v>
      </c>
      <c r="AA373" s="13">
        <f t="shared" si="75"/>
        <v>17.808</v>
      </c>
      <c r="AB373" s="14">
        <f t="shared" si="76"/>
        <v>8.7499999999999994E-2</v>
      </c>
      <c r="AC373" t="str">
        <f t="shared" si="77"/>
        <v>Low (1-20%)</v>
      </c>
      <c r="AD373" t="str">
        <f t="shared" si="78"/>
        <v>Medium ($50-$200)</v>
      </c>
      <c r="AE373" t="str">
        <f t="shared" si="79"/>
        <v>Medium (3-5 units)</v>
      </c>
      <c r="AF373" t="str">
        <f t="shared" si="80"/>
        <v>Profitable</v>
      </c>
      <c r="AG373" t="str">
        <f t="shared" si="81"/>
        <v>Low Margin</v>
      </c>
      <c r="AH373" t="str">
        <f t="shared" si="82"/>
        <v>Repeat Customer</v>
      </c>
      <c r="AI373" t="str">
        <f t="shared" si="83"/>
        <v>Slow (6+ days)</v>
      </c>
    </row>
    <row r="374" spans="1:35" ht="15" customHeight="1" x14ac:dyDescent="0.3">
      <c r="A374">
        <v>373</v>
      </c>
      <c r="B374" t="s">
        <v>1494</v>
      </c>
      <c r="C374" s="12">
        <v>41843</v>
      </c>
      <c r="D374" s="12">
        <v>41847</v>
      </c>
      <c r="E374" t="s">
        <v>233</v>
      </c>
      <c r="F374" t="s">
        <v>1495</v>
      </c>
      <c r="G374" t="s">
        <v>1496</v>
      </c>
      <c r="H374" t="s">
        <v>209</v>
      </c>
      <c r="I374" t="s">
        <v>210</v>
      </c>
      <c r="J374" t="s">
        <v>1497</v>
      </c>
      <c r="K374" t="s">
        <v>493</v>
      </c>
      <c r="L374">
        <v>85705</v>
      </c>
      <c r="M374" t="s">
        <v>227</v>
      </c>
      <c r="N374" t="s">
        <v>1394</v>
      </c>
      <c r="O374" t="s">
        <v>229</v>
      </c>
      <c r="P374" t="s">
        <v>258</v>
      </c>
      <c r="Q374" t="s">
        <v>1395</v>
      </c>
      <c r="R374" s="13">
        <v>8.16</v>
      </c>
      <c r="S374">
        <v>5</v>
      </c>
      <c r="T374" s="14">
        <v>0.7</v>
      </c>
      <c r="U374" s="13">
        <v>-5.7119999999999997</v>
      </c>
      <c r="V374">
        <f t="shared" si="70"/>
        <v>2014</v>
      </c>
      <c r="W374" t="str">
        <f t="shared" si="71"/>
        <v>Jul</v>
      </c>
      <c r="X374" t="str">
        <f t="shared" si="72"/>
        <v>Q3</v>
      </c>
      <c r="Y374" t="str">
        <f t="shared" si="73"/>
        <v>Wed</v>
      </c>
      <c r="Z374" s="16">
        <f t="shared" si="74"/>
        <v>4</v>
      </c>
      <c r="AA374" s="13">
        <f t="shared" si="75"/>
        <v>1.6320000000000001</v>
      </c>
      <c r="AB374" s="14">
        <f t="shared" si="76"/>
        <v>-0.7</v>
      </c>
      <c r="AC374" t="str">
        <f t="shared" si="77"/>
        <v>High (40%+)</v>
      </c>
      <c r="AD374" t="str">
        <f t="shared" si="78"/>
        <v>Low (&lt;$50)</v>
      </c>
      <c r="AE374" t="str">
        <f t="shared" si="79"/>
        <v>Medium (3-5 units)</v>
      </c>
      <c r="AF374" t="str">
        <f t="shared" si="80"/>
        <v>Loss-Making</v>
      </c>
      <c r="AG374" t="str">
        <f t="shared" si="81"/>
        <v>Underperforming</v>
      </c>
      <c r="AH374" t="str">
        <f t="shared" si="82"/>
        <v>Repeat Customer</v>
      </c>
      <c r="AI374" t="str">
        <f t="shared" si="83"/>
        <v>Standard (3-5 days)</v>
      </c>
    </row>
    <row r="375" spans="1:35" ht="15" customHeight="1" x14ac:dyDescent="0.3">
      <c r="A375">
        <v>374</v>
      </c>
      <c r="B375" t="s">
        <v>1494</v>
      </c>
      <c r="C375" s="12">
        <v>41843</v>
      </c>
      <c r="D375" s="12">
        <v>41847</v>
      </c>
      <c r="E375" t="s">
        <v>233</v>
      </c>
      <c r="F375" t="s">
        <v>1495</v>
      </c>
      <c r="G375" t="s">
        <v>1496</v>
      </c>
      <c r="H375" t="s">
        <v>209</v>
      </c>
      <c r="I375" t="s">
        <v>210</v>
      </c>
      <c r="J375" t="s">
        <v>1497</v>
      </c>
      <c r="K375" t="s">
        <v>493</v>
      </c>
      <c r="L375">
        <v>85705</v>
      </c>
      <c r="M375" t="s">
        <v>227</v>
      </c>
      <c r="N375" t="s">
        <v>1498</v>
      </c>
      <c r="O375" t="s">
        <v>254</v>
      </c>
      <c r="P375" t="s">
        <v>344</v>
      </c>
      <c r="Q375" t="s">
        <v>1499</v>
      </c>
      <c r="R375" s="13">
        <v>1023.936</v>
      </c>
      <c r="S375">
        <v>8</v>
      </c>
      <c r="T375" s="14">
        <v>0.2</v>
      </c>
      <c r="U375" s="13">
        <v>179.18879999999999</v>
      </c>
      <c r="V375">
        <f t="shared" si="70"/>
        <v>2014</v>
      </c>
      <c r="W375" t="str">
        <f t="shared" si="71"/>
        <v>Jul</v>
      </c>
      <c r="X375" t="str">
        <f t="shared" si="72"/>
        <v>Q3</v>
      </c>
      <c r="Y375" t="str">
        <f t="shared" si="73"/>
        <v>Wed</v>
      </c>
      <c r="Z375" s="16">
        <f t="shared" si="74"/>
        <v>4</v>
      </c>
      <c r="AA375" s="13">
        <f t="shared" si="75"/>
        <v>127.992</v>
      </c>
      <c r="AB375" s="14">
        <f t="shared" si="76"/>
        <v>0.17499999999999999</v>
      </c>
      <c r="AC375" t="str">
        <f t="shared" si="77"/>
        <v>Low (1-20%)</v>
      </c>
      <c r="AD375" t="str">
        <f t="shared" si="78"/>
        <v>Premium ($500+)</v>
      </c>
      <c r="AE375" t="str">
        <f t="shared" si="79"/>
        <v>Large (6+ units)</v>
      </c>
      <c r="AF375" t="str">
        <f t="shared" si="80"/>
        <v>Profitable</v>
      </c>
      <c r="AG375" t="str">
        <f t="shared" si="81"/>
        <v>Healthy Margin</v>
      </c>
      <c r="AH375" t="str">
        <f t="shared" si="82"/>
        <v>Repeat Customer</v>
      </c>
      <c r="AI375" t="str">
        <f t="shared" si="83"/>
        <v>Standard (3-5 days)</v>
      </c>
    </row>
    <row r="376" spans="1:35" ht="15" customHeight="1" x14ac:dyDescent="0.3">
      <c r="A376">
        <v>375</v>
      </c>
      <c r="B376" t="s">
        <v>1494</v>
      </c>
      <c r="C376" s="12">
        <v>41843</v>
      </c>
      <c r="D376" s="12">
        <v>41847</v>
      </c>
      <c r="E376" t="s">
        <v>233</v>
      </c>
      <c r="F376" t="s">
        <v>1495</v>
      </c>
      <c r="G376" t="s">
        <v>1496</v>
      </c>
      <c r="H376" t="s">
        <v>209</v>
      </c>
      <c r="I376" t="s">
        <v>210</v>
      </c>
      <c r="J376" t="s">
        <v>1497</v>
      </c>
      <c r="K376" t="s">
        <v>493</v>
      </c>
      <c r="L376">
        <v>85705</v>
      </c>
      <c r="M376" t="s">
        <v>227</v>
      </c>
      <c r="N376" t="s">
        <v>1500</v>
      </c>
      <c r="O376" t="s">
        <v>229</v>
      </c>
      <c r="P376" t="s">
        <v>251</v>
      </c>
      <c r="Q376" t="s">
        <v>1501</v>
      </c>
      <c r="R376" s="13">
        <v>9.24</v>
      </c>
      <c r="S376">
        <v>1</v>
      </c>
      <c r="T376" s="14">
        <v>0.2</v>
      </c>
      <c r="U376" s="13">
        <v>0.92400000000000004</v>
      </c>
      <c r="V376">
        <f t="shared" si="70"/>
        <v>2014</v>
      </c>
      <c r="W376" t="str">
        <f t="shared" si="71"/>
        <v>Jul</v>
      </c>
      <c r="X376" t="str">
        <f t="shared" si="72"/>
        <v>Q3</v>
      </c>
      <c r="Y376" t="str">
        <f t="shared" si="73"/>
        <v>Wed</v>
      </c>
      <c r="Z376" s="16">
        <f t="shared" si="74"/>
        <v>4</v>
      </c>
      <c r="AA376" s="13">
        <f t="shared" si="75"/>
        <v>9.24</v>
      </c>
      <c r="AB376" s="14">
        <f t="shared" si="76"/>
        <v>0.1</v>
      </c>
      <c r="AC376" t="str">
        <f t="shared" si="77"/>
        <v>Low (1-20%)</v>
      </c>
      <c r="AD376" t="str">
        <f t="shared" si="78"/>
        <v>Low (&lt;$50)</v>
      </c>
      <c r="AE376" t="str">
        <f t="shared" si="79"/>
        <v>Small (1-2 units)</v>
      </c>
      <c r="AF376" t="str">
        <f t="shared" si="80"/>
        <v>Profitable</v>
      </c>
      <c r="AG376" t="str">
        <f t="shared" si="81"/>
        <v>Healthy Margin</v>
      </c>
      <c r="AH376" t="str">
        <f t="shared" si="82"/>
        <v>Repeat Customer</v>
      </c>
      <c r="AI376" t="str">
        <f t="shared" si="83"/>
        <v>Standard (3-5 days)</v>
      </c>
    </row>
    <row r="377" spans="1:35" ht="15" customHeight="1" x14ac:dyDescent="0.3">
      <c r="A377">
        <v>376</v>
      </c>
      <c r="B377" t="s">
        <v>1494</v>
      </c>
      <c r="C377" s="12">
        <v>41843</v>
      </c>
      <c r="D377" s="12">
        <v>41847</v>
      </c>
      <c r="E377" t="s">
        <v>233</v>
      </c>
      <c r="F377" t="s">
        <v>1495</v>
      </c>
      <c r="G377" t="s">
        <v>1496</v>
      </c>
      <c r="H377" t="s">
        <v>209</v>
      </c>
      <c r="I377" t="s">
        <v>210</v>
      </c>
      <c r="J377" t="s">
        <v>1497</v>
      </c>
      <c r="K377" t="s">
        <v>493</v>
      </c>
      <c r="L377">
        <v>85705</v>
      </c>
      <c r="M377" t="s">
        <v>227</v>
      </c>
      <c r="N377" t="s">
        <v>1502</v>
      </c>
      <c r="O377" t="s">
        <v>254</v>
      </c>
      <c r="P377" t="s">
        <v>344</v>
      </c>
      <c r="Q377" t="s">
        <v>1503</v>
      </c>
      <c r="R377" s="13">
        <v>479.04</v>
      </c>
      <c r="S377">
        <v>10</v>
      </c>
      <c r="T377" s="14">
        <v>0.2</v>
      </c>
      <c r="U377" s="13">
        <v>-29.94</v>
      </c>
      <c r="V377">
        <f t="shared" si="70"/>
        <v>2014</v>
      </c>
      <c r="W377" t="str">
        <f t="shared" si="71"/>
        <v>Jul</v>
      </c>
      <c r="X377" t="str">
        <f t="shared" si="72"/>
        <v>Q3</v>
      </c>
      <c r="Y377" t="str">
        <f t="shared" si="73"/>
        <v>Wed</v>
      </c>
      <c r="Z377" s="16">
        <f t="shared" si="74"/>
        <v>4</v>
      </c>
      <c r="AA377" s="13">
        <f t="shared" si="75"/>
        <v>47.904000000000003</v>
      </c>
      <c r="AB377" s="14">
        <f t="shared" si="76"/>
        <v>-6.25E-2</v>
      </c>
      <c r="AC377" t="str">
        <f t="shared" si="77"/>
        <v>Low (1-20%)</v>
      </c>
      <c r="AD377" t="str">
        <f t="shared" si="78"/>
        <v>High ($200-$500)</v>
      </c>
      <c r="AE377" t="str">
        <f t="shared" si="79"/>
        <v>Large (6+ units)</v>
      </c>
      <c r="AF377" t="str">
        <f t="shared" si="80"/>
        <v>Loss-Making</v>
      </c>
      <c r="AG377" t="str">
        <f t="shared" si="81"/>
        <v>Underperforming</v>
      </c>
      <c r="AH377" t="str">
        <f t="shared" si="82"/>
        <v>Repeat Customer</v>
      </c>
      <c r="AI377" t="str">
        <f t="shared" si="83"/>
        <v>Standard (3-5 days)</v>
      </c>
    </row>
    <row r="378" spans="1:35" ht="15" customHeight="1" x14ac:dyDescent="0.3">
      <c r="A378">
        <v>377</v>
      </c>
      <c r="B378" t="s">
        <v>1504</v>
      </c>
      <c r="C378" s="12">
        <v>42641</v>
      </c>
      <c r="D378" s="12">
        <v>42644</v>
      </c>
      <c r="E378" t="s">
        <v>371</v>
      </c>
      <c r="F378" t="s">
        <v>1505</v>
      </c>
      <c r="G378" t="s">
        <v>1506</v>
      </c>
      <c r="H378" t="s">
        <v>224</v>
      </c>
      <c r="I378" t="s">
        <v>210</v>
      </c>
      <c r="J378" t="s">
        <v>1507</v>
      </c>
      <c r="K378" t="s">
        <v>394</v>
      </c>
      <c r="L378">
        <v>62301</v>
      </c>
      <c r="M378" t="s">
        <v>288</v>
      </c>
      <c r="N378" t="s">
        <v>1508</v>
      </c>
      <c r="O378" t="s">
        <v>229</v>
      </c>
      <c r="P378" t="s">
        <v>273</v>
      </c>
      <c r="Q378" t="s">
        <v>1509</v>
      </c>
      <c r="R378" s="13">
        <v>99.135999999999996</v>
      </c>
      <c r="S378">
        <v>4</v>
      </c>
      <c r="T378" s="14">
        <v>0.2</v>
      </c>
      <c r="U378" s="13">
        <v>30.98</v>
      </c>
      <c r="V378">
        <f t="shared" si="70"/>
        <v>2016</v>
      </c>
      <c r="W378" t="str">
        <f t="shared" si="71"/>
        <v>Sep</v>
      </c>
      <c r="X378" t="str">
        <f t="shared" si="72"/>
        <v>Q3</v>
      </c>
      <c r="Y378" t="str">
        <f t="shared" si="73"/>
        <v>Wed</v>
      </c>
      <c r="Z378" s="16">
        <f t="shared" si="74"/>
        <v>3</v>
      </c>
      <c r="AA378" s="13">
        <f t="shared" si="75"/>
        <v>24.783999999999999</v>
      </c>
      <c r="AB378" s="14">
        <f t="shared" si="76"/>
        <v>0.3125</v>
      </c>
      <c r="AC378" t="str">
        <f t="shared" si="77"/>
        <v>Low (1-20%)</v>
      </c>
      <c r="AD378" t="str">
        <f t="shared" si="78"/>
        <v>Medium ($50-$200)</v>
      </c>
      <c r="AE378" t="str">
        <f t="shared" si="79"/>
        <v>Medium (3-5 units)</v>
      </c>
      <c r="AF378" t="str">
        <f t="shared" si="80"/>
        <v>Profitable</v>
      </c>
      <c r="AG378" t="str">
        <f t="shared" si="81"/>
        <v>High Margin</v>
      </c>
      <c r="AH378" t="str">
        <f t="shared" si="82"/>
        <v>Single Purchase</v>
      </c>
      <c r="AI378" t="str">
        <f t="shared" si="83"/>
        <v>Standard (3-5 days)</v>
      </c>
    </row>
    <row r="379" spans="1:35" ht="15" customHeight="1" x14ac:dyDescent="0.3">
      <c r="A379">
        <v>378</v>
      </c>
      <c r="B379" t="s">
        <v>1510</v>
      </c>
      <c r="C379" s="12">
        <v>42974</v>
      </c>
      <c r="D379" s="12">
        <v>42979</v>
      </c>
      <c r="E379" t="s">
        <v>233</v>
      </c>
      <c r="F379" t="s">
        <v>1511</v>
      </c>
      <c r="G379" t="s">
        <v>1512</v>
      </c>
      <c r="H379" t="s">
        <v>224</v>
      </c>
      <c r="I379" t="s">
        <v>210</v>
      </c>
      <c r="J379" t="s">
        <v>796</v>
      </c>
      <c r="K379" t="s">
        <v>1431</v>
      </c>
      <c r="L379">
        <v>2038</v>
      </c>
      <c r="M379" t="s">
        <v>331</v>
      </c>
      <c r="N379" t="s">
        <v>1513</v>
      </c>
      <c r="O379" t="s">
        <v>215</v>
      </c>
      <c r="P379" t="s">
        <v>239</v>
      </c>
      <c r="Q379" t="s">
        <v>1514</v>
      </c>
      <c r="R379" s="13">
        <v>1488.424</v>
      </c>
      <c r="S379">
        <v>7</v>
      </c>
      <c r="T379" s="14">
        <v>0.3</v>
      </c>
      <c r="U379" s="13">
        <v>-297.6848</v>
      </c>
      <c r="V379">
        <f t="shared" si="70"/>
        <v>2017</v>
      </c>
      <c r="W379" t="str">
        <f t="shared" si="71"/>
        <v>Aug</v>
      </c>
      <c r="X379" t="str">
        <f t="shared" si="72"/>
        <v>Q3</v>
      </c>
      <c r="Y379" t="str">
        <f t="shared" si="73"/>
        <v>Sun</v>
      </c>
      <c r="Z379" s="16">
        <f t="shared" si="74"/>
        <v>5</v>
      </c>
      <c r="AA379" s="13">
        <f t="shared" si="75"/>
        <v>212.63200000000001</v>
      </c>
      <c r="AB379" s="14">
        <f t="shared" si="76"/>
        <v>-0.2</v>
      </c>
      <c r="AC379" t="str">
        <f t="shared" si="77"/>
        <v>Medium (21-40%)</v>
      </c>
      <c r="AD379" t="str">
        <f t="shared" si="78"/>
        <v>Premium ($500+)</v>
      </c>
      <c r="AE379" t="str">
        <f t="shared" si="79"/>
        <v>Large (6+ units)</v>
      </c>
      <c r="AF379" t="str">
        <f t="shared" si="80"/>
        <v>Loss-Making</v>
      </c>
      <c r="AG379" t="str">
        <f t="shared" si="81"/>
        <v>Underperforming</v>
      </c>
      <c r="AH379" t="str">
        <f t="shared" si="82"/>
        <v>Repeat Customer</v>
      </c>
      <c r="AI379" t="str">
        <f t="shared" si="83"/>
        <v>Standard (3-5 days)</v>
      </c>
    </row>
    <row r="380" spans="1:35" ht="15" customHeight="1" x14ac:dyDescent="0.3">
      <c r="A380">
        <v>379</v>
      </c>
      <c r="B380" t="s">
        <v>1515</v>
      </c>
      <c r="C380" s="12">
        <v>42122</v>
      </c>
      <c r="D380" s="12">
        <v>42129</v>
      </c>
      <c r="E380" t="s">
        <v>233</v>
      </c>
      <c r="F380" t="s">
        <v>1516</v>
      </c>
      <c r="G380" t="s">
        <v>1517</v>
      </c>
      <c r="H380" t="s">
        <v>209</v>
      </c>
      <c r="I380" t="s">
        <v>210</v>
      </c>
      <c r="J380" t="s">
        <v>367</v>
      </c>
      <c r="K380" t="s">
        <v>287</v>
      </c>
      <c r="L380">
        <v>77095</v>
      </c>
      <c r="M380" t="s">
        <v>288</v>
      </c>
      <c r="N380" t="s">
        <v>1518</v>
      </c>
      <c r="O380" t="s">
        <v>229</v>
      </c>
      <c r="P380" t="s">
        <v>261</v>
      </c>
      <c r="Q380" t="s">
        <v>1519</v>
      </c>
      <c r="R380" s="13">
        <v>8.6519999999999992</v>
      </c>
      <c r="S380">
        <v>3</v>
      </c>
      <c r="T380" s="14">
        <v>0.8</v>
      </c>
      <c r="U380" s="13">
        <v>-20.3322</v>
      </c>
      <c r="V380">
        <f t="shared" si="70"/>
        <v>2015</v>
      </c>
      <c r="W380" t="str">
        <f t="shared" si="71"/>
        <v>Apr</v>
      </c>
      <c r="X380" t="str">
        <f t="shared" si="72"/>
        <v>Q2</v>
      </c>
      <c r="Y380" t="str">
        <f t="shared" si="73"/>
        <v>Tue</v>
      </c>
      <c r="Z380" s="16">
        <f t="shared" si="74"/>
        <v>7</v>
      </c>
      <c r="AA380" s="13">
        <f t="shared" si="75"/>
        <v>2.8839999999999999</v>
      </c>
      <c r="AB380" s="14">
        <f t="shared" si="76"/>
        <v>-2.35</v>
      </c>
      <c r="AC380" t="str">
        <f t="shared" si="77"/>
        <v>High (40%+)</v>
      </c>
      <c r="AD380" t="str">
        <f t="shared" si="78"/>
        <v>Low (&lt;$50)</v>
      </c>
      <c r="AE380" t="str">
        <f t="shared" si="79"/>
        <v>Medium (3-5 units)</v>
      </c>
      <c r="AF380" t="str">
        <f t="shared" si="80"/>
        <v>Loss-Making</v>
      </c>
      <c r="AG380" t="str">
        <f t="shared" si="81"/>
        <v>Underperforming</v>
      </c>
      <c r="AH380" t="str">
        <f t="shared" si="82"/>
        <v>Repeat Customer</v>
      </c>
      <c r="AI380" t="str">
        <f t="shared" si="83"/>
        <v>Slow (6+ days)</v>
      </c>
    </row>
    <row r="381" spans="1:35" ht="15" customHeight="1" x14ac:dyDescent="0.3">
      <c r="A381">
        <v>380</v>
      </c>
      <c r="B381" t="s">
        <v>1515</v>
      </c>
      <c r="C381" s="12">
        <v>42122</v>
      </c>
      <c r="D381" s="12">
        <v>42129</v>
      </c>
      <c r="E381" t="s">
        <v>233</v>
      </c>
      <c r="F381" t="s">
        <v>1516</v>
      </c>
      <c r="G381" t="s">
        <v>1517</v>
      </c>
      <c r="H381" t="s">
        <v>209</v>
      </c>
      <c r="I381" t="s">
        <v>210</v>
      </c>
      <c r="J381" t="s">
        <v>367</v>
      </c>
      <c r="K381" t="s">
        <v>287</v>
      </c>
      <c r="L381">
        <v>77095</v>
      </c>
      <c r="M381" t="s">
        <v>288</v>
      </c>
      <c r="N381" t="s">
        <v>1520</v>
      </c>
      <c r="O381" t="s">
        <v>229</v>
      </c>
      <c r="P381" t="s">
        <v>242</v>
      </c>
      <c r="Q381" t="s">
        <v>1521</v>
      </c>
      <c r="R381" s="13">
        <v>23.832000000000001</v>
      </c>
      <c r="S381">
        <v>3</v>
      </c>
      <c r="T381" s="14">
        <v>0.2</v>
      </c>
      <c r="U381" s="13">
        <v>2.6810999999999998</v>
      </c>
      <c r="V381">
        <f t="shared" si="70"/>
        <v>2015</v>
      </c>
      <c r="W381" t="str">
        <f t="shared" si="71"/>
        <v>Apr</v>
      </c>
      <c r="X381" t="str">
        <f t="shared" si="72"/>
        <v>Q2</v>
      </c>
      <c r="Y381" t="str">
        <f t="shared" si="73"/>
        <v>Tue</v>
      </c>
      <c r="Z381" s="16">
        <f t="shared" si="74"/>
        <v>7</v>
      </c>
      <c r="AA381" s="13">
        <f t="shared" si="75"/>
        <v>7.944</v>
      </c>
      <c r="AB381" s="14">
        <f t="shared" si="76"/>
        <v>0.11249999999999999</v>
      </c>
      <c r="AC381" t="str">
        <f t="shared" si="77"/>
        <v>Low (1-20%)</v>
      </c>
      <c r="AD381" t="str">
        <f t="shared" si="78"/>
        <v>Low (&lt;$50)</v>
      </c>
      <c r="AE381" t="str">
        <f t="shared" si="79"/>
        <v>Medium (3-5 units)</v>
      </c>
      <c r="AF381" t="str">
        <f t="shared" si="80"/>
        <v>Profitable</v>
      </c>
      <c r="AG381" t="str">
        <f t="shared" si="81"/>
        <v>Healthy Margin</v>
      </c>
      <c r="AH381" t="str">
        <f t="shared" si="82"/>
        <v>Repeat Customer</v>
      </c>
      <c r="AI381" t="str">
        <f t="shared" si="83"/>
        <v>Slow (6+ days)</v>
      </c>
    </row>
    <row r="382" spans="1:35" ht="15" customHeight="1" x14ac:dyDescent="0.3">
      <c r="A382">
        <v>381</v>
      </c>
      <c r="B382" t="s">
        <v>1515</v>
      </c>
      <c r="C382" s="12">
        <v>42122</v>
      </c>
      <c r="D382" s="12">
        <v>42129</v>
      </c>
      <c r="E382" t="s">
        <v>233</v>
      </c>
      <c r="F382" t="s">
        <v>1516</v>
      </c>
      <c r="G382" t="s">
        <v>1517</v>
      </c>
      <c r="H382" t="s">
        <v>209</v>
      </c>
      <c r="I382" t="s">
        <v>210</v>
      </c>
      <c r="J382" t="s">
        <v>367</v>
      </c>
      <c r="K382" t="s">
        <v>287</v>
      </c>
      <c r="L382">
        <v>77095</v>
      </c>
      <c r="M382" t="s">
        <v>288</v>
      </c>
      <c r="N382" t="s">
        <v>1522</v>
      </c>
      <c r="O382" t="s">
        <v>229</v>
      </c>
      <c r="P382" t="s">
        <v>258</v>
      </c>
      <c r="Q382" t="s">
        <v>1523</v>
      </c>
      <c r="R382" s="13">
        <v>12.176</v>
      </c>
      <c r="S382">
        <v>4</v>
      </c>
      <c r="T382" s="14">
        <v>0.8</v>
      </c>
      <c r="U382" s="13">
        <v>-18.872800000000002</v>
      </c>
      <c r="V382">
        <f t="shared" si="70"/>
        <v>2015</v>
      </c>
      <c r="W382" t="str">
        <f t="shared" si="71"/>
        <v>Apr</v>
      </c>
      <c r="X382" t="str">
        <f t="shared" si="72"/>
        <v>Q2</v>
      </c>
      <c r="Y382" t="str">
        <f t="shared" si="73"/>
        <v>Tue</v>
      </c>
      <c r="Z382" s="16">
        <f t="shared" si="74"/>
        <v>7</v>
      </c>
      <c r="AA382" s="13">
        <f t="shared" si="75"/>
        <v>3.044</v>
      </c>
      <c r="AB382" s="14">
        <f t="shared" si="76"/>
        <v>-1.55</v>
      </c>
      <c r="AC382" t="str">
        <f t="shared" si="77"/>
        <v>High (40%+)</v>
      </c>
      <c r="AD382" t="str">
        <f t="shared" si="78"/>
        <v>Low (&lt;$50)</v>
      </c>
      <c r="AE382" t="str">
        <f t="shared" si="79"/>
        <v>Medium (3-5 units)</v>
      </c>
      <c r="AF382" t="str">
        <f t="shared" si="80"/>
        <v>Loss-Making</v>
      </c>
      <c r="AG382" t="str">
        <f t="shared" si="81"/>
        <v>Underperforming</v>
      </c>
      <c r="AH382" t="str">
        <f t="shared" si="82"/>
        <v>Repeat Customer</v>
      </c>
      <c r="AI382" t="str">
        <f t="shared" si="83"/>
        <v>Slow (6+ days)</v>
      </c>
    </row>
    <row r="383" spans="1:35" ht="15" customHeight="1" x14ac:dyDescent="0.3">
      <c r="A383">
        <v>382</v>
      </c>
      <c r="B383" t="s">
        <v>1524</v>
      </c>
      <c r="C383" s="12">
        <v>42671</v>
      </c>
      <c r="D383" s="12">
        <v>42672</v>
      </c>
      <c r="E383" t="s">
        <v>371</v>
      </c>
      <c r="F383" t="s">
        <v>1525</v>
      </c>
      <c r="G383" t="s">
        <v>1526</v>
      </c>
      <c r="H383" t="s">
        <v>224</v>
      </c>
      <c r="I383" t="s">
        <v>210</v>
      </c>
      <c r="J383" t="s">
        <v>310</v>
      </c>
      <c r="K383" t="s">
        <v>226</v>
      </c>
      <c r="L383">
        <v>94109</v>
      </c>
      <c r="M383" t="s">
        <v>227</v>
      </c>
      <c r="N383" t="s">
        <v>1527</v>
      </c>
      <c r="O383" t="s">
        <v>229</v>
      </c>
      <c r="P383" t="s">
        <v>273</v>
      </c>
      <c r="Q383" t="s">
        <v>1528</v>
      </c>
      <c r="R383" s="13">
        <v>50.96</v>
      </c>
      <c r="S383">
        <v>7</v>
      </c>
      <c r="T383" s="14">
        <v>0</v>
      </c>
      <c r="U383" s="13">
        <v>25.48</v>
      </c>
      <c r="V383">
        <f t="shared" si="70"/>
        <v>2016</v>
      </c>
      <c r="W383" t="str">
        <f t="shared" si="71"/>
        <v>Oct</v>
      </c>
      <c r="X383" t="str">
        <f t="shared" si="72"/>
        <v>Q4</v>
      </c>
      <c r="Y383" t="str">
        <f t="shared" si="73"/>
        <v>Fri</v>
      </c>
      <c r="Z383" s="16">
        <f t="shared" si="74"/>
        <v>1</v>
      </c>
      <c r="AA383" s="13">
        <f t="shared" si="75"/>
        <v>7.28</v>
      </c>
      <c r="AB383" s="14">
        <f t="shared" si="76"/>
        <v>0.5</v>
      </c>
      <c r="AC383" t="str">
        <f t="shared" si="77"/>
        <v>No Discount</v>
      </c>
      <c r="AD383" t="str">
        <f t="shared" si="78"/>
        <v>Medium ($50-$200)</v>
      </c>
      <c r="AE383" t="str">
        <f t="shared" si="79"/>
        <v>Large (6+ units)</v>
      </c>
      <c r="AF383" t="str">
        <f t="shared" si="80"/>
        <v>Profitable</v>
      </c>
      <c r="AG383" t="str">
        <f t="shared" si="81"/>
        <v>High Margin</v>
      </c>
      <c r="AH383" t="str">
        <f t="shared" si="82"/>
        <v>Repeat Customer</v>
      </c>
      <c r="AI383" t="str">
        <f t="shared" si="83"/>
        <v>Fast (&lt;=2 days)</v>
      </c>
    </row>
    <row r="384" spans="1:35" ht="15" customHeight="1" x14ac:dyDescent="0.3">
      <c r="A384">
        <v>383</v>
      </c>
      <c r="B384" t="s">
        <v>1524</v>
      </c>
      <c r="C384" s="12">
        <v>42671</v>
      </c>
      <c r="D384" s="12">
        <v>42672</v>
      </c>
      <c r="E384" t="s">
        <v>371</v>
      </c>
      <c r="F384" t="s">
        <v>1525</v>
      </c>
      <c r="G384" t="s">
        <v>1526</v>
      </c>
      <c r="H384" t="s">
        <v>224</v>
      </c>
      <c r="I384" t="s">
        <v>210</v>
      </c>
      <c r="J384" t="s">
        <v>310</v>
      </c>
      <c r="K384" t="s">
        <v>226</v>
      </c>
      <c r="L384">
        <v>94109</v>
      </c>
      <c r="M384" t="s">
        <v>227</v>
      </c>
      <c r="N384" t="s">
        <v>1529</v>
      </c>
      <c r="O384" t="s">
        <v>229</v>
      </c>
      <c r="P384" t="s">
        <v>258</v>
      </c>
      <c r="Q384" t="s">
        <v>1530</v>
      </c>
      <c r="R384" s="13">
        <v>49.536000000000001</v>
      </c>
      <c r="S384">
        <v>3</v>
      </c>
      <c r="T384" s="14">
        <v>0.2</v>
      </c>
      <c r="U384" s="13">
        <v>17.337599999999998</v>
      </c>
      <c r="V384">
        <f t="shared" si="70"/>
        <v>2016</v>
      </c>
      <c r="W384" t="str">
        <f t="shared" si="71"/>
        <v>Oct</v>
      </c>
      <c r="X384" t="str">
        <f t="shared" si="72"/>
        <v>Q4</v>
      </c>
      <c r="Y384" t="str">
        <f t="shared" si="73"/>
        <v>Fri</v>
      </c>
      <c r="Z384" s="16">
        <f t="shared" si="74"/>
        <v>1</v>
      </c>
      <c r="AA384" s="13">
        <f t="shared" si="75"/>
        <v>16.512</v>
      </c>
      <c r="AB384" s="14">
        <f t="shared" si="76"/>
        <v>0.35</v>
      </c>
      <c r="AC384" t="str">
        <f t="shared" si="77"/>
        <v>Low (1-20%)</v>
      </c>
      <c r="AD384" t="str">
        <f t="shared" si="78"/>
        <v>Low (&lt;$50)</v>
      </c>
      <c r="AE384" t="str">
        <f t="shared" si="79"/>
        <v>Medium (3-5 units)</v>
      </c>
      <c r="AF384" t="str">
        <f t="shared" si="80"/>
        <v>Profitable</v>
      </c>
      <c r="AG384" t="str">
        <f t="shared" si="81"/>
        <v>High Margin</v>
      </c>
      <c r="AH384" t="str">
        <f t="shared" si="82"/>
        <v>Repeat Customer</v>
      </c>
      <c r="AI384" t="str">
        <f t="shared" si="83"/>
        <v>Fast (&lt;=2 days)</v>
      </c>
    </row>
    <row r="385" spans="1:35" ht="15" customHeight="1" x14ac:dyDescent="0.3">
      <c r="A385">
        <v>384</v>
      </c>
      <c r="B385" t="s">
        <v>1531</v>
      </c>
      <c r="C385" s="12">
        <v>42181</v>
      </c>
      <c r="D385" s="12">
        <v>42184</v>
      </c>
      <c r="E385" t="s">
        <v>206</v>
      </c>
      <c r="F385" t="s">
        <v>1532</v>
      </c>
      <c r="G385" t="s">
        <v>1533</v>
      </c>
      <c r="H385" t="s">
        <v>224</v>
      </c>
      <c r="I385" t="s">
        <v>210</v>
      </c>
      <c r="J385" t="s">
        <v>1299</v>
      </c>
      <c r="K385" t="s">
        <v>421</v>
      </c>
      <c r="L385">
        <v>48180</v>
      </c>
      <c r="M385" t="s">
        <v>288</v>
      </c>
      <c r="N385" t="s">
        <v>1534</v>
      </c>
      <c r="O385" t="s">
        <v>254</v>
      </c>
      <c r="P385" t="s">
        <v>344</v>
      </c>
      <c r="Q385" t="s">
        <v>1535</v>
      </c>
      <c r="R385" s="13">
        <v>41.9</v>
      </c>
      <c r="S385">
        <v>2</v>
      </c>
      <c r="T385" s="14">
        <v>0</v>
      </c>
      <c r="U385" s="13">
        <v>8.7989999999999995</v>
      </c>
      <c r="V385">
        <f t="shared" si="70"/>
        <v>2015</v>
      </c>
      <c r="W385" t="str">
        <f t="shared" si="71"/>
        <v>Jun</v>
      </c>
      <c r="X385" t="str">
        <f t="shared" si="72"/>
        <v>Q2</v>
      </c>
      <c r="Y385" t="str">
        <f t="shared" si="73"/>
        <v>Fri</v>
      </c>
      <c r="Z385" s="16">
        <f t="shared" si="74"/>
        <v>3</v>
      </c>
      <c r="AA385" s="13">
        <f t="shared" si="75"/>
        <v>20.95</v>
      </c>
      <c r="AB385" s="14">
        <f t="shared" si="76"/>
        <v>0.21</v>
      </c>
      <c r="AC385" t="str">
        <f t="shared" si="77"/>
        <v>No Discount</v>
      </c>
      <c r="AD385" t="str">
        <f t="shared" si="78"/>
        <v>Low (&lt;$50)</v>
      </c>
      <c r="AE385" t="str">
        <f t="shared" si="79"/>
        <v>Small (1-2 units)</v>
      </c>
      <c r="AF385" t="str">
        <f t="shared" si="80"/>
        <v>Profitable</v>
      </c>
      <c r="AG385" t="str">
        <f t="shared" si="81"/>
        <v>Healthy Margin</v>
      </c>
      <c r="AH385" t="str">
        <f t="shared" si="82"/>
        <v>Single Purchase</v>
      </c>
      <c r="AI385" t="str">
        <f t="shared" si="83"/>
        <v>Standard (3-5 days)</v>
      </c>
    </row>
    <row r="386" spans="1:35" ht="15" customHeight="1" x14ac:dyDescent="0.3">
      <c r="A386">
        <v>385</v>
      </c>
      <c r="B386" t="s">
        <v>1536</v>
      </c>
      <c r="C386" s="12">
        <v>42335</v>
      </c>
      <c r="D386" s="12">
        <v>42340</v>
      </c>
      <c r="E386" t="s">
        <v>233</v>
      </c>
      <c r="F386" t="s">
        <v>1537</v>
      </c>
      <c r="G386" t="s">
        <v>1538</v>
      </c>
      <c r="H386" t="s">
        <v>209</v>
      </c>
      <c r="I386" t="s">
        <v>210</v>
      </c>
      <c r="J386" t="s">
        <v>1539</v>
      </c>
      <c r="K386" t="s">
        <v>237</v>
      </c>
      <c r="L386">
        <v>33024</v>
      </c>
      <c r="M386" t="s">
        <v>213</v>
      </c>
      <c r="N386" t="s">
        <v>1540</v>
      </c>
      <c r="O386" t="s">
        <v>215</v>
      </c>
      <c r="P386" t="s">
        <v>239</v>
      </c>
      <c r="Q386" t="s">
        <v>1541</v>
      </c>
      <c r="R386" s="13">
        <v>375.45749999999998</v>
      </c>
      <c r="S386">
        <v>3</v>
      </c>
      <c r="T386" s="14">
        <v>0.45</v>
      </c>
      <c r="U386" s="13">
        <v>-157.0095</v>
      </c>
      <c r="V386">
        <f t="shared" ref="V386:V449" si="84">YEAR(C386)</f>
        <v>2015</v>
      </c>
      <c r="W386" t="str">
        <f t="shared" ref="W386:W449" si="85">TEXT(C386,"mmm")</f>
        <v>Nov</v>
      </c>
      <c r="X386" t="str">
        <f t="shared" ref="X386:X449" si="86">"Q"&amp;ROUNDUP(MONTH(C386)/3,0)</f>
        <v>Q4</v>
      </c>
      <c r="Y386" t="str">
        <f t="shared" ref="Y386:Y449" si="87">TEXT(C386,"ddd")</f>
        <v>Fri</v>
      </c>
      <c r="Z386" s="16">
        <f t="shared" ref="Z386:Z449" si="88">D386-C386</f>
        <v>5</v>
      </c>
      <c r="AA386" s="13">
        <f t="shared" ref="AA386:AA449" si="89">IFERROR(R386/S386,0)</f>
        <v>125.15249999999999</v>
      </c>
      <c r="AB386" s="14">
        <f t="shared" ref="AB386:AB449" si="90">IFERROR(U386/R386,0)</f>
        <v>-0.41818181818181821</v>
      </c>
      <c r="AC386" t="str">
        <f t="shared" ref="AC386:AC449" si="91">IF(T386=0,"No Discount",IF(T386&lt;=0.2,"Low (1-20%)",IF(T386&lt;=0.4,"Medium (21-40%)","High (40%+)")))</f>
        <v>High (40%+)</v>
      </c>
      <c r="AD386" t="str">
        <f t="shared" ref="AD386:AD449" si="92">IF(R386&lt;50,"Low (&lt;$50)",IF(R386&lt;200,"Medium ($50-$200)",IF(R386&lt;500,"High ($200-$500)","Premium ($500+)")))</f>
        <v>High ($200-$500)</v>
      </c>
      <c r="AE386" t="str">
        <f t="shared" ref="AE386:AE449" si="93">IF(S386&lt;=2,"Small (1-2 units)",IF(S386&lt;=5,"Medium (3-5 units)","Large (6+ units)"))</f>
        <v>Medium (3-5 units)</v>
      </c>
      <c r="AF386" t="str">
        <f t="shared" ref="AF386:AF449" si="94">IF(U386&lt;0,"Loss-Making","Profitable")</f>
        <v>Loss-Making</v>
      </c>
      <c r="AG386" t="str">
        <f t="shared" ref="AG386:AG449" si="95">IF(AB386&lt;0,"Underperforming",IF(AB386&lt;0.1,"Low Margin",IF(AB386&lt;0.25,"Healthy Margin","High Margin")))</f>
        <v>Underperforming</v>
      </c>
      <c r="AH386" t="str">
        <f t="shared" ref="AH386:AH449" si="96">IF(COUNTIF($F$2:$F$1001,F386)&gt;1,"Repeat Customer","Single Purchase")</f>
        <v>Repeat Customer</v>
      </c>
      <c r="AI386" t="str">
        <f t="shared" ref="AI386:AI449" si="97">IF(Z386&lt;=2,"Fast (&lt;=2 days)",IF(Z386&lt;=5,"Standard (3-5 days)","Slow (6+ days)"))</f>
        <v>Standard (3-5 days)</v>
      </c>
    </row>
    <row r="387" spans="1:35" ht="15" customHeight="1" x14ac:dyDescent="0.3">
      <c r="A387">
        <v>386</v>
      </c>
      <c r="B387" t="s">
        <v>1536</v>
      </c>
      <c r="C387" s="12">
        <v>42335</v>
      </c>
      <c r="D387" s="12">
        <v>42340</v>
      </c>
      <c r="E387" t="s">
        <v>233</v>
      </c>
      <c r="F387" t="s">
        <v>1537</v>
      </c>
      <c r="G387" t="s">
        <v>1538</v>
      </c>
      <c r="H387" t="s">
        <v>209</v>
      </c>
      <c r="I387" t="s">
        <v>210</v>
      </c>
      <c r="J387" t="s">
        <v>1539</v>
      </c>
      <c r="K387" t="s">
        <v>237</v>
      </c>
      <c r="L387">
        <v>33024</v>
      </c>
      <c r="M387" t="s">
        <v>213</v>
      </c>
      <c r="N387" t="s">
        <v>1542</v>
      </c>
      <c r="O387" t="s">
        <v>254</v>
      </c>
      <c r="P387" t="s">
        <v>344</v>
      </c>
      <c r="Q387" t="s">
        <v>1543</v>
      </c>
      <c r="R387" s="13">
        <v>83.975999999999999</v>
      </c>
      <c r="S387">
        <v>3</v>
      </c>
      <c r="T387" s="14">
        <v>0.2</v>
      </c>
      <c r="U387" s="13">
        <v>-1.0497000000000101</v>
      </c>
      <c r="V387">
        <f t="shared" si="84"/>
        <v>2015</v>
      </c>
      <c r="W387" t="str">
        <f t="shared" si="85"/>
        <v>Nov</v>
      </c>
      <c r="X387" t="str">
        <f t="shared" si="86"/>
        <v>Q4</v>
      </c>
      <c r="Y387" t="str">
        <f t="shared" si="87"/>
        <v>Fri</v>
      </c>
      <c r="Z387" s="16">
        <f t="shared" si="88"/>
        <v>5</v>
      </c>
      <c r="AA387" s="13">
        <f t="shared" si="89"/>
        <v>27.992000000000001</v>
      </c>
      <c r="AB387" s="14">
        <f t="shared" si="90"/>
        <v>-1.250000000000012E-2</v>
      </c>
      <c r="AC387" t="str">
        <f t="shared" si="91"/>
        <v>Low (1-20%)</v>
      </c>
      <c r="AD387" t="str">
        <f t="shared" si="92"/>
        <v>Medium ($50-$200)</v>
      </c>
      <c r="AE387" t="str">
        <f t="shared" si="93"/>
        <v>Medium (3-5 units)</v>
      </c>
      <c r="AF387" t="str">
        <f t="shared" si="94"/>
        <v>Loss-Making</v>
      </c>
      <c r="AG387" t="str">
        <f t="shared" si="95"/>
        <v>Underperforming</v>
      </c>
      <c r="AH387" t="str">
        <f t="shared" si="96"/>
        <v>Repeat Customer</v>
      </c>
      <c r="AI387" t="str">
        <f t="shared" si="97"/>
        <v>Standard (3-5 days)</v>
      </c>
    </row>
    <row r="388" spans="1:35" ht="15" customHeight="1" x14ac:dyDescent="0.3">
      <c r="A388">
        <v>387</v>
      </c>
      <c r="B388" t="s">
        <v>1544</v>
      </c>
      <c r="C388" s="12">
        <v>42341</v>
      </c>
      <c r="D388" s="12">
        <v>42345</v>
      </c>
      <c r="E388" t="s">
        <v>233</v>
      </c>
      <c r="F388" t="s">
        <v>1545</v>
      </c>
      <c r="G388" t="s">
        <v>1546</v>
      </c>
      <c r="H388" t="s">
        <v>224</v>
      </c>
      <c r="I388" t="s">
        <v>210</v>
      </c>
      <c r="J388" t="s">
        <v>329</v>
      </c>
      <c r="K388" t="s">
        <v>330</v>
      </c>
      <c r="L388">
        <v>19140</v>
      </c>
      <c r="M388" t="s">
        <v>331</v>
      </c>
      <c r="N388" t="s">
        <v>1547</v>
      </c>
      <c r="O388" t="s">
        <v>254</v>
      </c>
      <c r="P388" t="s">
        <v>867</v>
      </c>
      <c r="Q388" t="s">
        <v>1548</v>
      </c>
      <c r="R388" s="13">
        <v>482.34</v>
      </c>
      <c r="S388">
        <v>4</v>
      </c>
      <c r="T388" s="14">
        <v>0.7</v>
      </c>
      <c r="U388" s="13">
        <v>-337.63799999999998</v>
      </c>
      <c r="V388">
        <f t="shared" si="84"/>
        <v>2015</v>
      </c>
      <c r="W388" t="str">
        <f t="shared" si="85"/>
        <v>Dec</v>
      </c>
      <c r="X388" t="str">
        <f t="shared" si="86"/>
        <v>Q4</v>
      </c>
      <c r="Y388" t="str">
        <f t="shared" si="87"/>
        <v>Thu</v>
      </c>
      <c r="Z388" s="16">
        <f t="shared" si="88"/>
        <v>4</v>
      </c>
      <c r="AA388" s="13">
        <f t="shared" si="89"/>
        <v>120.58499999999999</v>
      </c>
      <c r="AB388" s="14">
        <f t="shared" si="90"/>
        <v>-0.7</v>
      </c>
      <c r="AC388" t="str">
        <f t="shared" si="91"/>
        <v>High (40%+)</v>
      </c>
      <c r="AD388" t="str">
        <f t="shared" si="92"/>
        <v>High ($200-$500)</v>
      </c>
      <c r="AE388" t="str">
        <f t="shared" si="93"/>
        <v>Medium (3-5 units)</v>
      </c>
      <c r="AF388" t="str">
        <f t="shared" si="94"/>
        <v>Loss-Making</v>
      </c>
      <c r="AG388" t="str">
        <f t="shared" si="95"/>
        <v>Underperforming</v>
      </c>
      <c r="AH388" t="str">
        <f t="shared" si="96"/>
        <v>Repeat Customer</v>
      </c>
      <c r="AI388" t="str">
        <f t="shared" si="97"/>
        <v>Standard (3-5 days)</v>
      </c>
    </row>
    <row r="389" spans="1:35" ht="15" customHeight="1" x14ac:dyDescent="0.3">
      <c r="A389">
        <v>388</v>
      </c>
      <c r="B389" t="s">
        <v>1544</v>
      </c>
      <c r="C389" s="12">
        <v>42341</v>
      </c>
      <c r="D389" s="12">
        <v>42345</v>
      </c>
      <c r="E389" t="s">
        <v>233</v>
      </c>
      <c r="F389" t="s">
        <v>1545</v>
      </c>
      <c r="G389" t="s">
        <v>1546</v>
      </c>
      <c r="H389" t="s">
        <v>224</v>
      </c>
      <c r="I389" t="s">
        <v>210</v>
      </c>
      <c r="J389" t="s">
        <v>329</v>
      </c>
      <c r="K389" t="s">
        <v>330</v>
      </c>
      <c r="L389">
        <v>19140</v>
      </c>
      <c r="M389" t="s">
        <v>331</v>
      </c>
      <c r="N389" t="s">
        <v>1549</v>
      </c>
      <c r="O389" t="s">
        <v>215</v>
      </c>
      <c r="P389" t="s">
        <v>248</v>
      </c>
      <c r="Q389" t="s">
        <v>1550</v>
      </c>
      <c r="R389" s="13">
        <v>2.96</v>
      </c>
      <c r="S389">
        <v>1</v>
      </c>
      <c r="T389" s="14">
        <v>0.2</v>
      </c>
      <c r="U389" s="13">
        <v>0.77700000000000002</v>
      </c>
      <c r="V389">
        <f t="shared" si="84"/>
        <v>2015</v>
      </c>
      <c r="W389" t="str">
        <f t="shared" si="85"/>
        <v>Dec</v>
      </c>
      <c r="X389" t="str">
        <f t="shared" si="86"/>
        <v>Q4</v>
      </c>
      <c r="Y389" t="str">
        <f t="shared" si="87"/>
        <v>Thu</v>
      </c>
      <c r="Z389" s="16">
        <f t="shared" si="88"/>
        <v>4</v>
      </c>
      <c r="AA389" s="13">
        <f t="shared" si="89"/>
        <v>2.96</v>
      </c>
      <c r="AB389" s="14">
        <f t="shared" si="90"/>
        <v>0.26250000000000001</v>
      </c>
      <c r="AC389" t="str">
        <f t="shared" si="91"/>
        <v>Low (1-20%)</v>
      </c>
      <c r="AD389" t="str">
        <f t="shared" si="92"/>
        <v>Low (&lt;$50)</v>
      </c>
      <c r="AE389" t="str">
        <f t="shared" si="93"/>
        <v>Small (1-2 units)</v>
      </c>
      <c r="AF389" t="str">
        <f t="shared" si="94"/>
        <v>Profitable</v>
      </c>
      <c r="AG389" t="str">
        <f t="shared" si="95"/>
        <v>High Margin</v>
      </c>
      <c r="AH389" t="str">
        <f t="shared" si="96"/>
        <v>Repeat Customer</v>
      </c>
      <c r="AI389" t="str">
        <f t="shared" si="97"/>
        <v>Standard (3-5 days)</v>
      </c>
    </row>
    <row r="390" spans="1:35" ht="15" customHeight="1" x14ac:dyDescent="0.3">
      <c r="A390">
        <v>389</v>
      </c>
      <c r="B390" t="s">
        <v>1551</v>
      </c>
      <c r="C390" s="12">
        <v>41967</v>
      </c>
      <c r="D390" s="12">
        <v>41969</v>
      </c>
      <c r="E390" t="s">
        <v>371</v>
      </c>
      <c r="F390" t="s">
        <v>1552</v>
      </c>
      <c r="G390" t="s">
        <v>1553</v>
      </c>
      <c r="H390" t="s">
        <v>209</v>
      </c>
      <c r="I390" t="s">
        <v>210</v>
      </c>
      <c r="J390" t="s">
        <v>1193</v>
      </c>
      <c r="K390" t="s">
        <v>681</v>
      </c>
      <c r="L390">
        <v>45231</v>
      </c>
      <c r="M390" t="s">
        <v>331</v>
      </c>
      <c r="N390" t="s">
        <v>1554</v>
      </c>
      <c r="O390" t="s">
        <v>229</v>
      </c>
      <c r="P390" t="s">
        <v>251</v>
      </c>
      <c r="Q390" t="s">
        <v>1555</v>
      </c>
      <c r="R390" s="13">
        <v>2.6240000000000001</v>
      </c>
      <c r="S390">
        <v>1</v>
      </c>
      <c r="T390" s="14">
        <v>0.2</v>
      </c>
      <c r="U390" s="13">
        <v>0.4264</v>
      </c>
      <c r="V390">
        <f t="shared" si="84"/>
        <v>2014</v>
      </c>
      <c r="W390" t="str">
        <f t="shared" si="85"/>
        <v>Nov</v>
      </c>
      <c r="X390" t="str">
        <f t="shared" si="86"/>
        <v>Q4</v>
      </c>
      <c r="Y390" t="str">
        <f t="shared" si="87"/>
        <v>Mon</v>
      </c>
      <c r="Z390" s="16">
        <f t="shared" si="88"/>
        <v>2</v>
      </c>
      <c r="AA390" s="13">
        <f t="shared" si="89"/>
        <v>2.6240000000000001</v>
      </c>
      <c r="AB390" s="14">
        <f t="shared" si="90"/>
        <v>0.16250000000000001</v>
      </c>
      <c r="AC390" t="str">
        <f t="shared" si="91"/>
        <v>Low (1-20%)</v>
      </c>
      <c r="AD390" t="str">
        <f t="shared" si="92"/>
        <v>Low (&lt;$50)</v>
      </c>
      <c r="AE390" t="str">
        <f t="shared" si="93"/>
        <v>Small (1-2 units)</v>
      </c>
      <c r="AF390" t="str">
        <f t="shared" si="94"/>
        <v>Profitable</v>
      </c>
      <c r="AG390" t="str">
        <f t="shared" si="95"/>
        <v>Healthy Margin</v>
      </c>
      <c r="AH390" t="str">
        <f t="shared" si="96"/>
        <v>Single Purchase</v>
      </c>
      <c r="AI390" t="str">
        <f t="shared" si="97"/>
        <v>Fast (&lt;=2 days)</v>
      </c>
    </row>
    <row r="391" spans="1:35" ht="15" customHeight="1" x14ac:dyDescent="0.3">
      <c r="A391">
        <v>390</v>
      </c>
      <c r="B391" t="s">
        <v>1556</v>
      </c>
      <c r="C391" s="12">
        <v>43080</v>
      </c>
      <c r="D391" s="12">
        <v>43084</v>
      </c>
      <c r="E391" t="s">
        <v>233</v>
      </c>
      <c r="F391" t="s">
        <v>1557</v>
      </c>
      <c r="G391" t="s">
        <v>1558</v>
      </c>
      <c r="H391" t="s">
        <v>209</v>
      </c>
      <c r="I391" t="s">
        <v>210</v>
      </c>
      <c r="J391" t="s">
        <v>449</v>
      </c>
      <c r="K391" t="s">
        <v>450</v>
      </c>
      <c r="L391">
        <v>10009</v>
      </c>
      <c r="M391" t="s">
        <v>331</v>
      </c>
      <c r="N391" t="s">
        <v>1559</v>
      </c>
      <c r="O391" t="s">
        <v>229</v>
      </c>
      <c r="P391" t="s">
        <v>258</v>
      </c>
      <c r="Q391" t="s">
        <v>1560</v>
      </c>
      <c r="R391" s="13">
        <v>23.36</v>
      </c>
      <c r="S391">
        <v>4</v>
      </c>
      <c r="T391" s="14">
        <v>0.2</v>
      </c>
      <c r="U391" s="13">
        <v>7.8840000000000003</v>
      </c>
      <c r="V391">
        <f t="shared" si="84"/>
        <v>2017</v>
      </c>
      <c r="W391" t="str">
        <f t="shared" si="85"/>
        <v>Dec</v>
      </c>
      <c r="X391" t="str">
        <f t="shared" si="86"/>
        <v>Q4</v>
      </c>
      <c r="Y391" t="str">
        <f t="shared" si="87"/>
        <v>Mon</v>
      </c>
      <c r="Z391" s="16">
        <f t="shared" si="88"/>
        <v>4</v>
      </c>
      <c r="AA391" s="13">
        <f t="shared" si="89"/>
        <v>5.84</v>
      </c>
      <c r="AB391" s="14">
        <f t="shared" si="90"/>
        <v>0.33750000000000002</v>
      </c>
      <c r="AC391" t="str">
        <f t="shared" si="91"/>
        <v>Low (1-20%)</v>
      </c>
      <c r="AD391" t="str">
        <f t="shared" si="92"/>
        <v>Low (&lt;$50)</v>
      </c>
      <c r="AE391" t="str">
        <f t="shared" si="93"/>
        <v>Medium (3-5 units)</v>
      </c>
      <c r="AF391" t="str">
        <f t="shared" si="94"/>
        <v>Profitable</v>
      </c>
      <c r="AG391" t="str">
        <f t="shared" si="95"/>
        <v>High Margin</v>
      </c>
      <c r="AH391" t="str">
        <f t="shared" si="96"/>
        <v>Repeat Customer</v>
      </c>
      <c r="AI391" t="str">
        <f t="shared" si="97"/>
        <v>Standard (3-5 days)</v>
      </c>
    </row>
    <row r="392" spans="1:35" ht="15" customHeight="1" x14ac:dyDescent="0.3">
      <c r="A392">
        <v>391</v>
      </c>
      <c r="B392" t="s">
        <v>1556</v>
      </c>
      <c r="C392" s="12">
        <v>43080</v>
      </c>
      <c r="D392" s="12">
        <v>43084</v>
      </c>
      <c r="E392" t="s">
        <v>233</v>
      </c>
      <c r="F392" t="s">
        <v>1557</v>
      </c>
      <c r="G392" t="s">
        <v>1558</v>
      </c>
      <c r="H392" t="s">
        <v>209</v>
      </c>
      <c r="I392" t="s">
        <v>210</v>
      </c>
      <c r="J392" t="s">
        <v>449</v>
      </c>
      <c r="K392" t="s">
        <v>450</v>
      </c>
      <c r="L392">
        <v>10009</v>
      </c>
      <c r="M392" t="s">
        <v>331</v>
      </c>
      <c r="N392" t="s">
        <v>573</v>
      </c>
      <c r="O392" t="s">
        <v>254</v>
      </c>
      <c r="P392" t="s">
        <v>344</v>
      </c>
      <c r="Q392" t="s">
        <v>574</v>
      </c>
      <c r="R392" s="13">
        <v>39.979999999999997</v>
      </c>
      <c r="S392">
        <v>2</v>
      </c>
      <c r="T392" s="14">
        <v>0</v>
      </c>
      <c r="U392" s="13">
        <v>13.5932</v>
      </c>
      <c r="V392">
        <f t="shared" si="84"/>
        <v>2017</v>
      </c>
      <c r="W392" t="str">
        <f t="shared" si="85"/>
        <v>Dec</v>
      </c>
      <c r="X392" t="str">
        <f t="shared" si="86"/>
        <v>Q4</v>
      </c>
      <c r="Y392" t="str">
        <f t="shared" si="87"/>
        <v>Mon</v>
      </c>
      <c r="Z392" s="16">
        <f t="shared" si="88"/>
        <v>4</v>
      </c>
      <c r="AA392" s="13">
        <f t="shared" si="89"/>
        <v>19.989999999999998</v>
      </c>
      <c r="AB392" s="14">
        <f t="shared" si="90"/>
        <v>0.34</v>
      </c>
      <c r="AC392" t="str">
        <f t="shared" si="91"/>
        <v>No Discount</v>
      </c>
      <c r="AD392" t="str">
        <f t="shared" si="92"/>
        <v>Low (&lt;$50)</v>
      </c>
      <c r="AE392" t="str">
        <f t="shared" si="93"/>
        <v>Small (1-2 units)</v>
      </c>
      <c r="AF392" t="str">
        <f t="shared" si="94"/>
        <v>Profitable</v>
      </c>
      <c r="AG392" t="str">
        <f t="shared" si="95"/>
        <v>High Margin</v>
      </c>
      <c r="AH392" t="str">
        <f t="shared" si="96"/>
        <v>Repeat Customer</v>
      </c>
      <c r="AI392" t="str">
        <f t="shared" si="97"/>
        <v>Standard (3-5 days)</v>
      </c>
    </row>
    <row r="393" spans="1:35" ht="15" customHeight="1" x14ac:dyDescent="0.3">
      <c r="A393">
        <v>392</v>
      </c>
      <c r="B393" t="s">
        <v>1561</v>
      </c>
      <c r="C393" s="12">
        <v>41903</v>
      </c>
      <c r="D393" s="12">
        <v>41905</v>
      </c>
      <c r="E393" t="s">
        <v>206</v>
      </c>
      <c r="F393" t="s">
        <v>1562</v>
      </c>
      <c r="G393" t="s">
        <v>1563</v>
      </c>
      <c r="H393" t="s">
        <v>209</v>
      </c>
      <c r="I393" t="s">
        <v>210</v>
      </c>
      <c r="J393" t="s">
        <v>1564</v>
      </c>
      <c r="K393" t="s">
        <v>279</v>
      </c>
      <c r="L393">
        <v>98198</v>
      </c>
      <c r="M393" t="s">
        <v>227</v>
      </c>
      <c r="N393" t="s">
        <v>1565</v>
      </c>
      <c r="O393" t="s">
        <v>254</v>
      </c>
      <c r="P393" t="s">
        <v>255</v>
      </c>
      <c r="Q393" t="s">
        <v>1566</v>
      </c>
      <c r="R393" s="13">
        <v>246.38399999999999</v>
      </c>
      <c r="S393">
        <v>2</v>
      </c>
      <c r="T393" s="14">
        <v>0.2</v>
      </c>
      <c r="U393" s="13">
        <v>27.7182</v>
      </c>
      <c r="V393">
        <f t="shared" si="84"/>
        <v>2014</v>
      </c>
      <c r="W393" t="str">
        <f t="shared" si="85"/>
        <v>Sep</v>
      </c>
      <c r="X393" t="str">
        <f t="shared" si="86"/>
        <v>Q3</v>
      </c>
      <c r="Y393" t="str">
        <f t="shared" si="87"/>
        <v>Sun</v>
      </c>
      <c r="Z393" s="16">
        <f t="shared" si="88"/>
        <v>2</v>
      </c>
      <c r="AA393" s="13">
        <f t="shared" si="89"/>
        <v>123.19199999999999</v>
      </c>
      <c r="AB393" s="14">
        <f t="shared" si="90"/>
        <v>0.1125</v>
      </c>
      <c r="AC393" t="str">
        <f t="shared" si="91"/>
        <v>Low (1-20%)</v>
      </c>
      <c r="AD393" t="str">
        <f t="shared" si="92"/>
        <v>High ($200-$500)</v>
      </c>
      <c r="AE393" t="str">
        <f t="shared" si="93"/>
        <v>Small (1-2 units)</v>
      </c>
      <c r="AF393" t="str">
        <f t="shared" si="94"/>
        <v>Profitable</v>
      </c>
      <c r="AG393" t="str">
        <f t="shared" si="95"/>
        <v>Healthy Margin</v>
      </c>
      <c r="AH393" t="str">
        <f t="shared" si="96"/>
        <v>Repeat Customer</v>
      </c>
      <c r="AI393" t="str">
        <f t="shared" si="97"/>
        <v>Fast (&lt;=2 days)</v>
      </c>
    </row>
    <row r="394" spans="1:35" ht="15" customHeight="1" x14ac:dyDescent="0.3">
      <c r="A394">
        <v>393</v>
      </c>
      <c r="B394" t="s">
        <v>1561</v>
      </c>
      <c r="C394" s="12">
        <v>41903</v>
      </c>
      <c r="D394" s="12">
        <v>41905</v>
      </c>
      <c r="E394" t="s">
        <v>206</v>
      </c>
      <c r="F394" t="s">
        <v>1562</v>
      </c>
      <c r="G394" t="s">
        <v>1563</v>
      </c>
      <c r="H394" t="s">
        <v>209</v>
      </c>
      <c r="I394" t="s">
        <v>210</v>
      </c>
      <c r="J394" t="s">
        <v>1564</v>
      </c>
      <c r="K394" t="s">
        <v>279</v>
      </c>
      <c r="L394">
        <v>98198</v>
      </c>
      <c r="M394" t="s">
        <v>227</v>
      </c>
      <c r="N394" t="s">
        <v>1567</v>
      </c>
      <c r="O394" t="s">
        <v>254</v>
      </c>
      <c r="P394" t="s">
        <v>1402</v>
      </c>
      <c r="Q394" t="s">
        <v>1568</v>
      </c>
      <c r="R394" s="13">
        <v>1799.97</v>
      </c>
      <c r="S394">
        <v>3</v>
      </c>
      <c r="T394" s="14">
        <v>0</v>
      </c>
      <c r="U394" s="13">
        <v>701.98829999999998</v>
      </c>
      <c r="V394">
        <f t="shared" si="84"/>
        <v>2014</v>
      </c>
      <c r="W394" t="str">
        <f t="shared" si="85"/>
        <v>Sep</v>
      </c>
      <c r="X394" t="str">
        <f t="shared" si="86"/>
        <v>Q3</v>
      </c>
      <c r="Y394" t="str">
        <f t="shared" si="87"/>
        <v>Sun</v>
      </c>
      <c r="Z394" s="16">
        <f t="shared" si="88"/>
        <v>2</v>
      </c>
      <c r="AA394" s="13">
        <f t="shared" si="89"/>
        <v>599.99</v>
      </c>
      <c r="AB394" s="14">
        <f t="shared" si="90"/>
        <v>0.38999999999999996</v>
      </c>
      <c r="AC394" t="str">
        <f t="shared" si="91"/>
        <v>No Discount</v>
      </c>
      <c r="AD394" t="str">
        <f t="shared" si="92"/>
        <v>Premium ($500+)</v>
      </c>
      <c r="AE394" t="str">
        <f t="shared" si="93"/>
        <v>Medium (3-5 units)</v>
      </c>
      <c r="AF394" t="str">
        <f t="shared" si="94"/>
        <v>Profitable</v>
      </c>
      <c r="AG394" t="str">
        <f t="shared" si="95"/>
        <v>High Margin</v>
      </c>
      <c r="AH394" t="str">
        <f t="shared" si="96"/>
        <v>Repeat Customer</v>
      </c>
      <c r="AI394" t="str">
        <f t="shared" si="97"/>
        <v>Fast (&lt;=2 days)</v>
      </c>
    </row>
    <row r="395" spans="1:35" ht="15" customHeight="1" x14ac:dyDescent="0.3">
      <c r="A395">
        <v>394</v>
      </c>
      <c r="B395" t="s">
        <v>1569</v>
      </c>
      <c r="C395" s="12">
        <v>41797</v>
      </c>
      <c r="D395" s="12">
        <v>41800</v>
      </c>
      <c r="E395" t="s">
        <v>206</v>
      </c>
      <c r="F395" t="s">
        <v>1570</v>
      </c>
      <c r="G395" t="s">
        <v>1571</v>
      </c>
      <c r="H395" t="s">
        <v>224</v>
      </c>
      <c r="I395" t="s">
        <v>210</v>
      </c>
      <c r="J395" t="s">
        <v>1572</v>
      </c>
      <c r="K395" t="s">
        <v>394</v>
      </c>
      <c r="L395">
        <v>61604</v>
      </c>
      <c r="M395" t="s">
        <v>288</v>
      </c>
      <c r="N395" t="s">
        <v>1573</v>
      </c>
      <c r="O395" t="s">
        <v>229</v>
      </c>
      <c r="P395" t="s">
        <v>258</v>
      </c>
      <c r="Q395" t="s">
        <v>1574</v>
      </c>
      <c r="R395" s="13">
        <v>12.462</v>
      </c>
      <c r="S395">
        <v>3</v>
      </c>
      <c r="T395" s="14">
        <v>0.8</v>
      </c>
      <c r="U395" s="13">
        <v>-20.5623</v>
      </c>
      <c r="V395">
        <f t="shared" si="84"/>
        <v>2014</v>
      </c>
      <c r="W395" t="str">
        <f t="shared" si="85"/>
        <v>Jun</v>
      </c>
      <c r="X395" t="str">
        <f t="shared" si="86"/>
        <v>Q2</v>
      </c>
      <c r="Y395" t="str">
        <f t="shared" si="87"/>
        <v>Sat</v>
      </c>
      <c r="Z395" s="16">
        <f t="shared" si="88"/>
        <v>3</v>
      </c>
      <c r="AA395" s="13">
        <f t="shared" si="89"/>
        <v>4.1539999999999999</v>
      </c>
      <c r="AB395" s="14">
        <f t="shared" si="90"/>
        <v>-1.6500000000000001</v>
      </c>
      <c r="AC395" t="str">
        <f t="shared" si="91"/>
        <v>High (40%+)</v>
      </c>
      <c r="AD395" t="str">
        <f t="shared" si="92"/>
        <v>Low (&lt;$50)</v>
      </c>
      <c r="AE395" t="str">
        <f t="shared" si="93"/>
        <v>Medium (3-5 units)</v>
      </c>
      <c r="AF395" t="str">
        <f t="shared" si="94"/>
        <v>Loss-Making</v>
      </c>
      <c r="AG395" t="str">
        <f t="shared" si="95"/>
        <v>Underperforming</v>
      </c>
      <c r="AH395" t="str">
        <f t="shared" si="96"/>
        <v>Single Purchase</v>
      </c>
      <c r="AI395" t="str">
        <f t="shared" si="97"/>
        <v>Standard (3-5 days)</v>
      </c>
    </row>
    <row r="396" spans="1:35" ht="15" customHeight="1" x14ac:dyDescent="0.3">
      <c r="A396">
        <v>395</v>
      </c>
      <c r="B396" t="s">
        <v>1575</v>
      </c>
      <c r="C396" s="12">
        <v>42916</v>
      </c>
      <c r="D396" s="12">
        <v>42921</v>
      </c>
      <c r="E396" t="s">
        <v>233</v>
      </c>
      <c r="F396" t="s">
        <v>1576</v>
      </c>
      <c r="G396" t="s">
        <v>1577</v>
      </c>
      <c r="H396" t="s">
        <v>285</v>
      </c>
      <c r="I396" t="s">
        <v>210</v>
      </c>
      <c r="J396" t="s">
        <v>1578</v>
      </c>
      <c r="K396" t="s">
        <v>1579</v>
      </c>
      <c r="L396">
        <v>89115</v>
      </c>
      <c r="M396" t="s">
        <v>227</v>
      </c>
      <c r="N396" t="s">
        <v>1580</v>
      </c>
      <c r="O396" t="s">
        <v>229</v>
      </c>
      <c r="P396" t="s">
        <v>258</v>
      </c>
      <c r="Q396" t="s">
        <v>1581</v>
      </c>
      <c r="R396" s="13">
        <v>75.792000000000002</v>
      </c>
      <c r="S396">
        <v>3</v>
      </c>
      <c r="T396" s="14">
        <v>0.2</v>
      </c>
      <c r="U396" s="13">
        <v>25.579799999999999</v>
      </c>
      <c r="V396">
        <f t="shared" si="84"/>
        <v>2017</v>
      </c>
      <c r="W396" t="str">
        <f t="shared" si="85"/>
        <v>Jun</v>
      </c>
      <c r="X396" t="str">
        <f t="shared" si="86"/>
        <v>Q2</v>
      </c>
      <c r="Y396" t="str">
        <f t="shared" si="87"/>
        <v>Fri</v>
      </c>
      <c r="Z396" s="16">
        <f t="shared" si="88"/>
        <v>5</v>
      </c>
      <c r="AA396" s="13">
        <f t="shared" si="89"/>
        <v>25.263999999999999</v>
      </c>
      <c r="AB396" s="14">
        <f t="shared" si="90"/>
        <v>0.33749999999999997</v>
      </c>
      <c r="AC396" t="str">
        <f t="shared" si="91"/>
        <v>Low (1-20%)</v>
      </c>
      <c r="AD396" t="str">
        <f t="shared" si="92"/>
        <v>Medium ($50-$200)</v>
      </c>
      <c r="AE396" t="str">
        <f t="shared" si="93"/>
        <v>Medium (3-5 units)</v>
      </c>
      <c r="AF396" t="str">
        <f t="shared" si="94"/>
        <v>Profitable</v>
      </c>
      <c r="AG396" t="str">
        <f t="shared" si="95"/>
        <v>High Margin</v>
      </c>
      <c r="AH396" t="str">
        <f t="shared" si="96"/>
        <v>Single Purchase</v>
      </c>
      <c r="AI396" t="str">
        <f t="shared" si="97"/>
        <v>Standard (3-5 days)</v>
      </c>
    </row>
    <row r="397" spans="1:35" ht="15" customHeight="1" x14ac:dyDescent="0.3">
      <c r="A397">
        <v>396</v>
      </c>
      <c r="B397" t="s">
        <v>1582</v>
      </c>
      <c r="C397" s="12">
        <v>43025</v>
      </c>
      <c r="D397" s="12">
        <v>43027</v>
      </c>
      <c r="E397" t="s">
        <v>206</v>
      </c>
      <c r="F397" t="s">
        <v>1583</v>
      </c>
      <c r="G397" t="s">
        <v>1584</v>
      </c>
      <c r="H397" t="s">
        <v>224</v>
      </c>
      <c r="I397" t="s">
        <v>210</v>
      </c>
      <c r="J397" t="s">
        <v>1585</v>
      </c>
      <c r="K397" t="s">
        <v>1586</v>
      </c>
      <c r="L397">
        <v>2886</v>
      </c>
      <c r="M397" t="s">
        <v>331</v>
      </c>
      <c r="N397" t="s">
        <v>1587</v>
      </c>
      <c r="O397" t="s">
        <v>229</v>
      </c>
      <c r="P397" t="s">
        <v>242</v>
      </c>
      <c r="Q397" t="s">
        <v>1588</v>
      </c>
      <c r="R397" s="13">
        <v>49.96</v>
      </c>
      <c r="S397">
        <v>2</v>
      </c>
      <c r="T397" s="14">
        <v>0</v>
      </c>
      <c r="U397" s="13">
        <v>9.4923999999999999</v>
      </c>
      <c r="V397">
        <f t="shared" si="84"/>
        <v>2017</v>
      </c>
      <c r="W397" t="str">
        <f t="shared" si="85"/>
        <v>Oct</v>
      </c>
      <c r="X397" t="str">
        <f t="shared" si="86"/>
        <v>Q4</v>
      </c>
      <c r="Y397" t="str">
        <f t="shared" si="87"/>
        <v>Tue</v>
      </c>
      <c r="Z397" s="16">
        <f t="shared" si="88"/>
        <v>2</v>
      </c>
      <c r="AA397" s="13">
        <f t="shared" si="89"/>
        <v>24.98</v>
      </c>
      <c r="AB397" s="14">
        <f t="shared" si="90"/>
        <v>0.19</v>
      </c>
      <c r="AC397" t="str">
        <f t="shared" si="91"/>
        <v>No Discount</v>
      </c>
      <c r="AD397" t="str">
        <f t="shared" si="92"/>
        <v>Low (&lt;$50)</v>
      </c>
      <c r="AE397" t="str">
        <f t="shared" si="93"/>
        <v>Small (1-2 units)</v>
      </c>
      <c r="AF397" t="str">
        <f t="shared" si="94"/>
        <v>Profitable</v>
      </c>
      <c r="AG397" t="str">
        <f t="shared" si="95"/>
        <v>Healthy Margin</v>
      </c>
      <c r="AH397" t="str">
        <f t="shared" si="96"/>
        <v>Repeat Customer</v>
      </c>
      <c r="AI397" t="str">
        <f t="shared" si="97"/>
        <v>Fast (&lt;=2 days)</v>
      </c>
    </row>
    <row r="398" spans="1:35" ht="15" customHeight="1" x14ac:dyDescent="0.3">
      <c r="A398">
        <v>397</v>
      </c>
      <c r="B398" t="s">
        <v>1582</v>
      </c>
      <c r="C398" s="12">
        <v>43025</v>
      </c>
      <c r="D398" s="12">
        <v>43027</v>
      </c>
      <c r="E398" t="s">
        <v>206</v>
      </c>
      <c r="F398" t="s">
        <v>1583</v>
      </c>
      <c r="G398" t="s">
        <v>1584</v>
      </c>
      <c r="H398" t="s">
        <v>224</v>
      </c>
      <c r="I398" t="s">
        <v>210</v>
      </c>
      <c r="J398" t="s">
        <v>1585</v>
      </c>
      <c r="K398" t="s">
        <v>1586</v>
      </c>
      <c r="L398">
        <v>2886</v>
      </c>
      <c r="M398" t="s">
        <v>331</v>
      </c>
      <c r="N398" t="s">
        <v>1589</v>
      </c>
      <c r="O398" t="s">
        <v>229</v>
      </c>
      <c r="P398" t="s">
        <v>273</v>
      </c>
      <c r="Q398" t="s">
        <v>1590</v>
      </c>
      <c r="R398" s="13">
        <v>12.96</v>
      </c>
      <c r="S398">
        <v>2</v>
      </c>
      <c r="T398" s="14">
        <v>0</v>
      </c>
      <c r="U398" s="13">
        <v>6.2207999999999997</v>
      </c>
      <c r="V398">
        <f t="shared" si="84"/>
        <v>2017</v>
      </c>
      <c r="W398" t="str">
        <f t="shared" si="85"/>
        <v>Oct</v>
      </c>
      <c r="X398" t="str">
        <f t="shared" si="86"/>
        <v>Q4</v>
      </c>
      <c r="Y398" t="str">
        <f t="shared" si="87"/>
        <v>Tue</v>
      </c>
      <c r="Z398" s="16">
        <f t="shared" si="88"/>
        <v>2</v>
      </c>
      <c r="AA398" s="13">
        <f t="shared" si="89"/>
        <v>6.48</v>
      </c>
      <c r="AB398" s="14">
        <f t="shared" si="90"/>
        <v>0.47999999999999993</v>
      </c>
      <c r="AC398" t="str">
        <f t="shared" si="91"/>
        <v>No Discount</v>
      </c>
      <c r="AD398" t="str">
        <f t="shared" si="92"/>
        <v>Low (&lt;$50)</v>
      </c>
      <c r="AE398" t="str">
        <f t="shared" si="93"/>
        <v>Small (1-2 units)</v>
      </c>
      <c r="AF398" t="str">
        <f t="shared" si="94"/>
        <v>Profitable</v>
      </c>
      <c r="AG398" t="str">
        <f t="shared" si="95"/>
        <v>High Margin</v>
      </c>
      <c r="AH398" t="str">
        <f t="shared" si="96"/>
        <v>Repeat Customer</v>
      </c>
      <c r="AI398" t="str">
        <f t="shared" si="97"/>
        <v>Fast (&lt;=2 days)</v>
      </c>
    </row>
    <row r="399" spans="1:35" ht="15" customHeight="1" x14ac:dyDescent="0.3">
      <c r="A399">
        <v>398</v>
      </c>
      <c r="B399" t="s">
        <v>1591</v>
      </c>
      <c r="C399" s="12">
        <v>42308</v>
      </c>
      <c r="D399" s="12">
        <v>42312</v>
      </c>
      <c r="E399" t="s">
        <v>233</v>
      </c>
      <c r="F399" t="s">
        <v>283</v>
      </c>
      <c r="G399" t="s">
        <v>284</v>
      </c>
      <c r="H399" t="s">
        <v>285</v>
      </c>
      <c r="I399" t="s">
        <v>210</v>
      </c>
      <c r="J399" t="s">
        <v>511</v>
      </c>
      <c r="K399" t="s">
        <v>421</v>
      </c>
      <c r="L399">
        <v>49201</v>
      </c>
      <c r="M399" t="s">
        <v>288</v>
      </c>
      <c r="N399" t="s">
        <v>1592</v>
      </c>
      <c r="O399" t="s">
        <v>229</v>
      </c>
      <c r="P399" t="s">
        <v>762</v>
      </c>
      <c r="Q399" t="s">
        <v>1593</v>
      </c>
      <c r="R399" s="13">
        <v>70.12</v>
      </c>
      <c r="S399">
        <v>4</v>
      </c>
      <c r="T399" s="14">
        <v>0</v>
      </c>
      <c r="U399" s="13">
        <v>21.036000000000001</v>
      </c>
      <c r="V399">
        <f t="shared" si="84"/>
        <v>2015</v>
      </c>
      <c r="W399" t="str">
        <f t="shared" si="85"/>
        <v>Oct</v>
      </c>
      <c r="X399" t="str">
        <f t="shared" si="86"/>
        <v>Q4</v>
      </c>
      <c r="Y399" t="str">
        <f t="shared" si="87"/>
        <v>Sat</v>
      </c>
      <c r="Z399" s="16">
        <f t="shared" si="88"/>
        <v>4</v>
      </c>
      <c r="AA399" s="13">
        <f t="shared" si="89"/>
        <v>17.53</v>
      </c>
      <c r="AB399" s="14">
        <f t="shared" si="90"/>
        <v>0.3</v>
      </c>
      <c r="AC399" t="str">
        <f t="shared" si="91"/>
        <v>No Discount</v>
      </c>
      <c r="AD399" t="str">
        <f t="shared" si="92"/>
        <v>Medium ($50-$200)</v>
      </c>
      <c r="AE399" t="str">
        <f t="shared" si="93"/>
        <v>Medium (3-5 units)</v>
      </c>
      <c r="AF399" t="str">
        <f t="shared" si="94"/>
        <v>Profitable</v>
      </c>
      <c r="AG399" t="str">
        <f t="shared" si="95"/>
        <v>High Margin</v>
      </c>
      <c r="AH399" t="str">
        <f t="shared" si="96"/>
        <v>Repeat Customer</v>
      </c>
      <c r="AI399" t="str">
        <f t="shared" si="97"/>
        <v>Standard (3-5 days)</v>
      </c>
    </row>
    <row r="400" spans="1:35" ht="15" customHeight="1" x14ac:dyDescent="0.3">
      <c r="A400">
        <v>399</v>
      </c>
      <c r="B400" t="s">
        <v>1594</v>
      </c>
      <c r="C400" s="12">
        <v>42621</v>
      </c>
      <c r="D400" s="12">
        <v>42623</v>
      </c>
      <c r="E400" t="s">
        <v>206</v>
      </c>
      <c r="F400" t="s">
        <v>1595</v>
      </c>
      <c r="G400" t="s">
        <v>1596</v>
      </c>
      <c r="H400" t="s">
        <v>209</v>
      </c>
      <c r="I400" t="s">
        <v>210</v>
      </c>
      <c r="J400" t="s">
        <v>367</v>
      </c>
      <c r="K400" t="s">
        <v>287</v>
      </c>
      <c r="L400">
        <v>77036</v>
      </c>
      <c r="M400" t="s">
        <v>288</v>
      </c>
      <c r="N400" t="s">
        <v>1597</v>
      </c>
      <c r="O400" t="s">
        <v>229</v>
      </c>
      <c r="P400" t="s">
        <v>242</v>
      </c>
      <c r="Q400" t="s">
        <v>1598</v>
      </c>
      <c r="R400" s="13">
        <v>35.951999999999998</v>
      </c>
      <c r="S400">
        <v>3</v>
      </c>
      <c r="T400" s="14">
        <v>0.2</v>
      </c>
      <c r="U400" s="13">
        <v>3.5952000000000002</v>
      </c>
      <c r="V400">
        <f t="shared" si="84"/>
        <v>2016</v>
      </c>
      <c r="W400" t="str">
        <f t="shared" si="85"/>
        <v>Sep</v>
      </c>
      <c r="X400" t="str">
        <f t="shared" si="86"/>
        <v>Q3</v>
      </c>
      <c r="Y400" t="str">
        <f t="shared" si="87"/>
        <v>Thu</v>
      </c>
      <c r="Z400" s="16">
        <f t="shared" si="88"/>
        <v>2</v>
      </c>
      <c r="AA400" s="13">
        <f t="shared" si="89"/>
        <v>11.984</v>
      </c>
      <c r="AB400" s="14">
        <f t="shared" si="90"/>
        <v>0.1</v>
      </c>
      <c r="AC400" t="str">
        <f t="shared" si="91"/>
        <v>Low (1-20%)</v>
      </c>
      <c r="AD400" t="str">
        <f t="shared" si="92"/>
        <v>Low (&lt;$50)</v>
      </c>
      <c r="AE400" t="str">
        <f t="shared" si="93"/>
        <v>Medium (3-5 units)</v>
      </c>
      <c r="AF400" t="str">
        <f t="shared" si="94"/>
        <v>Profitable</v>
      </c>
      <c r="AG400" t="str">
        <f t="shared" si="95"/>
        <v>Healthy Margin</v>
      </c>
      <c r="AH400" t="str">
        <f t="shared" si="96"/>
        <v>Repeat Customer</v>
      </c>
      <c r="AI400" t="str">
        <f t="shared" si="97"/>
        <v>Fast (&lt;=2 days)</v>
      </c>
    </row>
    <row r="401" spans="1:35" ht="15" customHeight="1" x14ac:dyDescent="0.3">
      <c r="A401">
        <v>400</v>
      </c>
      <c r="B401" t="s">
        <v>1594</v>
      </c>
      <c r="C401" s="12">
        <v>42621</v>
      </c>
      <c r="D401" s="12">
        <v>42623</v>
      </c>
      <c r="E401" t="s">
        <v>206</v>
      </c>
      <c r="F401" t="s">
        <v>1595</v>
      </c>
      <c r="G401" t="s">
        <v>1596</v>
      </c>
      <c r="H401" t="s">
        <v>209</v>
      </c>
      <c r="I401" t="s">
        <v>210</v>
      </c>
      <c r="J401" t="s">
        <v>367</v>
      </c>
      <c r="K401" t="s">
        <v>287</v>
      </c>
      <c r="L401">
        <v>77036</v>
      </c>
      <c r="M401" t="s">
        <v>288</v>
      </c>
      <c r="N401" t="s">
        <v>349</v>
      </c>
      <c r="O401" t="s">
        <v>215</v>
      </c>
      <c r="P401" t="s">
        <v>216</v>
      </c>
      <c r="Q401" t="s">
        <v>350</v>
      </c>
      <c r="R401" s="13">
        <v>2396.2656000000002</v>
      </c>
      <c r="S401">
        <v>4</v>
      </c>
      <c r="T401" s="14">
        <v>0.32</v>
      </c>
      <c r="U401" s="13">
        <v>-317.15280000000001</v>
      </c>
      <c r="V401">
        <f t="shared" si="84"/>
        <v>2016</v>
      </c>
      <c r="W401" t="str">
        <f t="shared" si="85"/>
        <v>Sep</v>
      </c>
      <c r="X401" t="str">
        <f t="shared" si="86"/>
        <v>Q3</v>
      </c>
      <c r="Y401" t="str">
        <f t="shared" si="87"/>
        <v>Thu</v>
      </c>
      <c r="Z401" s="16">
        <f t="shared" si="88"/>
        <v>2</v>
      </c>
      <c r="AA401" s="13">
        <f t="shared" si="89"/>
        <v>599.06640000000004</v>
      </c>
      <c r="AB401" s="14">
        <f t="shared" si="90"/>
        <v>-0.13235294117647059</v>
      </c>
      <c r="AC401" t="str">
        <f t="shared" si="91"/>
        <v>Medium (21-40%)</v>
      </c>
      <c r="AD401" t="str">
        <f t="shared" si="92"/>
        <v>Premium ($500+)</v>
      </c>
      <c r="AE401" t="str">
        <f t="shared" si="93"/>
        <v>Medium (3-5 units)</v>
      </c>
      <c r="AF401" t="str">
        <f t="shared" si="94"/>
        <v>Loss-Making</v>
      </c>
      <c r="AG401" t="str">
        <f t="shared" si="95"/>
        <v>Underperforming</v>
      </c>
      <c r="AH401" t="str">
        <f t="shared" si="96"/>
        <v>Repeat Customer</v>
      </c>
      <c r="AI401" t="str">
        <f t="shared" si="97"/>
        <v>Fast (&lt;=2 days)</v>
      </c>
    </row>
    <row r="402" spans="1:35" ht="15" customHeight="1" x14ac:dyDescent="0.3">
      <c r="A402">
        <v>401</v>
      </c>
      <c r="B402" t="s">
        <v>1594</v>
      </c>
      <c r="C402" s="12">
        <v>42621</v>
      </c>
      <c r="D402" s="12">
        <v>42623</v>
      </c>
      <c r="E402" t="s">
        <v>206</v>
      </c>
      <c r="F402" t="s">
        <v>1595</v>
      </c>
      <c r="G402" t="s">
        <v>1596</v>
      </c>
      <c r="H402" t="s">
        <v>209</v>
      </c>
      <c r="I402" t="s">
        <v>210</v>
      </c>
      <c r="J402" t="s">
        <v>367</v>
      </c>
      <c r="K402" t="s">
        <v>287</v>
      </c>
      <c r="L402">
        <v>77036</v>
      </c>
      <c r="M402" t="s">
        <v>288</v>
      </c>
      <c r="N402" t="s">
        <v>1599</v>
      </c>
      <c r="O402" t="s">
        <v>229</v>
      </c>
      <c r="P402" t="s">
        <v>242</v>
      </c>
      <c r="Q402" t="s">
        <v>1600</v>
      </c>
      <c r="R402" s="13">
        <v>131.136</v>
      </c>
      <c r="S402">
        <v>4</v>
      </c>
      <c r="T402" s="14">
        <v>0.2</v>
      </c>
      <c r="U402" s="13">
        <v>-32.783999999999999</v>
      </c>
      <c r="V402">
        <f t="shared" si="84"/>
        <v>2016</v>
      </c>
      <c r="W402" t="str">
        <f t="shared" si="85"/>
        <v>Sep</v>
      </c>
      <c r="X402" t="str">
        <f t="shared" si="86"/>
        <v>Q3</v>
      </c>
      <c r="Y402" t="str">
        <f t="shared" si="87"/>
        <v>Thu</v>
      </c>
      <c r="Z402" s="16">
        <f t="shared" si="88"/>
        <v>2</v>
      </c>
      <c r="AA402" s="13">
        <f t="shared" si="89"/>
        <v>32.783999999999999</v>
      </c>
      <c r="AB402" s="14">
        <f t="shared" si="90"/>
        <v>-0.25</v>
      </c>
      <c r="AC402" t="str">
        <f t="shared" si="91"/>
        <v>Low (1-20%)</v>
      </c>
      <c r="AD402" t="str">
        <f t="shared" si="92"/>
        <v>Medium ($50-$200)</v>
      </c>
      <c r="AE402" t="str">
        <f t="shared" si="93"/>
        <v>Medium (3-5 units)</v>
      </c>
      <c r="AF402" t="str">
        <f t="shared" si="94"/>
        <v>Loss-Making</v>
      </c>
      <c r="AG402" t="str">
        <f t="shared" si="95"/>
        <v>Underperforming</v>
      </c>
      <c r="AH402" t="str">
        <f t="shared" si="96"/>
        <v>Repeat Customer</v>
      </c>
      <c r="AI402" t="str">
        <f t="shared" si="97"/>
        <v>Fast (&lt;=2 days)</v>
      </c>
    </row>
    <row r="403" spans="1:35" ht="15" customHeight="1" x14ac:dyDescent="0.3">
      <c r="A403">
        <v>402</v>
      </c>
      <c r="B403" t="s">
        <v>1594</v>
      </c>
      <c r="C403" s="12">
        <v>42621</v>
      </c>
      <c r="D403" s="12">
        <v>42623</v>
      </c>
      <c r="E403" t="s">
        <v>206</v>
      </c>
      <c r="F403" t="s">
        <v>1595</v>
      </c>
      <c r="G403" t="s">
        <v>1596</v>
      </c>
      <c r="H403" t="s">
        <v>209</v>
      </c>
      <c r="I403" t="s">
        <v>210</v>
      </c>
      <c r="J403" t="s">
        <v>367</v>
      </c>
      <c r="K403" t="s">
        <v>287</v>
      </c>
      <c r="L403">
        <v>77036</v>
      </c>
      <c r="M403" t="s">
        <v>288</v>
      </c>
      <c r="N403" t="s">
        <v>1601</v>
      </c>
      <c r="O403" t="s">
        <v>254</v>
      </c>
      <c r="P403" t="s">
        <v>344</v>
      </c>
      <c r="Q403" t="s">
        <v>1602</v>
      </c>
      <c r="R403" s="13">
        <v>57.584000000000003</v>
      </c>
      <c r="S403">
        <v>2</v>
      </c>
      <c r="T403" s="14">
        <v>0.2</v>
      </c>
      <c r="U403" s="13">
        <v>0.719799999999999</v>
      </c>
      <c r="V403">
        <f t="shared" si="84"/>
        <v>2016</v>
      </c>
      <c r="W403" t="str">
        <f t="shared" si="85"/>
        <v>Sep</v>
      </c>
      <c r="X403" t="str">
        <f t="shared" si="86"/>
        <v>Q3</v>
      </c>
      <c r="Y403" t="str">
        <f t="shared" si="87"/>
        <v>Thu</v>
      </c>
      <c r="Z403" s="16">
        <f t="shared" si="88"/>
        <v>2</v>
      </c>
      <c r="AA403" s="13">
        <f t="shared" si="89"/>
        <v>28.792000000000002</v>
      </c>
      <c r="AB403" s="14">
        <f t="shared" si="90"/>
        <v>1.2499999999999982E-2</v>
      </c>
      <c r="AC403" t="str">
        <f t="shared" si="91"/>
        <v>Low (1-20%)</v>
      </c>
      <c r="AD403" t="str">
        <f t="shared" si="92"/>
        <v>Medium ($50-$200)</v>
      </c>
      <c r="AE403" t="str">
        <f t="shared" si="93"/>
        <v>Small (1-2 units)</v>
      </c>
      <c r="AF403" t="str">
        <f t="shared" si="94"/>
        <v>Profitable</v>
      </c>
      <c r="AG403" t="str">
        <f t="shared" si="95"/>
        <v>Low Margin</v>
      </c>
      <c r="AH403" t="str">
        <f t="shared" si="96"/>
        <v>Repeat Customer</v>
      </c>
      <c r="AI403" t="str">
        <f t="shared" si="97"/>
        <v>Fast (&lt;=2 days)</v>
      </c>
    </row>
    <row r="404" spans="1:35" ht="15" customHeight="1" x14ac:dyDescent="0.3">
      <c r="A404">
        <v>403</v>
      </c>
      <c r="B404" t="s">
        <v>1603</v>
      </c>
      <c r="C404" s="12">
        <v>41997</v>
      </c>
      <c r="D404" s="12">
        <v>41999</v>
      </c>
      <c r="E404" t="s">
        <v>371</v>
      </c>
      <c r="F404" t="s">
        <v>1604</v>
      </c>
      <c r="G404" t="s">
        <v>1605</v>
      </c>
      <c r="H404" t="s">
        <v>209</v>
      </c>
      <c r="I404" t="s">
        <v>210</v>
      </c>
      <c r="J404" t="s">
        <v>1606</v>
      </c>
      <c r="K404" t="s">
        <v>237</v>
      </c>
      <c r="L404">
        <v>33180</v>
      </c>
      <c r="M404" t="s">
        <v>213</v>
      </c>
      <c r="N404" t="s">
        <v>1607</v>
      </c>
      <c r="O404" t="s">
        <v>229</v>
      </c>
      <c r="P404" t="s">
        <v>273</v>
      </c>
      <c r="Q404" t="s">
        <v>1608</v>
      </c>
      <c r="R404" s="13">
        <v>9.5679999999999996</v>
      </c>
      <c r="S404">
        <v>2</v>
      </c>
      <c r="T404" s="14">
        <v>0.2</v>
      </c>
      <c r="U404" s="13">
        <v>3.4683999999999999</v>
      </c>
      <c r="V404">
        <f t="shared" si="84"/>
        <v>2014</v>
      </c>
      <c r="W404" t="str">
        <f t="shared" si="85"/>
        <v>Dec</v>
      </c>
      <c r="X404" t="str">
        <f t="shared" si="86"/>
        <v>Q4</v>
      </c>
      <c r="Y404" t="str">
        <f t="shared" si="87"/>
        <v>Wed</v>
      </c>
      <c r="Z404" s="16">
        <f t="shared" si="88"/>
        <v>2</v>
      </c>
      <c r="AA404" s="13">
        <f t="shared" si="89"/>
        <v>4.7839999999999998</v>
      </c>
      <c r="AB404" s="14">
        <f t="shared" si="90"/>
        <v>0.36249999999999999</v>
      </c>
      <c r="AC404" t="str">
        <f t="shared" si="91"/>
        <v>Low (1-20%)</v>
      </c>
      <c r="AD404" t="str">
        <f t="shared" si="92"/>
        <v>Low (&lt;$50)</v>
      </c>
      <c r="AE404" t="str">
        <f t="shared" si="93"/>
        <v>Small (1-2 units)</v>
      </c>
      <c r="AF404" t="str">
        <f t="shared" si="94"/>
        <v>Profitable</v>
      </c>
      <c r="AG404" t="str">
        <f t="shared" si="95"/>
        <v>High Margin</v>
      </c>
      <c r="AH404" t="str">
        <f t="shared" si="96"/>
        <v>Repeat Customer</v>
      </c>
      <c r="AI404" t="str">
        <f t="shared" si="97"/>
        <v>Fast (&lt;=2 days)</v>
      </c>
    </row>
    <row r="405" spans="1:35" ht="15" customHeight="1" x14ac:dyDescent="0.3">
      <c r="A405">
        <v>404</v>
      </c>
      <c r="B405" t="s">
        <v>1609</v>
      </c>
      <c r="C405" s="12">
        <v>41745</v>
      </c>
      <c r="D405" s="12">
        <v>41749</v>
      </c>
      <c r="E405" t="s">
        <v>233</v>
      </c>
      <c r="F405" t="s">
        <v>812</v>
      </c>
      <c r="G405" t="s">
        <v>813</v>
      </c>
      <c r="H405" t="s">
        <v>224</v>
      </c>
      <c r="I405" t="s">
        <v>210</v>
      </c>
      <c r="J405" t="s">
        <v>704</v>
      </c>
      <c r="K405" t="s">
        <v>271</v>
      </c>
      <c r="L405">
        <v>28403</v>
      </c>
      <c r="M405" t="s">
        <v>213</v>
      </c>
      <c r="N405" t="s">
        <v>1610</v>
      </c>
      <c r="O405" t="s">
        <v>229</v>
      </c>
      <c r="P405" t="s">
        <v>251</v>
      </c>
      <c r="Q405" t="s">
        <v>1611</v>
      </c>
      <c r="R405" s="13">
        <v>39.072000000000003</v>
      </c>
      <c r="S405">
        <v>6</v>
      </c>
      <c r="T405" s="14">
        <v>0.2</v>
      </c>
      <c r="U405" s="13">
        <v>9.7680000000000007</v>
      </c>
      <c r="V405">
        <f t="shared" si="84"/>
        <v>2014</v>
      </c>
      <c r="W405" t="str">
        <f t="shared" si="85"/>
        <v>Apr</v>
      </c>
      <c r="X405" t="str">
        <f t="shared" si="86"/>
        <v>Q2</v>
      </c>
      <c r="Y405" t="str">
        <f t="shared" si="87"/>
        <v>Wed</v>
      </c>
      <c r="Z405" s="16">
        <f t="shared" si="88"/>
        <v>4</v>
      </c>
      <c r="AA405" s="13">
        <f t="shared" si="89"/>
        <v>6.5120000000000005</v>
      </c>
      <c r="AB405" s="14">
        <f t="shared" si="90"/>
        <v>0.25</v>
      </c>
      <c r="AC405" t="str">
        <f t="shared" si="91"/>
        <v>Low (1-20%)</v>
      </c>
      <c r="AD405" t="str">
        <f t="shared" si="92"/>
        <v>Low (&lt;$50)</v>
      </c>
      <c r="AE405" t="str">
        <f t="shared" si="93"/>
        <v>Large (6+ units)</v>
      </c>
      <c r="AF405" t="str">
        <f t="shared" si="94"/>
        <v>Profitable</v>
      </c>
      <c r="AG405" t="str">
        <f t="shared" si="95"/>
        <v>High Margin</v>
      </c>
      <c r="AH405" t="str">
        <f t="shared" si="96"/>
        <v>Repeat Customer</v>
      </c>
      <c r="AI405" t="str">
        <f t="shared" si="97"/>
        <v>Standard (3-5 days)</v>
      </c>
    </row>
    <row r="406" spans="1:35" ht="15" customHeight="1" x14ac:dyDescent="0.3">
      <c r="A406">
        <v>405</v>
      </c>
      <c r="B406" t="s">
        <v>1612</v>
      </c>
      <c r="C406" s="12">
        <v>43093</v>
      </c>
      <c r="D406" s="12">
        <v>43098</v>
      </c>
      <c r="E406" t="s">
        <v>233</v>
      </c>
      <c r="F406" t="s">
        <v>1613</v>
      </c>
      <c r="G406" t="s">
        <v>1614</v>
      </c>
      <c r="H406" t="s">
        <v>209</v>
      </c>
      <c r="I406" t="s">
        <v>210</v>
      </c>
      <c r="J406" t="s">
        <v>449</v>
      </c>
      <c r="K406" t="s">
        <v>450</v>
      </c>
      <c r="L406">
        <v>10024</v>
      </c>
      <c r="M406" t="s">
        <v>331</v>
      </c>
      <c r="N406" t="s">
        <v>1615</v>
      </c>
      <c r="O406" t="s">
        <v>229</v>
      </c>
      <c r="P406" t="s">
        <v>261</v>
      </c>
      <c r="Q406" t="s">
        <v>1616</v>
      </c>
      <c r="R406" s="13">
        <v>35.909999999999997</v>
      </c>
      <c r="S406">
        <v>3</v>
      </c>
      <c r="T406" s="14">
        <v>0</v>
      </c>
      <c r="U406" s="13">
        <v>9.6957000000000004</v>
      </c>
      <c r="V406">
        <f t="shared" si="84"/>
        <v>2017</v>
      </c>
      <c r="W406" t="str">
        <f t="shared" si="85"/>
        <v>Dec</v>
      </c>
      <c r="X406" t="str">
        <f t="shared" si="86"/>
        <v>Q4</v>
      </c>
      <c r="Y406" t="str">
        <f t="shared" si="87"/>
        <v>Sun</v>
      </c>
      <c r="Z406" s="16">
        <f t="shared" si="88"/>
        <v>5</v>
      </c>
      <c r="AA406" s="13">
        <f t="shared" si="89"/>
        <v>11.969999999999999</v>
      </c>
      <c r="AB406" s="14">
        <f t="shared" si="90"/>
        <v>0.27</v>
      </c>
      <c r="AC406" t="str">
        <f t="shared" si="91"/>
        <v>No Discount</v>
      </c>
      <c r="AD406" t="str">
        <f t="shared" si="92"/>
        <v>Low (&lt;$50)</v>
      </c>
      <c r="AE406" t="str">
        <f t="shared" si="93"/>
        <v>Medium (3-5 units)</v>
      </c>
      <c r="AF406" t="str">
        <f t="shared" si="94"/>
        <v>Profitable</v>
      </c>
      <c r="AG406" t="str">
        <f t="shared" si="95"/>
        <v>High Margin</v>
      </c>
      <c r="AH406" t="str">
        <f t="shared" si="96"/>
        <v>Single Purchase</v>
      </c>
      <c r="AI406" t="str">
        <f t="shared" si="97"/>
        <v>Standard (3-5 days)</v>
      </c>
    </row>
    <row r="407" spans="1:35" ht="15" customHeight="1" x14ac:dyDescent="0.3">
      <c r="A407">
        <v>406</v>
      </c>
      <c r="B407" t="s">
        <v>1617</v>
      </c>
      <c r="C407" s="12">
        <v>43077</v>
      </c>
      <c r="D407" s="12">
        <v>43081</v>
      </c>
      <c r="E407" t="s">
        <v>233</v>
      </c>
      <c r="F407" t="s">
        <v>1618</v>
      </c>
      <c r="G407" t="s">
        <v>1619</v>
      </c>
      <c r="H407" t="s">
        <v>209</v>
      </c>
      <c r="I407" t="s">
        <v>210</v>
      </c>
      <c r="J407" t="s">
        <v>310</v>
      </c>
      <c r="K407" t="s">
        <v>226</v>
      </c>
      <c r="L407">
        <v>94110</v>
      </c>
      <c r="M407" t="s">
        <v>227</v>
      </c>
      <c r="N407" t="s">
        <v>1601</v>
      </c>
      <c r="O407" t="s">
        <v>254</v>
      </c>
      <c r="P407" t="s">
        <v>344</v>
      </c>
      <c r="Q407" t="s">
        <v>1602</v>
      </c>
      <c r="R407" s="13">
        <v>179.95</v>
      </c>
      <c r="S407">
        <v>5</v>
      </c>
      <c r="T407" s="14">
        <v>0</v>
      </c>
      <c r="U407" s="13">
        <v>37.789499999999997</v>
      </c>
      <c r="V407">
        <f t="shared" si="84"/>
        <v>2017</v>
      </c>
      <c r="W407" t="str">
        <f t="shared" si="85"/>
        <v>Dec</v>
      </c>
      <c r="X407" t="str">
        <f t="shared" si="86"/>
        <v>Q4</v>
      </c>
      <c r="Y407" t="str">
        <f t="shared" si="87"/>
        <v>Fri</v>
      </c>
      <c r="Z407" s="16">
        <f t="shared" si="88"/>
        <v>4</v>
      </c>
      <c r="AA407" s="13">
        <f t="shared" si="89"/>
        <v>35.989999999999995</v>
      </c>
      <c r="AB407" s="14">
        <f t="shared" si="90"/>
        <v>0.21</v>
      </c>
      <c r="AC407" t="str">
        <f t="shared" si="91"/>
        <v>No Discount</v>
      </c>
      <c r="AD407" t="str">
        <f t="shared" si="92"/>
        <v>Medium ($50-$200)</v>
      </c>
      <c r="AE407" t="str">
        <f t="shared" si="93"/>
        <v>Medium (3-5 units)</v>
      </c>
      <c r="AF407" t="str">
        <f t="shared" si="94"/>
        <v>Profitable</v>
      </c>
      <c r="AG407" t="str">
        <f t="shared" si="95"/>
        <v>Healthy Margin</v>
      </c>
      <c r="AH407" t="str">
        <f t="shared" si="96"/>
        <v>Repeat Customer</v>
      </c>
      <c r="AI407" t="str">
        <f t="shared" si="97"/>
        <v>Standard (3-5 days)</v>
      </c>
    </row>
    <row r="408" spans="1:35" ht="15" customHeight="1" x14ac:dyDescent="0.3">
      <c r="A408">
        <v>407</v>
      </c>
      <c r="B408" t="s">
        <v>1617</v>
      </c>
      <c r="C408" s="12">
        <v>43077</v>
      </c>
      <c r="D408" s="12">
        <v>43081</v>
      </c>
      <c r="E408" t="s">
        <v>233</v>
      </c>
      <c r="F408" t="s">
        <v>1618</v>
      </c>
      <c r="G408" t="s">
        <v>1619</v>
      </c>
      <c r="H408" t="s">
        <v>209</v>
      </c>
      <c r="I408" t="s">
        <v>210</v>
      </c>
      <c r="J408" t="s">
        <v>310</v>
      </c>
      <c r="K408" t="s">
        <v>226</v>
      </c>
      <c r="L408">
        <v>94110</v>
      </c>
      <c r="M408" t="s">
        <v>227</v>
      </c>
      <c r="N408" t="s">
        <v>1620</v>
      </c>
      <c r="O408" t="s">
        <v>254</v>
      </c>
      <c r="P408" t="s">
        <v>1402</v>
      </c>
      <c r="Q408" t="s">
        <v>1621</v>
      </c>
      <c r="R408" s="13">
        <v>1199.9760000000001</v>
      </c>
      <c r="S408">
        <v>3</v>
      </c>
      <c r="T408" s="14">
        <v>0.2</v>
      </c>
      <c r="U408" s="13">
        <v>434.99130000000002</v>
      </c>
      <c r="V408">
        <f t="shared" si="84"/>
        <v>2017</v>
      </c>
      <c r="W408" t="str">
        <f t="shared" si="85"/>
        <v>Dec</v>
      </c>
      <c r="X408" t="str">
        <f t="shared" si="86"/>
        <v>Q4</v>
      </c>
      <c r="Y408" t="str">
        <f t="shared" si="87"/>
        <v>Fri</v>
      </c>
      <c r="Z408" s="16">
        <f t="shared" si="88"/>
        <v>4</v>
      </c>
      <c r="AA408" s="13">
        <f t="shared" si="89"/>
        <v>399.99200000000002</v>
      </c>
      <c r="AB408" s="14">
        <f t="shared" si="90"/>
        <v>0.36249999999999999</v>
      </c>
      <c r="AC408" t="str">
        <f t="shared" si="91"/>
        <v>Low (1-20%)</v>
      </c>
      <c r="AD408" t="str">
        <f t="shared" si="92"/>
        <v>Premium ($500+)</v>
      </c>
      <c r="AE408" t="str">
        <f t="shared" si="93"/>
        <v>Medium (3-5 units)</v>
      </c>
      <c r="AF408" t="str">
        <f t="shared" si="94"/>
        <v>Profitable</v>
      </c>
      <c r="AG408" t="str">
        <f t="shared" si="95"/>
        <v>High Margin</v>
      </c>
      <c r="AH408" t="str">
        <f t="shared" si="96"/>
        <v>Repeat Customer</v>
      </c>
      <c r="AI408" t="str">
        <f t="shared" si="97"/>
        <v>Standard (3-5 days)</v>
      </c>
    </row>
    <row r="409" spans="1:35" ht="15" customHeight="1" x14ac:dyDescent="0.3">
      <c r="A409">
        <v>408</v>
      </c>
      <c r="B409" t="s">
        <v>1617</v>
      </c>
      <c r="C409" s="12">
        <v>43077</v>
      </c>
      <c r="D409" s="12">
        <v>43081</v>
      </c>
      <c r="E409" t="s">
        <v>233</v>
      </c>
      <c r="F409" t="s">
        <v>1618</v>
      </c>
      <c r="G409" t="s">
        <v>1619</v>
      </c>
      <c r="H409" t="s">
        <v>209</v>
      </c>
      <c r="I409" t="s">
        <v>210</v>
      </c>
      <c r="J409" t="s">
        <v>310</v>
      </c>
      <c r="K409" t="s">
        <v>226</v>
      </c>
      <c r="L409">
        <v>94110</v>
      </c>
      <c r="M409" t="s">
        <v>227</v>
      </c>
      <c r="N409" t="s">
        <v>1622</v>
      </c>
      <c r="O409" t="s">
        <v>229</v>
      </c>
      <c r="P409" t="s">
        <v>273</v>
      </c>
      <c r="Q409" t="s">
        <v>1623</v>
      </c>
      <c r="R409" s="13">
        <v>27.15</v>
      </c>
      <c r="S409">
        <v>5</v>
      </c>
      <c r="T409" s="14">
        <v>0</v>
      </c>
      <c r="U409" s="13">
        <v>13.3035</v>
      </c>
      <c r="V409">
        <f t="shared" si="84"/>
        <v>2017</v>
      </c>
      <c r="W409" t="str">
        <f t="shared" si="85"/>
        <v>Dec</v>
      </c>
      <c r="X409" t="str">
        <f t="shared" si="86"/>
        <v>Q4</v>
      </c>
      <c r="Y409" t="str">
        <f t="shared" si="87"/>
        <v>Fri</v>
      </c>
      <c r="Z409" s="16">
        <f t="shared" si="88"/>
        <v>4</v>
      </c>
      <c r="AA409" s="13">
        <f t="shared" si="89"/>
        <v>5.43</v>
      </c>
      <c r="AB409" s="14">
        <f t="shared" si="90"/>
        <v>0.49</v>
      </c>
      <c r="AC409" t="str">
        <f t="shared" si="91"/>
        <v>No Discount</v>
      </c>
      <c r="AD409" t="str">
        <f t="shared" si="92"/>
        <v>Low (&lt;$50)</v>
      </c>
      <c r="AE409" t="str">
        <f t="shared" si="93"/>
        <v>Medium (3-5 units)</v>
      </c>
      <c r="AF409" t="str">
        <f t="shared" si="94"/>
        <v>Profitable</v>
      </c>
      <c r="AG409" t="str">
        <f t="shared" si="95"/>
        <v>High Margin</v>
      </c>
      <c r="AH409" t="str">
        <f t="shared" si="96"/>
        <v>Repeat Customer</v>
      </c>
      <c r="AI409" t="str">
        <f t="shared" si="97"/>
        <v>Standard (3-5 days)</v>
      </c>
    </row>
    <row r="410" spans="1:35" ht="15" customHeight="1" x14ac:dyDescent="0.3">
      <c r="A410">
        <v>409</v>
      </c>
      <c r="B410" t="s">
        <v>1617</v>
      </c>
      <c r="C410" s="12">
        <v>43077</v>
      </c>
      <c r="D410" s="12">
        <v>43081</v>
      </c>
      <c r="E410" t="s">
        <v>233</v>
      </c>
      <c r="F410" t="s">
        <v>1618</v>
      </c>
      <c r="G410" t="s">
        <v>1619</v>
      </c>
      <c r="H410" t="s">
        <v>209</v>
      </c>
      <c r="I410" t="s">
        <v>210</v>
      </c>
      <c r="J410" t="s">
        <v>310</v>
      </c>
      <c r="K410" t="s">
        <v>226</v>
      </c>
      <c r="L410">
        <v>94110</v>
      </c>
      <c r="M410" t="s">
        <v>227</v>
      </c>
      <c r="N410" t="s">
        <v>1624</v>
      </c>
      <c r="O410" t="s">
        <v>215</v>
      </c>
      <c r="P410" t="s">
        <v>239</v>
      </c>
      <c r="Q410" t="s">
        <v>1625</v>
      </c>
      <c r="R410" s="13">
        <v>1004.024</v>
      </c>
      <c r="S410">
        <v>7</v>
      </c>
      <c r="T410" s="14">
        <v>0.2</v>
      </c>
      <c r="U410" s="13">
        <v>-112.95269999999999</v>
      </c>
      <c r="V410">
        <f t="shared" si="84"/>
        <v>2017</v>
      </c>
      <c r="W410" t="str">
        <f t="shared" si="85"/>
        <v>Dec</v>
      </c>
      <c r="X410" t="str">
        <f t="shared" si="86"/>
        <v>Q4</v>
      </c>
      <c r="Y410" t="str">
        <f t="shared" si="87"/>
        <v>Fri</v>
      </c>
      <c r="Z410" s="16">
        <f t="shared" si="88"/>
        <v>4</v>
      </c>
      <c r="AA410" s="13">
        <f t="shared" si="89"/>
        <v>143.43199999999999</v>
      </c>
      <c r="AB410" s="14">
        <f t="shared" si="90"/>
        <v>-0.11249999999999999</v>
      </c>
      <c r="AC410" t="str">
        <f t="shared" si="91"/>
        <v>Low (1-20%)</v>
      </c>
      <c r="AD410" t="str">
        <f t="shared" si="92"/>
        <v>Premium ($500+)</v>
      </c>
      <c r="AE410" t="str">
        <f t="shared" si="93"/>
        <v>Large (6+ units)</v>
      </c>
      <c r="AF410" t="str">
        <f t="shared" si="94"/>
        <v>Loss-Making</v>
      </c>
      <c r="AG410" t="str">
        <f t="shared" si="95"/>
        <v>Underperforming</v>
      </c>
      <c r="AH410" t="str">
        <f t="shared" si="96"/>
        <v>Repeat Customer</v>
      </c>
      <c r="AI410" t="str">
        <f t="shared" si="97"/>
        <v>Standard (3-5 days)</v>
      </c>
    </row>
    <row r="411" spans="1:35" ht="15" customHeight="1" x14ac:dyDescent="0.3">
      <c r="A411">
        <v>410</v>
      </c>
      <c r="B411" t="s">
        <v>1617</v>
      </c>
      <c r="C411" s="12">
        <v>43077</v>
      </c>
      <c r="D411" s="12">
        <v>43081</v>
      </c>
      <c r="E411" t="s">
        <v>233</v>
      </c>
      <c r="F411" t="s">
        <v>1618</v>
      </c>
      <c r="G411" t="s">
        <v>1619</v>
      </c>
      <c r="H411" t="s">
        <v>209</v>
      </c>
      <c r="I411" t="s">
        <v>210</v>
      </c>
      <c r="J411" t="s">
        <v>310</v>
      </c>
      <c r="K411" t="s">
        <v>226</v>
      </c>
      <c r="L411">
        <v>94110</v>
      </c>
      <c r="M411" t="s">
        <v>227</v>
      </c>
      <c r="N411" t="s">
        <v>1626</v>
      </c>
      <c r="O411" t="s">
        <v>229</v>
      </c>
      <c r="P411" t="s">
        <v>273</v>
      </c>
      <c r="Q411" t="s">
        <v>1627</v>
      </c>
      <c r="R411" s="13">
        <v>9.68</v>
      </c>
      <c r="S411">
        <v>1</v>
      </c>
      <c r="T411" s="14">
        <v>0</v>
      </c>
      <c r="U411" s="13">
        <v>4.6463999999999999</v>
      </c>
      <c r="V411">
        <f t="shared" si="84"/>
        <v>2017</v>
      </c>
      <c r="W411" t="str">
        <f t="shared" si="85"/>
        <v>Dec</v>
      </c>
      <c r="X411" t="str">
        <f t="shared" si="86"/>
        <v>Q4</v>
      </c>
      <c r="Y411" t="str">
        <f t="shared" si="87"/>
        <v>Fri</v>
      </c>
      <c r="Z411" s="16">
        <f t="shared" si="88"/>
        <v>4</v>
      </c>
      <c r="AA411" s="13">
        <f t="shared" si="89"/>
        <v>9.68</v>
      </c>
      <c r="AB411" s="14">
        <f t="shared" si="90"/>
        <v>0.48</v>
      </c>
      <c r="AC411" t="str">
        <f t="shared" si="91"/>
        <v>No Discount</v>
      </c>
      <c r="AD411" t="str">
        <f t="shared" si="92"/>
        <v>Low (&lt;$50)</v>
      </c>
      <c r="AE411" t="str">
        <f t="shared" si="93"/>
        <v>Small (1-2 units)</v>
      </c>
      <c r="AF411" t="str">
        <f t="shared" si="94"/>
        <v>Profitable</v>
      </c>
      <c r="AG411" t="str">
        <f t="shared" si="95"/>
        <v>High Margin</v>
      </c>
      <c r="AH411" t="str">
        <f t="shared" si="96"/>
        <v>Repeat Customer</v>
      </c>
      <c r="AI411" t="str">
        <f t="shared" si="97"/>
        <v>Standard (3-5 days)</v>
      </c>
    </row>
    <row r="412" spans="1:35" ht="15" customHeight="1" x14ac:dyDescent="0.3">
      <c r="A412">
        <v>411</v>
      </c>
      <c r="B412" t="s">
        <v>1617</v>
      </c>
      <c r="C412" s="12">
        <v>43077</v>
      </c>
      <c r="D412" s="12">
        <v>43081</v>
      </c>
      <c r="E412" t="s">
        <v>233</v>
      </c>
      <c r="F412" t="s">
        <v>1618</v>
      </c>
      <c r="G412" t="s">
        <v>1619</v>
      </c>
      <c r="H412" t="s">
        <v>209</v>
      </c>
      <c r="I412" t="s">
        <v>210</v>
      </c>
      <c r="J412" t="s">
        <v>310</v>
      </c>
      <c r="K412" t="s">
        <v>226</v>
      </c>
      <c r="L412">
        <v>94110</v>
      </c>
      <c r="M412" t="s">
        <v>227</v>
      </c>
      <c r="N412" t="s">
        <v>1628</v>
      </c>
      <c r="O412" t="s">
        <v>229</v>
      </c>
      <c r="P412" t="s">
        <v>230</v>
      </c>
      <c r="Q412" t="s">
        <v>1629</v>
      </c>
      <c r="R412" s="13">
        <v>28.35</v>
      </c>
      <c r="S412">
        <v>9</v>
      </c>
      <c r="T412" s="14">
        <v>0</v>
      </c>
      <c r="U412" s="13">
        <v>13.608000000000001</v>
      </c>
      <c r="V412">
        <f t="shared" si="84"/>
        <v>2017</v>
      </c>
      <c r="W412" t="str">
        <f t="shared" si="85"/>
        <v>Dec</v>
      </c>
      <c r="X412" t="str">
        <f t="shared" si="86"/>
        <v>Q4</v>
      </c>
      <c r="Y412" t="str">
        <f t="shared" si="87"/>
        <v>Fri</v>
      </c>
      <c r="Z412" s="16">
        <f t="shared" si="88"/>
        <v>4</v>
      </c>
      <c r="AA412" s="13">
        <f t="shared" si="89"/>
        <v>3.1500000000000004</v>
      </c>
      <c r="AB412" s="14">
        <f t="shared" si="90"/>
        <v>0.48</v>
      </c>
      <c r="AC412" t="str">
        <f t="shared" si="91"/>
        <v>No Discount</v>
      </c>
      <c r="AD412" t="str">
        <f t="shared" si="92"/>
        <v>Low (&lt;$50)</v>
      </c>
      <c r="AE412" t="str">
        <f t="shared" si="93"/>
        <v>Large (6+ units)</v>
      </c>
      <c r="AF412" t="str">
        <f t="shared" si="94"/>
        <v>Profitable</v>
      </c>
      <c r="AG412" t="str">
        <f t="shared" si="95"/>
        <v>High Margin</v>
      </c>
      <c r="AH412" t="str">
        <f t="shared" si="96"/>
        <v>Repeat Customer</v>
      </c>
      <c r="AI412" t="str">
        <f t="shared" si="97"/>
        <v>Standard (3-5 days)</v>
      </c>
    </row>
    <row r="413" spans="1:35" ht="15" customHeight="1" x14ac:dyDescent="0.3">
      <c r="A413">
        <v>412</v>
      </c>
      <c r="B413" t="s">
        <v>1617</v>
      </c>
      <c r="C413" s="12">
        <v>43077</v>
      </c>
      <c r="D413" s="12">
        <v>43081</v>
      </c>
      <c r="E413" t="s">
        <v>233</v>
      </c>
      <c r="F413" t="s">
        <v>1618</v>
      </c>
      <c r="G413" t="s">
        <v>1619</v>
      </c>
      <c r="H413" t="s">
        <v>209</v>
      </c>
      <c r="I413" t="s">
        <v>210</v>
      </c>
      <c r="J413" t="s">
        <v>310</v>
      </c>
      <c r="K413" t="s">
        <v>226</v>
      </c>
      <c r="L413">
        <v>94110</v>
      </c>
      <c r="M413" t="s">
        <v>227</v>
      </c>
      <c r="N413" t="s">
        <v>1437</v>
      </c>
      <c r="O413" t="s">
        <v>229</v>
      </c>
      <c r="P413" t="s">
        <v>273</v>
      </c>
      <c r="Q413" t="s">
        <v>1630</v>
      </c>
      <c r="R413" s="13">
        <v>55.98</v>
      </c>
      <c r="S413">
        <v>1</v>
      </c>
      <c r="T413" s="14">
        <v>0</v>
      </c>
      <c r="U413" s="13">
        <v>27.430199999999999</v>
      </c>
      <c r="V413">
        <f t="shared" si="84"/>
        <v>2017</v>
      </c>
      <c r="W413" t="str">
        <f t="shared" si="85"/>
        <v>Dec</v>
      </c>
      <c r="X413" t="str">
        <f t="shared" si="86"/>
        <v>Q4</v>
      </c>
      <c r="Y413" t="str">
        <f t="shared" si="87"/>
        <v>Fri</v>
      </c>
      <c r="Z413" s="16">
        <f t="shared" si="88"/>
        <v>4</v>
      </c>
      <c r="AA413" s="13">
        <f t="shared" si="89"/>
        <v>55.98</v>
      </c>
      <c r="AB413" s="14">
        <f t="shared" si="90"/>
        <v>0.49</v>
      </c>
      <c r="AC413" t="str">
        <f t="shared" si="91"/>
        <v>No Discount</v>
      </c>
      <c r="AD413" t="str">
        <f t="shared" si="92"/>
        <v>Medium ($50-$200)</v>
      </c>
      <c r="AE413" t="str">
        <f t="shared" si="93"/>
        <v>Small (1-2 units)</v>
      </c>
      <c r="AF413" t="str">
        <f t="shared" si="94"/>
        <v>Profitable</v>
      </c>
      <c r="AG413" t="str">
        <f t="shared" si="95"/>
        <v>High Margin</v>
      </c>
      <c r="AH413" t="str">
        <f t="shared" si="96"/>
        <v>Repeat Customer</v>
      </c>
      <c r="AI413" t="str">
        <f t="shared" si="97"/>
        <v>Standard (3-5 days)</v>
      </c>
    </row>
    <row r="414" spans="1:35" ht="15" customHeight="1" x14ac:dyDescent="0.3">
      <c r="A414">
        <v>413</v>
      </c>
      <c r="B414" t="s">
        <v>1617</v>
      </c>
      <c r="C414" s="12">
        <v>43077</v>
      </c>
      <c r="D414" s="12">
        <v>43081</v>
      </c>
      <c r="E414" t="s">
        <v>233</v>
      </c>
      <c r="F414" t="s">
        <v>1618</v>
      </c>
      <c r="G414" t="s">
        <v>1619</v>
      </c>
      <c r="H414" t="s">
        <v>209</v>
      </c>
      <c r="I414" t="s">
        <v>210</v>
      </c>
      <c r="J414" t="s">
        <v>310</v>
      </c>
      <c r="K414" t="s">
        <v>226</v>
      </c>
      <c r="L414">
        <v>94110</v>
      </c>
      <c r="M414" t="s">
        <v>227</v>
      </c>
      <c r="N414" t="s">
        <v>1631</v>
      </c>
      <c r="O414" t="s">
        <v>215</v>
      </c>
      <c r="P414" t="s">
        <v>216</v>
      </c>
      <c r="Q414" t="s">
        <v>1632</v>
      </c>
      <c r="R414" s="13">
        <v>1336.829</v>
      </c>
      <c r="S414">
        <v>13</v>
      </c>
      <c r="T414" s="14">
        <v>0.15</v>
      </c>
      <c r="U414" s="13">
        <v>31.454799999999999</v>
      </c>
      <c r="V414">
        <f t="shared" si="84"/>
        <v>2017</v>
      </c>
      <c r="W414" t="str">
        <f t="shared" si="85"/>
        <v>Dec</v>
      </c>
      <c r="X414" t="str">
        <f t="shared" si="86"/>
        <v>Q4</v>
      </c>
      <c r="Y414" t="str">
        <f t="shared" si="87"/>
        <v>Fri</v>
      </c>
      <c r="Z414" s="16">
        <f t="shared" si="88"/>
        <v>4</v>
      </c>
      <c r="AA414" s="13">
        <f t="shared" si="89"/>
        <v>102.833</v>
      </c>
      <c r="AB414" s="14">
        <f t="shared" si="90"/>
        <v>2.3529411764705882E-2</v>
      </c>
      <c r="AC414" t="str">
        <f t="shared" si="91"/>
        <v>Low (1-20%)</v>
      </c>
      <c r="AD414" t="str">
        <f t="shared" si="92"/>
        <v>Premium ($500+)</v>
      </c>
      <c r="AE414" t="str">
        <f t="shared" si="93"/>
        <v>Large (6+ units)</v>
      </c>
      <c r="AF414" t="str">
        <f t="shared" si="94"/>
        <v>Profitable</v>
      </c>
      <c r="AG414" t="str">
        <f t="shared" si="95"/>
        <v>Low Margin</v>
      </c>
      <c r="AH414" t="str">
        <f t="shared" si="96"/>
        <v>Repeat Customer</v>
      </c>
      <c r="AI414" t="str">
        <f t="shared" si="97"/>
        <v>Standard (3-5 days)</v>
      </c>
    </row>
    <row r="415" spans="1:35" ht="15" customHeight="1" x14ac:dyDescent="0.3">
      <c r="A415">
        <v>414</v>
      </c>
      <c r="B415" t="s">
        <v>1617</v>
      </c>
      <c r="C415" s="12">
        <v>43077</v>
      </c>
      <c r="D415" s="12">
        <v>43081</v>
      </c>
      <c r="E415" t="s">
        <v>233</v>
      </c>
      <c r="F415" t="s">
        <v>1618</v>
      </c>
      <c r="G415" t="s">
        <v>1619</v>
      </c>
      <c r="H415" t="s">
        <v>209</v>
      </c>
      <c r="I415" t="s">
        <v>210</v>
      </c>
      <c r="J415" t="s">
        <v>310</v>
      </c>
      <c r="K415" t="s">
        <v>226</v>
      </c>
      <c r="L415">
        <v>94110</v>
      </c>
      <c r="M415" t="s">
        <v>227</v>
      </c>
      <c r="N415" t="s">
        <v>1633</v>
      </c>
      <c r="O415" t="s">
        <v>215</v>
      </c>
      <c r="P415" t="s">
        <v>219</v>
      </c>
      <c r="Q415" t="s">
        <v>1634</v>
      </c>
      <c r="R415" s="13">
        <v>113.568</v>
      </c>
      <c r="S415">
        <v>2</v>
      </c>
      <c r="T415" s="14">
        <v>0.2</v>
      </c>
      <c r="U415" s="13">
        <v>-18.454799999999999</v>
      </c>
      <c r="V415">
        <f t="shared" si="84"/>
        <v>2017</v>
      </c>
      <c r="W415" t="str">
        <f t="shared" si="85"/>
        <v>Dec</v>
      </c>
      <c r="X415" t="str">
        <f t="shared" si="86"/>
        <v>Q4</v>
      </c>
      <c r="Y415" t="str">
        <f t="shared" si="87"/>
        <v>Fri</v>
      </c>
      <c r="Z415" s="16">
        <f t="shared" si="88"/>
        <v>4</v>
      </c>
      <c r="AA415" s="13">
        <f t="shared" si="89"/>
        <v>56.783999999999999</v>
      </c>
      <c r="AB415" s="14">
        <f t="shared" si="90"/>
        <v>-0.16250000000000001</v>
      </c>
      <c r="AC415" t="str">
        <f t="shared" si="91"/>
        <v>Low (1-20%)</v>
      </c>
      <c r="AD415" t="str">
        <f t="shared" si="92"/>
        <v>Medium ($50-$200)</v>
      </c>
      <c r="AE415" t="str">
        <f t="shared" si="93"/>
        <v>Small (1-2 units)</v>
      </c>
      <c r="AF415" t="str">
        <f t="shared" si="94"/>
        <v>Loss-Making</v>
      </c>
      <c r="AG415" t="str">
        <f t="shared" si="95"/>
        <v>Underperforming</v>
      </c>
      <c r="AH415" t="str">
        <f t="shared" si="96"/>
        <v>Repeat Customer</v>
      </c>
      <c r="AI415" t="str">
        <f t="shared" si="97"/>
        <v>Standard (3-5 days)</v>
      </c>
    </row>
    <row r="416" spans="1:35" ht="15" customHeight="1" x14ac:dyDescent="0.3">
      <c r="A416">
        <v>415</v>
      </c>
      <c r="B416" t="s">
        <v>1635</v>
      </c>
      <c r="C416" s="12">
        <v>43042</v>
      </c>
      <c r="D416" s="12">
        <v>43046</v>
      </c>
      <c r="E416" t="s">
        <v>233</v>
      </c>
      <c r="F416" t="s">
        <v>1636</v>
      </c>
      <c r="G416" t="s">
        <v>1637</v>
      </c>
      <c r="H416" t="s">
        <v>224</v>
      </c>
      <c r="I416" t="s">
        <v>210</v>
      </c>
      <c r="J416" t="s">
        <v>278</v>
      </c>
      <c r="K416" t="s">
        <v>279</v>
      </c>
      <c r="L416">
        <v>98105</v>
      </c>
      <c r="M416" t="s">
        <v>227</v>
      </c>
      <c r="N416" t="s">
        <v>1638</v>
      </c>
      <c r="O416" t="s">
        <v>229</v>
      </c>
      <c r="P416" t="s">
        <v>273</v>
      </c>
      <c r="Q416" t="s">
        <v>1639</v>
      </c>
      <c r="R416" s="13">
        <v>139.86000000000001</v>
      </c>
      <c r="S416">
        <v>7</v>
      </c>
      <c r="T416" s="14">
        <v>0</v>
      </c>
      <c r="U416" s="13">
        <v>65.734200000000001</v>
      </c>
      <c r="V416">
        <f t="shared" si="84"/>
        <v>2017</v>
      </c>
      <c r="W416" t="str">
        <f t="shared" si="85"/>
        <v>Nov</v>
      </c>
      <c r="X416" t="str">
        <f t="shared" si="86"/>
        <v>Q4</v>
      </c>
      <c r="Y416" t="str">
        <f t="shared" si="87"/>
        <v>Fri</v>
      </c>
      <c r="Z416" s="16">
        <f t="shared" si="88"/>
        <v>4</v>
      </c>
      <c r="AA416" s="13">
        <f t="shared" si="89"/>
        <v>19.98</v>
      </c>
      <c r="AB416" s="14">
        <f t="shared" si="90"/>
        <v>0.47</v>
      </c>
      <c r="AC416" t="str">
        <f t="shared" si="91"/>
        <v>No Discount</v>
      </c>
      <c r="AD416" t="str">
        <f t="shared" si="92"/>
        <v>Medium ($50-$200)</v>
      </c>
      <c r="AE416" t="str">
        <f t="shared" si="93"/>
        <v>Large (6+ units)</v>
      </c>
      <c r="AF416" t="str">
        <f t="shared" si="94"/>
        <v>Profitable</v>
      </c>
      <c r="AG416" t="str">
        <f t="shared" si="95"/>
        <v>High Margin</v>
      </c>
      <c r="AH416" t="str">
        <f t="shared" si="96"/>
        <v>Repeat Customer</v>
      </c>
      <c r="AI416" t="str">
        <f t="shared" si="97"/>
        <v>Standard (3-5 days)</v>
      </c>
    </row>
    <row r="417" spans="1:35" ht="15" customHeight="1" x14ac:dyDescent="0.3">
      <c r="A417">
        <v>416</v>
      </c>
      <c r="B417" t="s">
        <v>1635</v>
      </c>
      <c r="C417" s="12">
        <v>43042</v>
      </c>
      <c r="D417" s="12">
        <v>43046</v>
      </c>
      <c r="E417" t="s">
        <v>233</v>
      </c>
      <c r="F417" t="s">
        <v>1636</v>
      </c>
      <c r="G417" t="s">
        <v>1637</v>
      </c>
      <c r="H417" t="s">
        <v>224</v>
      </c>
      <c r="I417" t="s">
        <v>210</v>
      </c>
      <c r="J417" t="s">
        <v>278</v>
      </c>
      <c r="K417" t="s">
        <v>279</v>
      </c>
      <c r="L417">
        <v>98105</v>
      </c>
      <c r="M417" t="s">
        <v>227</v>
      </c>
      <c r="N417" t="s">
        <v>1270</v>
      </c>
      <c r="O417" t="s">
        <v>215</v>
      </c>
      <c r="P417" t="s">
        <v>219</v>
      </c>
      <c r="Q417" t="s">
        <v>1271</v>
      </c>
      <c r="R417" s="13">
        <v>307.13600000000002</v>
      </c>
      <c r="S417">
        <v>4</v>
      </c>
      <c r="T417" s="14">
        <v>0.2</v>
      </c>
      <c r="U417" s="13">
        <v>26.874400000000001</v>
      </c>
      <c r="V417">
        <f t="shared" si="84"/>
        <v>2017</v>
      </c>
      <c r="W417" t="str">
        <f t="shared" si="85"/>
        <v>Nov</v>
      </c>
      <c r="X417" t="str">
        <f t="shared" si="86"/>
        <v>Q4</v>
      </c>
      <c r="Y417" t="str">
        <f t="shared" si="87"/>
        <v>Fri</v>
      </c>
      <c r="Z417" s="16">
        <f t="shared" si="88"/>
        <v>4</v>
      </c>
      <c r="AA417" s="13">
        <f t="shared" si="89"/>
        <v>76.784000000000006</v>
      </c>
      <c r="AB417" s="14">
        <f t="shared" si="90"/>
        <v>8.7499999999999994E-2</v>
      </c>
      <c r="AC417" t="str">
        <f t="shared" si="91"/>
        <v>Low (1-20%)</v>
      </c>
      <c r="AD417" t="str">
        <f t="shared" si="92"/>
        <v>High ($200-$500)</v>
      </c>
      <c r="AE417" t="str">
        <f t="shared" si="93"/>
        <v>Medium (3-5 units)</v>
      </c>
      <c r="AF417" t="str">
        <f t="shared" si="94"/>
        <v>Profitable</v>
      </c>
      <c r="AG417" t="str">
        <f t="shared" si="95"/>
        <v>Low Margin</v>
      </c>
      <c r="AH417" t="str">
        <f t="shared" si="96"/>
        <v>Repeat Customer</v>
      </c>
      <c r="AI417" t="str">
        <f t="shared" si="97"/>
        <v>Standard (3-5 days)</v>
      </c>
    </row>
    <row r="418" spans="1:35" ht="15" customHeight="1" x14ac:dyDescent="0.3">
      <c r="A418">
        <v>417</v>
      </c>
      <c r="B418" t="s">
        <v>1640</v>
      </c>
      <c r="C418" s="12">
        <v>42910</v>
      </c>
      <c r="D418" s="12">
        <v>42914</v>
      </c>
      <c r="E418" t="s">
        <v>233</v>
      </c>
      <c r="F418" t="s">
        <v>1641</v>
      </c>
      <c r="G418" t="s">
        <v>1642</v>
      </c>
      <c r="H418" t="s">
        <v>209</v>
      </c>
      <c r="I418" t="s">
        <v>210</v>
      </c>
      <c r="J418" t="s">
        <v>1643</v>
      </c>
      <c r="K418" t="s">
        <v>226</v>
      </c>
      <c r="L418">
        <v>92646</v>
      </c>
      <c r="M418" t="s">
        <v>227</v>
      </c>
      <c r="N418" t="s">
        <v>1644</v>
      </c>
      <c r="O418" t="s">
        <v>229</v>
      </c>
      <c r="P418" t="s">
        <v>251</v>
      </c>
      <c r="Q418" t="s">
        <v>1645</v>
      </c>
      <c r="R418" s="13">
        <v>95.92</v>
      </c>
      <c r="S418">
        <v>8</v>
      </c>
      <c r="T418" s="14">
        <v>0</v>
      </c>
      <c r="U418" s="13">
        <v>25.898399999999999</v>
      </c>
      <c r="V418">
        <f t="shared" si="84"/>
        <v>2017</v>
      </c>
      <c r="W418" t="str">
        <f t="shared" si="85"/>
        <v>Jun</v>
      </c>
      <c r="X418" t="str">
        <f t="shared" si="86"/>
        <v>Q2</v>
      </c>
      <c r="Y418" t="str">
        <f t="shared" si="87"/>
        <v>Sat</v>
      </c>
      <c r="Z418" s="16">
        <f t="shared" si="88"/>
        <v>4</v>
      </c>
      <c r="AA418" s="13">
        <f t="shared" si="89"/>
        <v>11.99</v>
      </c>
      <c r="AB418" s="14">
        <f t="shared" si="90"/>
        <v>0.26999999999999996</v>
      </c>
      <c r="AC418" t="str">
        <f t="shared" si="91"/>
        <v>No Discount</v>
      </c>
      <c r="AD418" t="str">
        <f t="shared" si="92"/>
        <v>Medium ($50-$200)</v>
      </c>
      <c r="AE418" t="str">
        <f t="shared" si="93"/>
        <v>Large (6+ units)</v>
      </c>
      <c r="AF418" t="str">
        <f t="shared" si="94"/>
        <v>Profitable</v>
      </c>
      <c r="AG418" t="str">
        <f t="shared" si="95"/>
        <v>High Margin</v>
      </c>
      <c r="AH418" t="str">
        <f t="shared" si="96"/>
        <v>Single Purchase</v>
      </c>
      <c r="AI418" t="str">
        <f t="shared" si="97"/>
        <v>Standard (3-5 days)</v>
      </c>
    </row>
    <row r="419" spans="1:35" ht="15" customHeight="1" x14ac:dyDescent="0.3">
      <c r="A419">
        <v>418</v>
      </c>
      <c r="B419" t="s">
        <v>1646</v>
      </c>
      <c r="C419" s="12">
        <v>42474</v>
      </c>
      <c r="D419" s="12">
        <v>42478</v>
      </c>
      <c r="E419" t="s">
        <v>233</v>
      </c>
      <c r="F419" t="s">
        <v>1647</v>
      </c>
      <c r="G419" t="s">
        <v>1648</v>
      </c>
      <c r="H419" t="s">
        <v>209</v>
      </c>
      <c r="I419" t="s">
        <v>210</v>
      </c>
      <c r="J419" t="s">
        <v>225</v>
      </c>
      <c r="K419" t="s">
        <v>226</v>
      </c>
      <c r="L419">
        <v>90004</v>
      </c>
      <c r="M419" t="s">
        <v>227</v>
      </c>
      <c r="N419" t="s">
        <v>1649</v>
      </c>
      <c r="O419" t="s">
        <v>215</v>
      </c>
      <c r="P419" t="s">
        <v>219</v>
      </c>
      <c r="Q419" t="s">
        <v>1650</v>
      </c>
      <c r="R419" s="13">
        <v>383.8</v>
      </c>
      <c r="S419">
        <v>5</v>
      </c>
      <c r="T419" s="14">
        <v>0.2</v>
      </c>
      <c r="U419" s="13">
        <v>38.380000000000003</v>
      </c>
      <c r="V419">
        <f t="shared" si="84"/>
        <v>2016</v>
      </c>
      <c r="W419" t="str">
        <f t="shared" si="85"/>
        <v>Apr</v>
      </c>
      <c r="X419" t="str">
        <f t="shared" si="86"/>
        <v>Q2</v>
      </c>
      <c r="Y419" t="str">
        <f t="shared" si="87"/>
        <v>Thu</v>
      </c>
      <c r="Z419" s="16">
        <f t="shared" si="88"/>
        <v>4</v>
      </c>
      <c r="AA419" s="13">
        <f t="shared" si="89"/>
        <v>76.760000000000005</v>
      </c>
      <c r="AB419" s="14">
        <f t="shared" si="90"/>
        <v>0.1</v>
      </c>
      <c r="AC419" t="str">
        <f t="shared" si="91"/>
        <v>Low (1-20%)</v>
      </c>
      <c r="AD419" t="str">
        <f t="shared" si="92"/>
        <v>High ($200-$500)</v>
      </c>
      <c r="AE419" t="str">
        <f t="shared" si="93"/>
        <v>Medium (3-5 units)</v>
      </c>
      <c r="AF419" t="str">
        <f t="shared" si="94"/>
        <v>Profitable</v>
      </c>
      <c r="AG419" t="str">
        <f t="shared" si="95"/>
        <v>Healthy Margin</v>
      </c>
      <c r="AH419" t="str">
        <f t="shared" si="96"/>
        <v>Single Purchase</v>
      </c>
      <c r="AI419" t="str">
        <f t="shared" si="97"/>
        <v>Standard (3-5 days)</v>
      </c>
    </row>
    <row r="420" spans="1:35" ht="15" customHeight="1" x14ac:dyDescent="0.3">
      <c r="A420">
        <v>419</v>
      </c>
      <c r="B420" t="s">
        <v>1651</v>
      </c>
      <c r="C420" s="12">
        <v>43045</v>
      </c>
      <c r="D420" s="12">
        <v>43049</v>
      </c>
      <c r="E420" t="s">
        <v>233</v>
      </c>
      <c r="F420" t="s">
        <v>1456</v>
      </c>
      <c r="G420" t="s">
        <v>1457</v>
      </c>
      <c r="H420" t="s">
        <v>224</v>
      </c>
      <c r="I420" t="s">
        <v>210</v>
      </c>
      <c r="J420" t="s">
        <v>1652</v>
      </c>
      <c r="K420" t="s">
        <v>212</v>
      </c>
      <c r="L420">
        <v>40475</v>
      </c>
      <c r="M420" t="s">
        <v>213</v>
      </c>
      <c r="N420" t="s">
        <v>1653</v>
      </c>
      <c r="O420" t="s">
        <v>229</v>
      </c>
      <c r="P420" t="s">
        <v>273</v>
      </c>
      <c r="Q420" t="s">
        <v>1654</v>
      </c>
      <c r="R420" s="13">
        <v>5.78</v>
      </c>
      <c r="S420">
        <v>1</v>
      </c>
      <c r="T420" s="14">
        <v>0</v>
      </c>
      <c r="U420" s="13">
        <v>2.8321999999999998</v>
      </c>
      <c r="V420">
        <f t="shared" si="84"/>
        <v>2017</v>
      </c>
      <c r="W420" t="str">
        <f t="shared" si="85"/>
        <v>Nov</v>
      </c>
      <c r="X420" t="str">
        <f t="shared" si="86"/>
        <v>Q4</v>
      </c>
      <c r="Y420" t="str">
        <f t="shared" si="87"/>
        <v>Mon</v>
      </c>
      <c r="Z420" s="16">
        <f t="shared" si="88"/>
        <v>4</v>
      </c>
      <c r="AA420" s="13">
        <f t="shared" si="89"/>
        <v>5.78</v>
      </c>
      <c r="AB420" s="14">
        <f t="shared" si="90"/>
        <v>0.48999999999999994</v>
      </c>
      <c r="AC420" t="str">
        <f t="shared" si="91"/>
        <v>No Discount</v>
      </c>
      <c r="AD420" t="str">
        <f t="shared" si="92"/>
        <v>Low (&lt;$50)</v>
      </c>
      <c r="AE420" t="str">
        <f t="shared" si="93"/>
        <v>Small (1-2 units)</v>
      </c>
      <c r="AF420" t="str">
        <f t="shared" si="94"/>
        <v>Profitable</v>
      </c>
      <c r="AG420" t="str">
        <f t="shared" si="95"/>
        <v>High Margin</v>
      </c>
      <c r="AH420" t="str">
        <f t="shared" si="96"/>
        <v>Repeat Customer</v>
      </c>
      <c r="AI420" t="str">
        <f t="shared" si="97"/>
        <v>Standard (3-5 days)</v>
      </c>
    </row>
    <row r="421" spans="1:35" ht="15" customHeight="1" x14ac:dyDescent="0.3">
      <c r="A421">
        <v>420</v>
      </c>
      <c r="B421" t="s">
        <v>1655</v>
      </c>
      <c r="C421" s="12">
        <v>42798</v>
      </c>
      <c r="D421" s="12">
        <v>42803</v>
      </c>
      <c r="E421" t="s">
        <v>233</v>
      </c>
      <c r="F421" t="s">
        <v>1343</v>
      </c>
      <c r="G421" t="s">
        <v>1344</v>
      </c>
      <c r="H421" t="s">
        <v>224</v>
      </c>
      <c r="I421" t="s">
        <v>210</v>
      </c>
      <c r="J421" t="s">
        <v>225</v>
      </c>
      <c r="K421" t="s">
        <v>226</v>
      </c>
      <c r="L421">
        <v>90045</v>
      </c>
      <c r="M421" t="s">
        <v>227</v>
      </c>
      <c r="N421" t="s">
        <v>1656</v>
      </c>
      <c r="O421" t="s">
        <v>229</v>
      </c>
      <c r="P421" t="s">
        <v>251</v>
      </c>
      <c r="Q421" t="s">
        <v>1657</v>
      </c>
      <c r="R421" s="13">
        <v>9.32</v>
      </c>
      <c r="S421">
        <v>4</v>
      </c>
      <c r="T421" s="14">
        <v>0</v>
      </c>
      <c r="U421" s="13">
        <v>2.7027999999999999</v>
      </c>
      <c r="V421">
        <f t="shared" si="84"/>
        <v>2017</v>
      </c>
      <c r="W421" t="str">
        <f t="shared" si="85"/>
        <v>Mar</v>
      </c>
      <c r="X421" t="str">
        <f t="shared" si="86"/>
        <v>Q1</v>
      </c>
      <c r="Y421" t="str">
        <f t="shared" si="87"/>
        <v>Sat</v>
      </c>
      <c r="Z421" s="16">
        <f t="shared" si="88"/>
        <v>5</v>
      </c>
      <c r="AA421" s="13">
        <f t="shared" si="89"/>
        <v>2.33</v>
      </c>
      <c r="AB421" s="14">
        <f t="shared" si="90"/>
        <v>0.28999999999999998</v>
      </c>
      <c r="AC421" t="str">
        <f t="shared" si="91"/>
        <v>No Discount</v>
      </c>
      <c r="AD421" t="str">
        <f t="shared" si="92"/>
        <v>Low (&lt;$50)</v>
      </c>
      <c r="AE421" t="str">
        <f t="shared" si="93"/>
        <v>Medium (3-5 units)</v>
      </c>
      <c r="AF421" t="str">
        <f t="shared" si="94"/>
        <v>Profitable</v>
      </c>
      <c r="AG421" t="str">
        <f t="shared" si="95"/>
        <v>High Margin</v>
      </c>
      <c r="AH421" t="str">
        <f t="shared" si="96"/>
        <v>Repeat Customer</v>
      </c>
      <c r="AI421" t="str">
        <f t="shared" si="97"/>
        <v>Standard (3-5 days)</v>
      </c>
    </row>
    <row r="422" spans="1:35" ht="15" customHeight="1" x14ac:dyDescent="0.3">
      <c r="A422">
        <v>421</v>
      </c>
      <c r="B422" t="s">
        <v>1655</v>
      </c>
      <c r="C422" s="12">
        <v>42798</v>
      </c>
      <c r="D422" s="12">
        <v>42803</v>
      </c>
      <c r="E422" t="s">
        <v>233</v>
      </c>
      <c r="F422" t="s">
        <v>1343</v>
      </c>
      <c r="G422" t="s">
        <v>1344</v>
      </c>
      <c r="H422" t="s">
        <v>224</v>
      </c>
      <c r="I422" t="s">
        <v>210</v>
      </c>
      <c r="J422" t="s">
        <v>225</v>
      </c>
      <c r="K422" t="s">
        <v>226</v>
      </c>
      <c r="L422">
        <v>90045</v>
      </c>
      <c r="M422" t="s">
        <v>227</v>
      </c>
      <c r="N422" t="s">
        <v>1658</v>
      </c>
      <c r="O422" t="s">
        <v>229</v>
      </c>
      <c r="P422" t="s">
        <v>356</v>
      </c>
      <c r="Q422" t="s">
        <v>1659</v>
      </c>
      <c r="R422" s="13">
        <v>15.25</v>
      </c>
      <c r="S422">
        <v>1</v>
      </c>
      <c r="T422" s="14">
        <v>0</v>
      </c>
      <c r="U422" s="13">
        <v>7.0149999999999997</v>
      </c>
      <c r="V422">
        <f t="shared" si="84"/>
        <v>2017</v>
      </c>
      <c r="W422" t="str">
        <f t="shared" si="85"/>
        <v>Mar</v>
      </c>
      <c r="X422" t="str">
        <f t="shared" si="86"/>
        <v>Q1</v>
      </c>
      <c r="Y422" t="str">
        <f t="shared" si="87"/>
        <v>Sat</v>
      </c>
      <c r="Z422" s="16">
        <f t="shared" si="88"/>
        <v>5</v>
      </c>
      <c r="AA422" s="13">
        <f t="shared" si="89"/>
        <v>15.25</v>
      </c>
      <c r="AB422" s="14">
        <f t="shared" si="90"/>
        <v>0.45999999999999996</v>
      </c>
      <c r="AC422" t="str">
        <f t="shared" si="91"/>
        <v>No Discount</v>
      </c>
      <c r="AD422" t="str">
        <f t="shared" si="92"/>
        <v>Low (&lt;$50)</v>
      </c>
      <c r="AE422" t="str">
        <f t="shared" si="93"/>
        <v>Small (1-2 units)</v>
      </c>
      <c r="AF422" t="str">
        <f t="shared" si="94"/>
        <v>Profitable</v>
      </c>
      <c r="AG422" t="str">
        <f t="shared" si="95"/>
        <v>High Margin</v>
      </c>
      <c r="AH422" t="str">
        <f t="shared" si="96"/>
        <v>Repeat Customer</v>
      </c>
      <c r="AI422" t="str">
        <f t="shared" si="97"/>
        <v>Standard (3-5 days)</v>
      </c>
    </row>
    <row r="423" spans="1:35" ht="15" customHeight="1" x14ac:dyDescent="0.3">
      <c r="A423">
        <v>422</v>
      </c>
      <c r="B423" t="s">
        <v>1660</v>
      </c>
      <c r="C423" s="12">
        <v>41812</v>
      </c>
      <c r="D423" s="12">
        <v>41815</v>
      </c>
      <c r="E423" t="s">
        <v>371</v>
      </c>
      <c r="F423" t="s">
        <v>515</v>
      </c>
      <c r="G423" t="s">
        <v>516</v>
      </c>
      <c r="H423" t="s">
        <v>209</v>
      </c>
      <c r="I423" t="s">
        <v>210</v>
      </c>
      <c r="J423" t="s">
        <v>1661</v>
      </c>
      <c r="K423" t="s">
        <v>640</v>
      </c>
      <c r="L423">
        <v>80027</v>
      </c>
      <c r="M423" t="s">
        <v>227</v>
      </c>
      <c r="N423" t="s">
        <v>1662</v>
      </c>
      <c r="O423" t="s">
        <v>254</v>
      </c>
      <c r="P423" t="s">
        <v>344</v>
      </c>
      <c r="Q423" t="s">
        <v>1663</v>
      </c>
      <c r="R423" s="13">
        <v>196.75200000000001</v>
      </c>
      <c r="S423">
        <v>6</v>
      </c>
      <c r="T423" s="14">
        <v>0.2</v>
      </c>
      <c r="U423" s="13">
        <v>56.566200000000002</v>
      </c>
      <c r="V423">
        <f t="shared" si="84"/>
        <v>2014</v>
      </c>
      <c r="W423" t="str">
        <f t="shared" si="85"/>
        <v>Jun</v>
      </c>
      <c r="X423" t="str">
        <f t="shared" si="86"/>
        <v>Q2</v>
      </c>
      <c r="Y423" t="str">
        <f t="shared" si="87"/>
        <v>Sun</v>
      </c>
      <c r="Z423" s="16">
        <f t="shared" si="88"/>
        <v>3</v>
      </c>
      <c r="AA423" s="13">
        <f t="shared" si="89"/>
        <v>32.792000000000002</v>
      </c>
      <c r="AB423" s="14">
        <f t="shared" si="90"/>
        <v>0.28749999999999998</v>
      </c>
      <c r="AC423" t="str">
        <f t="shared" si="91"/>
        <v>Low (1-20%)</v>
      </c>
      <c r="AD423" t="str">
        <f t="shared" si="92"/>
        <v>Medium ($50-$200)</v>
      </c>
      <c r="AE423" t="str">
        <f t="shared" si="93"/>
        <v>Large (6+ units)</v>
      </c>
      <c r="AF423" t="str">
        <f t="shared" si="94"/>
        <v>Profitable</v>
      </c>
      <c r="AG423" t="str">
        <f t="shared" si="95"/>
        <v>High Margin</v>
      </c>
      <c r="AH423" t="str">
        <f t="shared" si="96"/>
        <v>Repeat Customer</v>
      </c>
      <c r="AI423" t="str">
        <f t="shared" si="97"/>
        <v>Standard (3-5 days)</v>
      </c>
    </row>
    <row r="424" spans="1:35" ht="15" customHeight="1" x14ac:dyDescent="0.3">
      <c r="A424">
        <v>423</v>
      </c>
      <c r="B424" t="s">
        <v>1664</v>
      </c>
      <c r="C424" s="12">
        <v>43027</v>
      </c>
      <c r="D424" s="12">
        <v>43031</v>
      </c>
      <c r="E424" t="s">
        <v>233</v>
      </c>
      <c r="F424" t="s">
        <v>1665</v>
      </c>
      <c r="G424" t="s">
        <v>1666</v>
      </c>
      <c r="H424" t="s">
        <v>224</v>
      </c>
      <c r="I424" t="s">
        <v>210</v>
      </c>
      <c r="J424" t="s">
        <v>1667</v>
      </c>
      <c r="K424" t="s">
        <v>1431</v>
      </c>
      <c r="L424">
        <v>1841</v>
      </c>
      <c r="M424" t="s">
        <v>331</v>
      </c>
      <c r="N424" t="s">
        <v>1668</v>
      </c>
      <c r="O424" t="s">
        <v>215</v>
      </c>
      <c r="P424" t="s">
        <v>248</v>
      </c>
      <c r="Q424" t="s">
        <v>1669</v>
      </c>
      <c r="R424" s="13">
        <v>56.56</v>
      </c>
      <c r="S424">
        <v>4</v>
      </c>
      <c r="T424" s="14">
        <v>0</v>
      </c>
      <c r="U424" s="13">
        <v>14.7056</v>
      </c>
      <c r="V424">
        <f t="shared" si="84"/>
        <v>2017</v>
      </c>
      <c r="W424" t="str">
        <f t="shared" si="85"/>
        <v>Oct</v>
      </c>
      <c r="X424" t="str">
        <f t="shared" si="86"/>
        <v>Q4</v>
      </c>
      <c r="Y424" t="str">
        <f t="shared" si="87"/>
        <v>Thu</v>
      </c>
      <c r="Z424" s="16">
        <f t="shared" si="88"/>
        <v>4</v>
      </c>
      <c r="AA424" s="13">
        <f t="shared" si="89"/>
        <v>14.14</v>
      </c>
      <c r="AB424" s="14">
        <f t="shared" si="90"/>
        <v>0.26</v>
      </c>
      <c r="AC424" t="str">
        <f t="shared" si="91"/>
        <v>No Discount</v>
      </c>
      <c r="AD424" t="str">
        <f t="shared" si="92"/>
        <v>Medium ($50-$200)</v>
      </c>
      <c r="AE424" t="str">
        <f t="shared" si="93"/>
        <v>Medium (3-5 units)</v>
      </c>
      <c r="AF424" t="str">
        <f t="shared" si="94"/>
        <v>Profitable</v>
      </c>
      <c r="AG424" t="str">
        <f t="shared" si="95"/>
        <v>High Margin</v>
      </c>
      <c r="AH424" t="str">
        <f t="shared" si="96"/>
        <v>Repeat Customer</v>
      </c>
      <c r="AI424" t="str">
        <f t="shared" si="97"/>
        <v>Standard (3-5 days)</v>
      </c>
    </row>
    <row r="425" spans="1:35" ht="15" customHeight="1" x14ac:dyDescent="0.3">
      <c r="A425">
        <v>424</v>
      </c>
      <c r="B425" t="s">
        <v>1664</v>
      </c>
      <c r="C425" s="12">
        <v>43027</v>
      </c>
      <c r="D425" s="12">
        <v>43031</v>
      </c>
      <c r="E425" t="s">
        <v>233</v>
      </c>
      <c r="F425" t="s">
        <v>1665</v>
      </c>
      <c r="G425" t="s">
        <v>1666</v>
      </c>
      <c r="H425" t="s">
        <v>224</v>
      </c>
      <c r="I425" t="s">
        <v>210</v>
      </c>
      <c r="J425" t="s">
        <v>1667</v>
      </c>
      <c r="K425" t="s">
        <v>1431</v>
      </c>
      <c r="L425">
        <v>1841</v>
      </c>
      <c r="M425" t="s">
        <v>331</v>
      </c>
      <c r="N425" t="s">
        <v>1670</v>
      </c>
      <c r="O425" t="s">
        <v>229</v>
      </c>
      <c r="P425" t="s">
        <v>242</v>
      </c>
      <c r="Q425" t="s">
        <v>1671</v>
      </c>
      <c r="R425" s="13">
        <v>32.700000000000003</v>
      </c>
      <c r="S425">
        <v>3</v>
      </c>
      <c r="T425" s="14">
        <v>0</v>
      </c>
      <c r="U425" s="13">
        <v>8.5020000000000007</v>
      </c>
      <c r="V425">
        <f t="shared" si="84"/>
        <v>2017</v>
      </c>
      <c r="W425" t="str">
        <f t="shared" si="85"/>
        <v>Oct</v>
      </c>
      <c r="X425" t="str">
        <f t="shared" si="86"/>
        <v>Q4</v>
      </c>
      <c r="Y425" t="str">
        <f t="shared" si="87"/>
        <v>Thu</v>
      </c>
      <c r="Z425" s="16">
        <f t="shared" si="88"/>
        <v>4</v>
      </c>
      <c r="AA425" s="13">
        <f t="shared" si="89"/>
        <v>10.9</v>
      </c>
      <c r="AB425" s="14">
        <f t="shared" si="90"/>
        <v>0.26</v>
      </c>
      <c r="AC425" t="str">
        <f t="shared" si="91"/>
        <v>No Discount</v>
      </c>
      <c r="AD425" t="str">
        <f t="shared" si="92"/>
        <v>Low (&lt;$50)</v>
      </c>
      <c r="AE425" t="str">
        <f t="shared" si="93"/>
        <v>Medium (3-5 units)</v>
      </c>
      <c r="AF425" t="str">
        <f t="shared" si="94"/>
        <v>Profitable</v>
      </c>
      <c r="AG425" t="str">
        <f t="shared" si="95"/>
        <v>High Margin</v>
      </c>
      <c r="AH425" t="str">
        <f t="shared" si="96"/>
        <v>Repeat Customer</v>
      </c>
      <c r="AI425" t="str">
        <f t="shared" si="97"/>
        <v>Standard (3-5 days)</v>
      </c>
    </row>
    <row r="426" spans="1:35" ht="15" customHeight="1" x14ac:dyDescent="0.3">
      <c r="A426">
        <v>425</v>
      </c>
      <c r="B426" t="s">
        <v>1672</v>
      </c>
      <c r="C426" s="12">
        <v>42968</v>
      </c>
      <c r="D426" s="12">
        <v>42970</v>
      </c>
      <c r="E426" t="s">
        <v>206</v>
      </c>
      <c r="F426" t="s">
        <v>1673</v>
      </c>
      <c r="G426" t="s">
        <v>1674</v>
      </c>
      <c r="H426" t="s">
        <v>209</v>
      </c>
      <c r="I426" t="s">
        <v>210</v>
      </c>
      <c r="J426" t="s">
        <v>511</v>
      </c>
      <c r="K426" t="s">
        <v>1675</v>
      </c>
      <c r="L426">
        <v>39212</v>
      </c>
      <c r="M426" t="s">
        <v>213</v>
      </c>
      <c r="N426" t="s">
        <v>1676</v>
      </c>
      <c r="O426" t="s">
        <v>215</v>
      </c>
      <c r="P426" t="s">
        <v>219</v>
      </c>
      <c r="Q426" t="s">
        <v>1677</v>
      </c>
      <c r="R426" s="13">
        <v>866.4</v>
      </c>
      <c r="S426">
        <v>4</v>
      </c>
      <c r="T426" s="14">
        <v>0</v>
      </c>
      <c r="U426" s="13">
        <v>225.26400000000001</v>
      </c>
      <c r="V426">
        <f t="shared" si="84"/>
        <v>2017</v>
      </c>
      <c r="W426" t="str">
        <f t="shared" si="85"/>
        <v>Aug</v>
      </c>
      <c r="X426" t="str">
        <f t="shared" si="86"/>
        <v>Q3</v>
      </c>
      <c r="Y426" t="str">
        <f t="shared" si="87"/>
        <v>Mon</v>
      </c>
      <c r="Z426" s="16">
        <f t="shared" si="88"/>
        <v>2</v>
      </c>
      <c r="AA426" s="13">
        <f t="shared" si="89"/>
        <v>216.6</v>
      </c>
      <c r="AB426" s="14">
        <f t="shared" si="90"/>
        <v>0.26</v>
      </c>
      <c r="AC426" t="str">
        <f t="shared" si="91"/>
        <v>No Discount</v>
      </c>
      <c r="AD426" t="str">
        <f t="shared" si="92"/>
        <v>Premium ($500+)</v>
      </c>
      <c r="AE426" t="str">
        <f t="shared" si="93"/>
        <v>Medium (3-5 units)</v>
      </c>
      <c r="AF426" t="str">
        <f t="shared" si="94"/>
        <v>Profitable</v>
      </c>
      <c r="AG426" t="str">
        <f t="shared" si="95"/>
        <v>High Margin</v>
      </c>
      <c r="AH426" t="str">
        <f t="shared" si="96"/>
        <v>Repeat Customer</v>
      </c>
      <c r="AI426" t="str">
        <f t="shared" si="97"/>
        <v>Fast (&lt;=2 days)</v>
      </c>
    </row>
    <row r="427" spans="1:35" ht="15" customHeight="1" x14ac:dyDescent="0.3">
      <c r="A427">
        <v>426</v>
      </c>
      <c r="B427" t="s">
        <v>1678</v>
      </c>
      <c r="C427" s="12">
        <v>43062</v>
      </c>
      <c r="D427" s="12">
        <v>43065</v>
      </c>
      <c r="E427" t="s">
        <v>206</v>
      </c>
      <c r="F427" t="s">
        <v>447</v>
      </c>
      <c r="G427" t="s">
        <v>448</v>
      </c>
      <c r="H427" t="s">
        <v>224</v>
      </c>
      <c r="I427" t="s">
        <v>210</v>
      </c>
      <c r="J427" t="s">
        <v>1679</v>
      </c>
      <c r="K427" t="s">
        <v>421</v>
      </c>
      <c r="L427">
        <v>48187</v>
      </c>
      <c r="M427" t="s">
        <v>288</v>
      </c>
      <c r="N427" t="s">
        <v>1680</v>
      </c>
      <c r="O427" t="s">
        <v>215</v>
      </c>
      <c r="P427" t="s">
        <v>248</v>
      </c>
      <c r="Q427" t="s">
        <v>1681</v>
      </c>
      <c r="R427" s="13">
        <v>28.4</v>
      </c>
      <c r="S427">
        <v>2</v>
      </c>
      <c r="T427" s="14">
        <v>0</v>
      </c>
      <c r="U427" s="13">
        <v>11.076000000000001</v>
      </c>
      <c r="V427">
        <f t="shared" si="84"/>
        <v>2017</v>
      </c>
      <c r="W427" t="str">
        <f t="shared" si="85"/>
        <v>Nov</v>
      </c>
      <c r="X427" t="str">
        <f t="shared" si="86"/>
        <v>Q4</v>
      </c>
      <c r="Y427" t="str">
        <f t="shared" si="87"/>
        <v>Thu</v>
      </c>
      <c r="Z427" s="16">
        <f t="shared" si="88"/>
        <v>3</v>
      </c>
      <c r="AA427" s="13">
        <f t="shared" si="89"/>
        <v>14.2</v>
      </c>
      <c r="AB427" s="14">
        <f t="shared" si="90"/>
        <v>0.39</v>
      </c>
      <c r="AC427" t="str">
        <f t="shared" si="91"/>
        <v>No Discount</v>
      </c>
      <c r="AD427" t="str">
        <f t="shared" si="92"/>
        <v>Low (&lt;$50)</v>
      </c>
      <c r="AE427" t="str">
        <f t="shared" si="93"/>
        <v>Small (1-2 units)</v>
      </c>
      <c r="AF427" t="str">
        <f t="shared" si="94"/>
        <v>Profitable</v>
      </c>
      <c r="AG427" t="str">
        <f t="shared" si="95"/>
        <v>High Margin</v>
      </c>
      <c r="AH427" t="str">
        <f t="shared" si="96"/>
        <v>Repeat Customer</v>
      </c>
      <c r="AI427" t="str">
        <f t="shared" si="97"/>
        <v>Standard (3-5 days)</v>
      </c>
    </row>
    <row r="428" spans="1:35" ht="15" customHeight="1" x14ac:dyDescent="0.3">
      <c r="A428">
        <v>427</v>
      </c>
      <c r="B428" t="s">
        <v>1678</v>
      </c>
      <c r="C428" s="12">
        <v>43062</v>
      </c>
      <c r="D428" s="12">
        <v>43065</v>
      </c>
      <c r="E428" t="s">
        <v>206</v>
      </c>
      <c r="F428" t="s">
        <v>447</v>
      </c>
      <c r="G428" t="s">
        <v>448</v>
      </c>
      <c r="H428" t="s">
        <v>224</v>
      </c>
      <c r="I428" t="s">
        <v>210</v>
      </c>
      <c r="J428" t="s">
        <v>1679</v>
      </c>
      <c r="K428" t="s">
        <v>421</v>
      </c>
      <c r="L428">
        <v>48187</v>
      </c>
      <c r="M428" t="s">
        <v>288</v>
      </c>
      <c r="N428" t="s">
        <v>1682</v>
      </c>
      <c r="O428" t="s">
        <v>229</v>
      </c>
      <c r="P428" t="s">
        <v>258</v>
      </c>
      <c r="Q428" t="s">
        <v>1683</v>
      </c>
      <c r="R428" s="13">
        <v>287.92</v>
      </c>
      <c r="S428">
        <v>8</v>
      </c>
      <c r="T428" s="14">
        <v>0</v>
      </c>
      <c r="U428" s="13">
        <v>138.20160000000001</v>
      </c>
      <c r="V428">
        <f t="shared" si="84"/>
        <v>2017</v>
      </c>
      <c r="W428" t="str">
        <f t="shared" si="85"/>
        <v>Nov</v>
      </c>
      <c r="X428" t="str">
        <f t="shared" si="86"/>
        <v>Q4</v>
      </c>
      <c r="Y428" t="str">
        <f t="shared" si="87"/>
        <v>Thu</v>
      </c>
      <c r="Z428" s="16">
        <f t="shared" si="88"/>
        <v>3</v>
      </c>
      <c r="AA428" s="13">
        <f t="shared" si="89"/>
        <v>35.99</v>
      </c>
      <c r="AB428" s="14">
        <f t="shared" si="90"/>
        <v>0.48000000000000004</v>
      </c>
      <c r="AC428" t="str">
        <f t="shared" si="91"/>
        <v>No Discount</v>
      </c>
      <c r="AD428" t="str">
        <f t="shared" si="92"/>
        <v>High ($200-$500)</v>
      </c>
      <c r="AE428" t="str">
        <f t="shared" si="93"/>
        <v>Large (6+ units)</v>
      </c>
      <c r="AF428" t="str">
        <f t="shared" si="94"/>
        <v>Profitable</v>
      </c>
      <c r="AG428" t="str">
        <f t="shared" si="95"/>
        <v>High Margin</v>
      </c>
      <c r="AH428" t="str">
        <f t="shared" si="96"/>
        <v>Repeat Customer</v>
      </c>
      <c r="AI428" t="str">
        <f t="shared" si="97"/>
        <v>Standard (3-5 days)</v>
      </c>
    </row>
    <row r="429" spans="1:35" ht="15" customHeight="1" x14ac:dyDescent="0.3">
      <c r="A429">
        <v>428</v>
      </c>
      <c r="B429" t="s">
        <v>1684</v>
      </c>
      <c r="C429" s="12">
        <v>41894</v>
      </c>
      <c r="D429" s="12">
        <v>41895</v>
      </c>
      <c r="E429" t="s">
        <v>371</v>
      </c>
      <c r="F429" t="s">
        <v>1685</v>
      </c>
      <c r="G429" t="s">
        <v>1686</v>
      </c>
      <c r="H429" t="s">
        <v>285</v>
      </c>
      <c r="I429" t="s">
        <v>210</v>
      </c>
      <c r="J429" t="s">
        <v>1687</v>
      </c>
      <c r="K429" t="s">
        <v>450</v>
      </c>
      <c r="L429">
        <v>10801</v>
      </c>
      <c r="M429" t="s">
        <v>331</v>
      </c>
      <c r="N429" t="s">
        <v>1688</v>
      </c>
      <c r="O429" t="s">
        <v>254</v>
      </c>
      <c r="P429" t="s">
        <v>867</v>
      </c>
      <c r="Q429" t="s">
        <v>1689</v>
      </c>
      <c r="R429" s="13">
        <v>69.989999999999995</v>
      </c>
      <c r="S429">
        <v>1</v>
      </c>
      <c r="T429" s="14">
        <v>0</v>
      </c>
      <c r="U429" s="13">
        <v>30.095700000000001</v>
      </c>
      <c r="V429">
        <f t="shared" si="84"/>
        <v>2014</v>
      </c>
      <c r="W429" t="str">
        <f t="shared" si="85"/>
        <v>Sep</v>
      </c>
      <c r="X429" t="str">
        <f t="shared" si="86"/>
        <v>Q3</v>
      </c>
      <c r="Y429" t="str">
        <f t="shared" si="87"/>
        <v>Fri</v>
      </c>
      <c r="Z429" s="16">
        <f t="shared" si="88"/>
        <v>1</v>
      </c>
      <c r="AA429" s="13">
        <f t="shared" si="89"/>
        <v>69.989999999999995</v>
      </c>
      <c r="AB429" s="14">
        <f t="shared" si="90"/>
        <v>0.43000000000000005</v>
      </c>
      <c r="AC429" t="str">
        <f t="shared" si="91"/>
        <v>No Discount</v>
      </c>
      <c r="AD429" t="str">
        <f t="shared" si="92"/>
        <v>Medium ($50-$200)</v>
      </c>
      <c r="AE429" t="str">
        <f t="shared" si="93"/>
        <v>Small (1-2 units)</v>
      </c>
      <c r="AF429" t="str">
        <f t="shared" si="94"/>
        <v>Profitable</v>
      </c>
      <c r="AG429" t="str">
        <f t="shared" si="95"/>
        <v>High Margin</v>
      </c>
      <c r="AH429" t="str">
        <f t="shared" si="96"/>
        <v>Single Purchase</v>
      </c>
      <c r="AI429" t="str">
        <f t="shared" si="97"/>
        <v>Fast (&lt;=2 days)</v>
      </c>
    </row>
    <row r="430" spans="1:35" ht="15" customHeight="1" x14ac:dyDescent="0.3">
      <c r="A430">
        <v>429</v>
      </c>
      <c r="B430" t="s">
        <v>1690</v>
      </c>
      <c r="C430" s="12">
        <v>43009</v>
      </c>
      <c r="D430" s="12">
        <v>43016</v>
      </c>
      <c r="E430" t="s">
        <v>233</v>
      </c>
      <c r="F430" t="s">
        <v>1691</v>
      </c>
      <c r="G430" t="s">
        <v>1692</v>
      </c>
      <c r="H430" t="s">
        <v>224</v>
      </c>
      <c r="I430" t="s">
        <v>210</v>
      </c>
      <c r="J430" t="s">
        <v>863</v>
      </c>
      <c r="K430" t="s">
        <v>287</v>
      </c>
      <c r="L430">
        <v>78207</v>
      </c>
      <c r="M430" t="s">
        <v>288</v>
      </c>
      <c r="N430" t="s">
        <v>1693</v>
      </c>
      <c r="O430" t="s">
        <v>229</v>
      </c>
      <c r="P430" t="s">
        <v>251</v>
      </c>
      <c r="Q430" t="s">
        <v>1694</v>
      </c>
      <c r="R430" s="13">
        <v>6.6719999999999997</v>
      </c>
      <c r="S430">
        <v>6</v>
      </c>
      <c r="T430" s="14">
        <v>0.2</v>
      </c>
      <c r="U430" s="13">
        <v>0.50039999999999996</v>
      </c>
      <c r="V430">
        <f t="shared" si="84"/>
        <v>2017</v>
      </c>
      <c r="W430" t="str">
        <f t="shared" si="85"/>
        <v>Oct</v>
      </c>
      <c r="X430" t="str">
        <f t="shared" si="86"/>
        <v>Q4</v>
      </c>
      <c r="Y430" t="str">
        <f t="shared" si="87"/>
        <v>Sun</v>
      </c>
      <c r="Z430" s="16">
        <f t="shared" si="88"/>
        <v>7</v>
      </c>
      <c r="AA430" s="13">
        <f t="shared" si="89"/>
        <v>1.1119999999999999</v>
      </c>
      <c r="AB430" s="14">
        <f t="shared" si="90"/>
        <v>7.4999999999999997E-2</v>
      </c>
      <c r="AC430" t="str">
        <f t="shared" si="91"/>
        <v>Low (1-20%)</v>
      </c>
      <c r="AD430" t="str">
        <f t="shared" si="92"/>
        <v>Low (&lt;$50)</v>
      </c>
      <c r="AE430" t="str">
        <f t="shared" si="93"/>
        <v>Large (6+ units)</v>
      </c>
      <c r="AF430" t="str">
        <f t="shared" si="94"/>
        <v>Profitable</v>
      </c>
      <c r="AG430" t="str">
        <f t="shared" si="95"/>
        <v>Low Margin</v>
      </c>
      <c r="AH430" t="str">
        <f t="shared" si="96"/>
        <v>Repeat Customer</v>
      </c>
      <c r="AI430" t="str">
        <f t="shared" si="97"/>
        <v>Slow (6+ days)</v>
      </c>
    </row>
    <row r="431" spans="1:35" ht="15" customHeight="1" x14ac:dyDescent="0.3">
      <c r="A431">
        <v>430</v>
      </c>
      <c r="B431" t="s">
        <v>1695</v>
      </c>
      <c r="C431" s="12">
        <v>42475</v>
      </c>
      <c r="D431" s="12">
        <v>42481</v>
      </c>
      <c r="E431" t="s">
        <v>233</v>
      </c>
      <c r="F431" t="s">
        <v>1696</v>
      </c>
      <c r="G431" t="s">
        <v>1697</v>
      </c>
      <c r="H431" t="s">
        <v>285</v>
      </c>
      <c r="I431" t="s">
        <v>210</v>
      </c>
      <c r="J431" t="s">
        <v>1698</v>
      </c>
      <c r="K431" t="s">
        <v>271</v>
      </c>
      <c r="L431">
        <v>28052</v>
      </c>
      <c r="M431" t="s">
        <v>213</v>
      </c>
      <c r="N431" t="s">
        <v>1699</v>
      </c>
      <c r="O431" t="s">
        <v>229</v>
      </c>
      <c r="P431" t="s">
        <v>258</v>
      </c>
      <c r="Q431" t="s">
        <v>1700</v>
      </c>
      <c r="R431" s="13">
        <v>189.58799999999999</v>
      </c>
      <c r="S431">
        <v>2</v>
      </c>
      <c r="T431" s="14">
        <v>0.7</v>
      </c>
      <c r="U431" s="13">
        <v>-145.35079999999999</v>
      </c>
      <c r="V431">
        <f t="shared" si="84"/>
        <v>2016</v>
      </c>
      <c r="W431" t="str">
        <f t="shared" si="85"/>
        <v>Apr</v>
      </c>
      <c r="X431" t="str">
        <f t="shared" si="86"/>
        <v>Q2</v>
      </c>
      <c r="Y431" t="str">
        <f t="shared" si="87"/>
        <v>Fri</v>
      </c>
      <c r="Z431" s="16">
        <f t="shared" si="88"/>
        <v>6</v>
      </c>
      <c r="AA431" s="13">
        <f t="shared" si="89"/>
        <v>94.793999999999997</v>
      </c>
      <c r="AB431" s="14">
        <f t="shared" si="90"/>
        <v>-0.76666666666666661</v>
      </c>
      <c r="AC431" t="str">
        <f t="shared" si="91"/>
        <v>High (40%+)</v>
      </c>
      <c r="AD431" t="str">
        <f t="shared" si="92"/>
        <v>Medium ($50-$200)</v>
      </c>
      <c r="AE431" t="str">
        <f t="shared" si="93"/>
        <v>Small (1-2 units)</v>
      </c>
      <c r="AF431" t="str">
        <f t="shared" si="94"/>
        <v>Loss-Making</v>
      </c>
      <c r="AG431" t="str">
        <f t="shared" si="95"/>
        <v>Underperforming</v>
      </c>
      <c r="AH431" t="str">
        <f t="shared" si="96"/>
        <v>Repeat Customer</v>
      </c>
      <c r="AI431" t="str">
        <f t="shared" si="97"/>
        <v>Slow (6+ days)</v>
      </c>
    </row>
    <row r="432" spans="1:35" ht="15" customHeight="1" x14ac:dyDescent="0.3">
      <c r="A432">
        <v>431</v>
      </c>
      <c r="B432" t="s">
        <v>1695</v>
      </c>
      <c r="C432" s="12">
        <v>42475</v>
      </c>
      <c r="D432" s="12">
        <v>42481</v>
      </c>
      <c r="E432" t="s">
        <v>233</v>
      </c>
      <c r="F432" t="s">
        <v>1696</v>
      </c>
      <c r="G432" t="s">
        <v>1697</v>
      </c>
      <c r="H432" t="s">
        <v>285</v>
      </c>
      <c r="I432" t="s">
        <v>210</v>
      </c>
      <c r="J432" t="s">
        <v>1698</v>
      </c>
      <c r="K432" t="s">
        <v>271</v>
      </c>
      <c r="L432">
        <v>28052</v>
      </c>
      <c r="M432" t="s">
        <v>213</v>
      </c>
      <c r="N432" t="s">
        <v>915</v>
      </c>
      <c r="O432" t="s">
        <v>254</v>
      </c>
      <c r="P432" t="s">
        <v>344</v>
      </c>
      <c r="Q432" t="s">
        <v>916</v>
      </c>
      <c r="R432" s="13">
        <v>408.74400000000003</v>
      </c>
      <c r="S432">
        <v>7</v>
      </c>
      <c r="T432" s="14">
        <v>0.2</v>
      </c>
      <c r="U432" s="13">
        <v>76.639499999999998</v>
      </c>
      <c r="V432">
        <f t="shared" si="84"/>
        <v>2016</v>
      </c>
      <c r="W432" t="str">
        <f t="shared" si="85"/>
        <v>Apr</v>
      </c>
      <c r="X432" t="str">
        <f t="shared" si="86"/>
        <v>Q2</v>
      </c>
      <c r="Y432" t="str">
        <f t="shared" si="87"/>
        <v>Fri</v>
      </c>
      <c r="Z432" s="16">
        <f t="shared" si="88"/>
        <v>6</v>
      </c>
      <c r="AA432" s="13">
        <f t="shared" si="89"/>
        <v>58.392000000000003</v>
      </c>
      <c r="AB432" s="14">
        <f t="shared" si="90"/>
        <v>0.18749999999999997</v>
      </c>
      <c r="AC432" t="str">
        <f t="shared" si="91"/>
        <v>Low (1-20%)</v>
      </c>
      <c r="AD432" t="str">
        <f t="shared" si="92"/>
        <v>High ($200-$500)</v>
      </c>
      <c r="AE432" t="str">
        <f t="shared" si="93"/>
        <v>Large (6+ units)</v>
      </c>
      <c r="AF432" t="str">
        <f t="shared" si="94"/>
        <v>Profitable</v>
      </c>
      <c r="AG432" t="str">
        <f t="shared" si="95"/>
        <v>Healthy Margin</v>
      </c>
      <c r="AH432" t="str">
        <f t="shared" si="96"/>
        <v>Repeat Customer</v>
      </c>
      <c r="AI432" t="str">
        <f t="shared" si="97"/>
        <v>Slow (6+ days)</v>
      </c>
    </row>
    <row r="433" spans="1:35" ht="15" customHeight="1" x14ac:dyDescent="0.3">
      <c r="A433">
        <v>432</v>
      </c>
      <c r="B433" t="s">
        <v>1695</v>
      </c>
      <c r="C433" s="12">
        <v>42475</v>
      </c>
      <c r="D433" s="12">
        <v>42481</v>
      </c>
      <c r="E433" t="s">
        <v>233</v>
      </c>
      <c r="F433" t="s">
        <v>1696</v>
      </c>
      <c r="G433" t="s">
        <v>1697</v>
      </c>
      <c r="H433" t="s">
        <v>285</v>
      </c>
      <c r="I433" t="s">
        <v>210</v>
      </c>
      <c r="J433" t="s">
        <v>1698</v>
      </c>
      <c r="K433" t="s">
        <v>271</v>
      </c>
      <c r="L433">
        <v>28052</v>
      </c>
      <c r="M433" t="s">
        <v>213</v>
      </c>
      <c r="N433" t="s">
        <v>915</v>
      </c>
      <c r="O433" t="s">
        <v>254</v>
      </c>
      <c r="P433" t="s">
        <v>344</v>
      </c>
      <c r="Q433" t="s">
        <v>916</v>
      </c>
      <c r="R433" s="13">
        <v>291.95999999999998</v>
      </c>
      <c r="S433">
        <v>5</v>
      </c>
      <c r="T433" s="14">
        <v>0.2</v>
      </c>
      <c r="U433" s="13">
        <v>54.7425</v>
      </c>
      <c r="V433">
        <f t="shared" si="84"/>
        <v>2016</v>
      </c>
      <c r="W433" t="str">
        <f t="shared" si="85"/>
        <v>Apr</v>
      </c>
      <c r="X433" t="str">
        <f t="shared" si="86"/>
        <v>Q2</v>
      </c>
      <c r="Y433" t="str">
        <f t="shared" si="87"/>
        <v>Fri</v>
      </c>
      <c r="Z433" s="16">
        <f t="shared" si="88"/>
        <v>6</v>
      </c>
      <c r="AA433" s="13">
        <f t="shared" si="89"/>
        <v>58.391999999999996</v>
      </c>
      <c r="AB433" s="14">
        <f t="shared" si="90"/>
        <v>0.1875</v>
      </c>
      <c r="AC433" t="str">
        <f t="shared" si="91"/>
        <v>Low (1-20%)</v>
      </c>
      <c r="AD433" t="str">
        <f t="shared" si="92"/>
        <v>High ($200-$500)</v>
      </c>
      <c r="AE433" t="str">
        <f t="shared" si="93"/>
        <v>Medium (3-5 units)</v>
      </c>
      <c r="AF433" t="str">
        <f t="shared" si="94"/>
        <v>Profitable</v>
      </c>
      <c r="AG433" t="str">
        <f t="shared" si="95"/>
        <v>Healthy Margin</v>
      </c>
      <c r="AH433" t="str">
        <f t="shared" si="96"/>
        <v>Repeat Customer</v>
      </c>
      <c r="AI433" t="str">
        <f t="shared" si="97"/>
        <v>Slow (6+ days)</v>
      </c>
    </row>
    <row r="434" spans="1:35" ht="15" customHeight="1" x14ac:dyDescent="0.3">
      <c r="A434">
        <v>433</v>
      </c>
      <c r="B434" t="s">
        <v>1695</v>
      </c>
      <c r="C434" s="12">
        <v>42475</v>
      </c>
      <c r="D434" s="12">
        <v>42481</v>
      </c>
      <c r="E434" t="s">
        <v>233</v>
      </c>
      <c r="F434" t="s">
        <v>1696</v>
      </c>
      <c r="G434" t="s">
        <v>1697</v>
      </c>
      <c r="H434" t="s">
        <v>285</v>
      </c>
      <c r="I434" t="s">
        <v>210</v>
      </c>
      <c r="J434" t="s">
        <v>1698</v>
      </c>
      <c r="K434" t="s">
        <v>271</v>
      </c>
      <c r="L434">
        <v>28052</v>
      </c>
      <c r="M434" t="s">
        <v>213</v>
      </c>
      <c r="N434" t="s">
        <v>1701</v>
      </c>
      <c r="O434" t="s">
        <v>229</v>
      </c>
      <c r="P434" t="s">
        <v>242</v>
      </c>
      <c r="Q434" t="s">
        <v>1702</v>
      </c>
      <c r="R434" s="13">
        <v>4.7679999999999998</v>
      </c>
      <c r="S434">
        <v>2</v>
      </c>
      <c r="T434" s="14">
        <v>0.2</v>
      </c>
      <c r="U434" s="13">
        <v>-0.77480000000000104</v>
      </c>
      <c r="V434">
        <f t="shared" si="84"/>
        <v>2016</v>
      </c>
      <c r="W434" t="str">
        <f t="shared" si="85"/>
        <v>Apr</v>
      </c>
      <c r="X434" t="str">
        <f t="shared" si="86"/>
        <v>Q2</v>
      </c>
      <c r="Y434" t="str">
        <f t="shared" si="87"/>
        <v>Fri</v>
      </c>
      <c r="Z434" s="16">
        <f t="shared" si="88"/>
        <v>6</v>
      </c>
      <c r="AA434" s="13">
        <f t="shared" si="89"/>
        <v>2.3839999999999999</v>
      </c>
      <c r="AB434" s="14">
        <f t="shared" si="90"/>
        <v>-0.16250000000000023</v>
      </c>
      <c r="AC434" t="str">
        <f t="shared" si="91"/>
        <v>Low (1-20%)</v>
      </c>
      <c r="AD434" t="str">
        <f t="shared" si="92"/>
        <v>Low (&lt;$50)</v>
      </c>
      <c r="AE434" t="str">
        <f t="shared" si="93"/>
        <v>Small (1-2 units)</v>
      </c>
      <c r="AF434" t="str">
        <f t="shared" si="94"/>
        <v>Loss-Making</v>
      </c>
      <c r="AG434" t="str">
        <f t="shared" si="95"/>
        <v>Underperforming</v>
      </c>
      <c r="AH434" t="str">
        <f t="shared" si="96"/>
        <v>Repeat Customer</v>
      </c>
      <c r="AI434" t="str">
        <f t="shared" si="97"/>
        <v>Slow (6+ days)</v>
      </c>
    </row>
    <row r="435" spans="1:35" ht="15" customHeight="1" x14ac:dyDescent="0.3">
      <c r="A435">
        <v>434</v>
      </c>
      <c r="B435" t="s">
        <v>1703</v>
      </c>
      <c r="C435" s="12">
        <v>42527</v>
      </c>
      <c r="D435" s="12">
        <v>42528</v>
      </c>
      <c r="E435" t="s">
        <v>371</v>
      </c>
      <c r="F435" t="s">
        <v>827</v>
      </c>
      <c r="G435" t="s">
        <v>828</v>
      </c>
      <c r="H435" t="s">
        <v>209</v>
      </c>
      <c r="I435" t="s">
        <v>210</v>
      </c>
      <c r="J435" t="s">
        <v>1430</v>
      </c>
      <c r="K435" t="s">
        <v>1431</v>
      </c>
      <c r="L435">
        <v>1852</v>
      </c>
      <c r="M435" t="s">
        <v>331</v>
      </c>
      <c r="N435" t="s">
        <v>1704</v>
      </c>
      <c r="O435" t="s">
        <v>229</v>
      </c>
      <c r="P435" t="s">
        <v>242</v>
      </c>
      <c r="Q435" t="s">
        <v>1705</v>
      </c>
      <c r="R435" s="13">
        <v>714.3</v>
      </c>
      <c r="S435">
        <v>5</v>
      </c>
      <c r="T435" s="14">
        <v>0</v>
      </c>
      <c r="U435" s="13">
        <v>207.14699999999999</v>
      </c>
      <c r="V435">
        <f t="shared" si="84"/>
        <v>2016</v>
      </c>
      <c r="W435" t="str">
        <f t="shared" si="85"/>
        <v>Jun</v>
      </c>
      <c r="X435" t="str">
        <f t="shared" si="86"/>
        <v>Q2</v>
      </c>
      <c r="Y435" t="str">
        <f t="shared" si="87"/>
        <v>Mon</v>
      </c>
      <c r="Z435" s="16">
        <f t="shared" si="88"/>
        <v>1</v>
      </c>
      <c r="AA435" s="13">
        <f t="shared" si="89"/>
        <v>142.85999999999999</v>
      </c>
      <c r="AB435" s="14">
        <f t="shared" si="90"/>
        <v>0.28999999999999998</v>
      </c>
      <c r="AC435" t="str">
        <f t="shared" si="91"/>
        <v>No Discount</v>
      </c>
      <c r="AD435" t="str">
        <f t="shared" si="92"/>
        <v>Premium ($500+)</v>
      </c>
      <c r="AE435" t="str">
        <f t="shared" si="93"/>
        <v>Medium (3-5 units)</v>
      </c>
      <c r="AF435" t="str">
        <f t="shared" si="94"/>
        <v>Profitable</v>
      </c>
      <c r="AG435" t="str">
        <f t="shared" si="95"/>
        <v>High Margin</v>
      </c>
      <c r="AH435" t="str">
        <f t="shared" si="96"/>
        <v>Repeat Customer</v>
      </c>
      <c r="AI435" t="str">
        <f t="shared" si="97"/>
        <v>Fast (&lt;=2 days)</v>
      </c>
    </row>
    <row r="436" spans="1:35" ht="15" customHeight="1" x14ac:dyDescent="0.3">
      <c r="A436">
        <v>435</v>
      </c>
      <c r="B436" t="s">
        <v>1706</v>
      </c>
      <c r="C436" s="12">
        <v>41992</v>
      </c>
      <c r="D436" s="12">
        <v>41998</v>
      </c>
      <c r="E436" t="s">
        <v>233</v>
      </c>
      <c r="F436" t="s">
        <v>1707</v>
      </c>
      <c r="G436" t="s">
        <v>1708</v>
      </c>
      <c r="H436" t="s">
        <v>209</v>
      </c>
      <c r="I436" t="s">
        <v>210</v>
      </c>
      <c r="J436" t="s">
        <v>1709</v>
      </c>
      <c r="K436" t="s">
        <v>237</v>
      </c>
      <c r="L436">
        <v>32216</v>
      </c>
      <c r="M436" t="s">
        <v>213</v>
      </c>
      <c r="N436" t="s">
        <v>1710</v>
      </c>
      <c r="O436" t="s">
        <v>229</v>
      </c>
      <c r="P436" t="s">
        <v>258</v>
      </c>
      <c r="Q436" t="s">
        <v>1711</v>
      </c>
      <c r="R436" s="13">
        <v>4.8120000000000003</v>
      </c>
      <c r="S436">
        <v>2</v>
      </c>
      <c r="T436" s="14">
        <v>0.7</v>
      </c>
      <c r="U436" s="13">
        <v>-3.6892</v>
      </c>
      <c r="V436">
        <f t="shared" si="84"/>
        <v>2014</v>
      </c>
      <c r="W436" t="str">
        <f t="shared" si="85"/>
        <v>Dec</v>
      </c>
      <c r="X436" t="str">
        <f t="shared" si="86"/>
        <v>Q4</v>
      </c>
      <c r="Y436" t="str">
        <f t="shared" si="87"/>
        <v>Fri</v>
      </c>
      <c r="Z436" s="16">
        <f t="shared" si="88"/>
        <v>6</v>
      </c>
      <c r="AA436" s="13">
        <f t="shared" si="89"/>
        <v>2.4060000000000001</v>
      </c>
      <c r="AB436" s="14">
        <f t="shared" si="90"/>
        <v>-0.76666666666666661</v>
      </c>
      <c r="AC436" t="str">
        <f t="shared" si="91"/>
        <v>High (40%+)</v>
      </c>
      <c r="AD436" t="str">
        <f t="shared" si="92"/>
        <v>Low (&lt;$50)</v>
      </c>
      <c r="AE436" t="str">
        <f t="shared" si="93"/>
        <v>Small (1-2 units)</v>
      </c>
      <c r="AF436" t="str">
        <f t="shared" si="94"/>
        <v>Loss-Making</v>
      </c>
      <c r="AG436" t="str">
        <f t="shared" si="95"/>
        <v>Underperforming</v>
      </c>
      <c r="AH436" t="str">
        <f t="shared" si="96"/>
        <v>Repeat Customer</v>
      </c>
      <c r="AI436" t="str">
        <f t="shared" si="97"/>
        <v>Slow (6+ days)</v>
      </c>
    </row>
    <row r="437" spans="1:35" ht="15" customHeight="1" x14ac:dyDescent="0.3">
      <c r="A437">
        <v>436</v>
      </c>
      <c r="B437" t="s">
        <v>1706</v>
      </c>
      <c r="C437" s="12">
        <v>41992</v>
      </c>
      <c r="D437" s="12">
        <v>41998</v>
      </c>
      <c r="E437" t="s">
        <v>233</v>
      </c>
      <c r="F437" t="s">
        <v>1707</v>
      </c>
      <c r="G437" t="s">
        <v>1708</v>
      </c>
      <c r="H437" t="s">
        <v>209</v>
      </c>
      <c r="I437" t="s">
        <v>210</v>
      </c>
      <c r="J437" t="s">
        <v>1709</v>
      </c>
      <c r="K437" t="s">
        <v>237</v>
      </c>
      <c r="L437">
        <v>32216</v>
      </c>
      <c r="M437" t="s">
        <v>213</v>
      </c>
      <c r="N437" t="s">
        <v>1712</v>
      </c>
      <c r="O437" t="s">
        <v>254</v>
      </c>
      <c r="P437" t="s">
        <v>344</v>
      </c>
      <c r="Q437" t="s">
        <v>1713</v>
      </c>
      <c r="R437" s="13">
        <v>247.8</v>
      </c>
      <c r="S437">
        <v>5</v>
      </c>
      <c r="T437" s="14">
        <v>0.2</v>
      </c>
      <c r="U437" s="13">
        <v>-18.585000000000001</v>
      </c>
      <c r="V437">
        <f t="shared" si="84"/>
        <v>2014</v>
      </c>
      <c r="W437" t="str">
        <f t="shared" si="85"/>
        <v>Dec</v>
      </c>
      <c r="X437" t="str">
        <f t="shared" si="86"/>
        <v>Q4</v>
      </c>
      <c r="Y437" t="str">
        <f t="shared" si="87"/>
        <v>Fri</v>
      </c>
      <c r="Z437" s="16">
        <f t="shared" si="88"/>
        <v>6</v>
      </c>
      <c r="AA437" s="13">
        <f t="shared" si="89"/>
        <v>49.56</v>
      </c>
      <c r="AB437" s="14">
        <f t="shared" si="90"/>
        <v>-7.4999999999999997E-2</v>
      </c>
      <c r="AC437" t="str">
        <f t="shared" si="91"/>
        <v>Low (1-20%)</v>
      </c>
      <c r="AD437" t="str">
        <f t="shared" si="92"/>
        <v>High ($200-$500)</v>
      </c>
      <c r="AE437" t="str">
        <f t="shared" si="93"/>
        <v>Medium (3-5 units)</v>
      </c>
      <c r="AF437" t="str">
        <f t="shared" si="94"/>
        <v>Loss-Making</v>
      </c>
      <c r="AG437" t="str">
        <f t="shared" si="95"/>
        <v>Underperforming</v>
      </c>
      <c r="AH437" t="str">
        <f t="shared" si="96"/>
        <v>Repeat Customer</v>
      </c>
      <c r="AI437" t="str">
        <f t="shared" si="97"/>
        <v>Slow (6+ days)</v>
      </c>
    </row>
    <row r="438" spans="1:35" ht="15" customHeight="1" x14ac:dyDescent="0.3">
      <c r="A438">
        <v>437</v>
      </c>
      <c r="B438" t="s">
        <v>1714</v>
      </c>
      <c r="C438" s="12">
        <v>42533</v>
      </c>
      <c r="D438" s="12">
        <v>42535</v>
      </c>
      <c r="E438" t="s">
        <v>206</v>
      </c>
      <c r="F438" t="s">
        <v>1715</v>
      </c>
      <c r="G438" t="s">
        <v>1716</v>
      </c>
      <c r="H438" t="s">
        <v>285</v>
      </c>
      <c r="I438" t="s">
        <v>210</v>
      </c>
      <c r="J438" t="s">
        <v>486</v>
      </c>
      <c r="K438" t="s">
        <v>394</v>
      </c>
      <c r="L438">
        <v>60623</v>
      </c>
      <c r="M438" t="s">
        <v>288</v>
      </c>
      <c r="N438" t="s">
        <v>1717</v>
      </c>
      <c r="O438" t="s">
        <v>254</v>
      </c>
      <c r="P438" t="s">
        <v>867</v>
      </c>
      <c r="Q438" t="s">
        <v>1718</v>
      </c>
      <c r="R438" s="13">
        <v>1007.979</v>
      </c>
      <c r="S438">
        <v>3</v>
      </c>
      <c r="T438" s="14">
        <v>0.3</v>
      </c>
      <c r="U438" s="13">
        <v>43.199100000000001</v>
      </c>
      <c r="V438">
        <f t="shared" si="84"/>
        <v>2016</v>
      </c>
      <c r="W438" t="str">
        <f t="shared" si="85"/>
        <v>Jun</v>
      </c>
      <c r="X438" t="str">
        <f t="shared" si="86"/>
        <v>Q2</v>
      </c>
      <c r="Y438" t="str">
        <f t="shared" si="87"/>
        <v>Sun</v>
      </c>
      <c r="Z438" s="16">
        <f t="shared" si="88"/>
        <v>2</v>
      </c>
      <c r="AA438" s="13">
        <f t="shared" si="89"/>
        <v>335.99299999999999</v>
      </c>
      <c r="AB438" s="14">
        <f t="shared" si="90"/>
        <v>4.2857142857142858E-2</v>
      </c>
      <c r="AC438" t="str">
        <f t="shared" si="91"/>
        <v>Medium (21-40%)</v>
      </c>
      <c r="AD438" t="str">
        <f t="shared" si="92"/>
        <v>Premium ($500+)</v>
      </c>
      <c r="AE438" t="str">
        <f t="shared" si="93"/>
        <v>Medium (3-5 units)</v>
      </c>
      <c r="AF438" t="str">
        <f t="shared" si="94"/>
        <v>Profitable</v>
      </c>
      <c r="AG438" t="str">
        <f t="shared" si="95"/>
        <v>Low Margin</v>
      </c>
      <c r="AH438" t="str">
        <f t="shared" si="96"/>
        <v>Repeat Customer</v>
      </c>
      <c r="AI438" t="str">
        <f t="shared" si="97"/>
        <v>Fast (&lt;=2 days)</v>
      </c>
    </row>
    <row r="439" spans="1:35" ht="15" customHeight="1" x14ac:dyDescent="0.3">
      <c r="A439">
        <v>438</v>
      </c>
      <c r="B439" t="s">
        <v>1714</v>
      </c>
      <c r="C439" s="12">
        <v>42533</v>
      </c>
      <c r="D439" s="12">
        <v>42535</v>
      </c>
      <c r="E439" t="s">
        <v>206</v>
      </c>
      <c r="F439" t="s">
        <v>1715</v>
      </c>
      <c r="G439" t="s">
        <v>1716</v>
      </c>
      <c r="H439" t="s">
        <v>285</v>
      </c>
      <c r="I439" t="s">
        <v>210</v>
      </c>
      <c r="J439" t="s">
        <v>486</v>
      </c>
      <c r="K439" t="s">
        <v>394</v>
      </c>
      <c r="L439">
        <v>60623</v>
      </c>
      <c r="M439" t="s">
        <v>288</v>
      </c>
      <c r="N439" t="s">
        <v>1437</v>
      </c>
      <c r="O439" t="s">
        <v>229</v>
      </c>
      <c r="P439" t="s">
        <v>273</v>
      </c>
      <c r="Q439" t="s">
        <v>1630</v>
      </c>
      <c r="R439" s="13">
        <v>313.488</v>
      </c>
      <c r="S439">
        <v>7</v>
      </c>
      <c r="T439" s="14">
        <v>0.2</v>
      </c>
      <c r="U439" s="13">
        <v>113.63939999999999</v>
      </c>
      <c r="V439">
        <f t="shared" si="84"/>
        <v>2016</v>
      </c>
      <c r="W439" t="str">
        <f t="shared" si="85"/>
        <v>Jun</v>
      </c>
      <c r="X439" t="str">
        <f t="shared" si="86"/>
        <v>Q2</v>
      </c>
      <c r="Y439" t="str">
        <f t="shared" si="87"/>
        <v>Sun</v>
      </c>
      <c r="Z439" s="16">
        <f t="shared" si="88"/>
        <v>2</v>
      </c>
      <c r="AA439" s="13">
        <f t="shared" si="89"/>
        <v>44.783999999999999</v>
      </c>
      <c r="AB439" s="14">
        <f t="shared" si="90"/>
        <v>0.36249999999999999</v>
      </c>
      <c r="AC439" t="str">
        <f t="shared" si="91"/>
        <v>Low (1-20%)</v>
      </c>
      <c r="AD439" t="str">
        <f t="shared" si="92"/>
        <v>High ($200-$500)</v>
      </c>
      <c r="AE439" t="str">
        <f t="shared" si="93"/>
        <v>Large (6+ units)</v>
      </c>
      <c r="AF439" t="str">
        <f t="shared" si="94"/>
        <v>Profitable</v>
      </c>
      <c r="AG439" t="str">
        <f t="shared" si="95"/>
        <v>High Margin</v>
      </c>
      <c r="AH439" t="str">
        <f t="shared" si="96"/>
        <v>Repeat Customer</v>
      </c>
      <c r="AI439" t="str">
        <f t="shared" si="97"/>
        <v>Fast (&lt;=2 days)</v>
      </c>
    </row>
    <row r="440" spans="1:35" ht="15" customHeight="1" x14ac:dyDescent="0.3">
      <c r="A440">
        <v>439</v>
      </c>
      <c r="B440" t="s">
        <v>1719</v>
      </c>
      <c r="C440" s="12">
        <v>42993</v>
      </c>
      <c r="D440" s="12">
        <v>42997</v>
      </c>
      <c r="E440" t="s">
        <v>233</v>
      </c>
      <c r="F440" t="s">
        <v>1720</v>
      </c>
      <c r="G440" t="s">
        <v>1721</v>
      </c>
      <c r="H440" t="s">
        <v>224</v>
      </c>
      <c r="I440" t="s">
        <v>210</v>
      </c>
      <c r="J440" t="s">
        <v>367</v>
      </c>
      <c r="K440" t="s">
        <v>287</v>
      </c>
      <c r="L440">
        <v>77070</v>
      </c>
      <c r="M440" t="s">
        <v>288</v>
      </c>
      <c r="N440" t="s">
        <v>1722</v>
      </c>
      <c r="O440" t="s">
        <v>229</v>
      </c>
      <c r="P440" t="s">
        <v>273</v>
      </c>
      <c r="Q440" t="s">
        <v>1723</v>
      </c>
      <c r="R440" s="13">
        <v>31.872</v>
      </c>
      <c r="S440">
        <v>8</v>
      </c>
      <c r="T440" s="14">
        <v>0.2</v>
      </c>
      <c r="U440" s="13">
        <v>11.553599999999999</v>
      </c>
      <c r="V440">
        <f t="shared" si="84"/>
        <v>2017</v>
      </c>
      <c r="W440" t="str">
        <f t="shared" si="85"/>
        <v>Sep</v>
      </c>
      <c r="X440" t="str">
        <f t="shared" si="86"/>
        <v>Q3</v>
      </c>
      <c r="Y440" t="str">
        <f t="shared" si="87"/>
        <v>Fri</v>
      </c>
      <c r="Z440" s="16">
        <f t="shared" si="88"/>
        <v>4</v>
      </c>
      <c r="AA440" s="13">
        <f t="shared" si="89"/>
        <v>3.984</v>
      </c>
      <c r="AB440" s="14">
        <f t="shared" si="90"/>
        <v>0.36249999999999999</v>
      </c>
      <c r="AC440" t="str">
        <f t="shared" si="91"/>
        <v>Low (1-20%)</v>
      </c>
      <c r="AD440" t="str">
        <f t="shared" si="92"/>
        <v>Low (&lt;$50)</v>
      </c>
      <c r="AE440" t="str">
        <f t="shared" si="93"/>
        <v>Large (6+ units)</v>
      </c>
      <c r="AF440" t="str">
        <f t="shared" si="94"/>
        <v>Profitable</v>
      </c>
      <c r="AG440" t="str">
        <f t="shared" si="95"/>
        <v>High Margin</v>
      </c>
      <c r="AH440" t="str">
        <f t="shared" si="96"/>
        <v>Single Purchase</v>
      </c>
      <c r="AI440" t="str">
        <f t="shared" si="97"/>
        <v>Standard (3-5 days)</v>
      </c>
    </row>
    <row r="441" spans="1:35" ht="15" customHeight="1" x14ac:dyDescent="0.3">
      <c r="A441">
        <v>440</v>
      </c>
      <c r="B441" t="s">
        <v>1724</v>
      </c>
      <c r="C441" s="12">
        <v>42755</v>
      </c>
      <c r="D441" s="12">
        <v>42758</v>
      </c>
      <c r="E441" t="s">
        <v>206</v>
      </c>
      <c r="F441" t="s">
        <v>664</v>
      </c>
      <c r="G441" t="s">
        <v>665</v>
      </c>
      <c r="H441" t="s">
        <v>224</v>
      </c>
      <c r="I441" t="s">
        <v>210</v>
      </c>
      <c r="J441" t="s">
        <v>449</v>
      </c>
      <c r="K441" t="s">
        <v>450</v>
      </c>
      <c r="L441">
        <v>10024</v>
      </c>
      <c r="M441" t="s">
        <v>331</v>
      </c>
      <c r="N441" t="s">
        <v>1725</v>
      </c>
      <c r="O441" t="s">
        <v>215</v>
      </c>
      <c r="P441" t="s">
        <v>219</v>
      </c>
      <c r="Q441" t="s">
        <v>1726</v>
      </c>
      <c r="R441" s="13">
        <v>207.846</v>
      </c>
      <c r="S441">
        <v>3</v>
      </c>
      <c r="T441" s="14">
        <v>0.1</v>
      </c>
      <c r="U441" s="13">
        <v>2.3093999999999899</v>
      </c>
      <c r="V441">
        <f t="shared" si="84"/>
        <v>2017</v>
      </c>
      <c r="W441" t="str">
        <f t="shared" si="85"/>
        <v>Jan</v>
      </c>
      <c r="X441" t="str">
        <f t="shared" si="86"/>
        <v>Q1</v>
      </c>
      <c r="Y441" t="str">
        <f t="shared" si="87"/>
        <v>Fri</v>
      </c>
      <c r="Z441" s="16">
        <f t="shared" si="88"/>
        <v>3</v>
      </c>
      <c r="AA441" s="13">
        <f t="shared" si="89"/>
        <v>69.281999999999996</v>
      </c>
      <c r="AB441" s="14">
        <f t="shared" si="90"/>
        <v>1.1111111111111063E-2</v>
      </c>
      <c r="AC441" t="str">
        <f t="shared" si="91"/>
        <v>Low (1-20%)</v>
      </c>
      <c r="AD441" t="str">
        <f t="shared" si="92"/>
        <v>High ($200-$500)</v>
      </c>
      <c r="AE441" t="str">
        <f t="shared" si="93"/>
        <v>Medium (3-5 units)</v>
      </c>
      <c r="AF441" t="str">
        <f t="shared" si="94"/>
        <v>Profitable</v>
      </c>
      <c r="AG441" t="str">
        <f t="shared" si="95"/>
        <v>Low Margin</v>
      </c>
      <c r="AH441" t="str">
        <f t="shared" si="96"/>
        <v>Repeat Customer</v>
      </c>
      <c r="AI441" t="str">
        <f t="shared" si="97"/>
        <v>Standard (3-5 days)</v>
      </c>
    </row>
    <row r="442" spans="1:35" ht="15" customHeight="1" x14ac:dyDescent="0.3">
      <c r="A442">
        <v>441</v>
      </c>
      <c r="B442" t="s">
        <v>1727</v>
      </c>
      <c r="C442" s="12">
        <v>42618</v>
      </c>
      <c r="D442" s="12">
        <v>42620</v>
      </c>
      <c r="E442" t="s">
        <v>206</v>
      </c>
      <c r="F442" t="s">
        <v>294</v>
      </c>
      <c r="G442" t="s">
        <v>295</v>
      </c>
      <c r="H442" t="s">
        <v>209</v>
      </c>
      <c r="I442" t="s">
        <v>210</v>
      </c>
      <c r="J442" t="s">
        <v>1065</v>
      </c>
      <c r="K442" t="s">
        <v>421</v>
      </c>
      <c r="L442">
        <v>48227</v>
      </c>
      <c r="M442" t="s">
        <v>288</v>
      </c>
      <c r="N442" t="s">
        <v>1728</v>
      </c>
      <c r="O442" t="s">
        <v>215</v>
      </c>
      <c r="P442" t="s">
        <v>248</v>
      </c>
      <c r="Q442" t="s">
        <v>1729</v>
      </c>
      <c r="R442" s="13">
        <v>12.22</v>
      </c>
      <c r="S442">
        <v>1</v>
      </c>
      <c r="T442" s="14">
        <v>0</v>
      </c>
      <c r="U442" s="13">
        <v>3.6659999999999999</v>
      </c>
      <c r="V442">
        <f t="shared" si="84"/>
        <v>2016</v>
      </c>
      <c r="W442" t="str">
        <f t="shared" si="85"/>
        <v>Sep</v>
      </c>
      <c r="X442" t="str">
        <f t="shared" si="86"/>
        <v>Q3</v>
      </c>
      <c r="Y442" t="str">
        <f t="shared" si="87"/>
        <v>Mon</v>
      </c>
      <c r="Z442" s="16">
        <f t="shared" si="88"/>
        <v>2</v>
      </c>
      <c r="AA442" s="13">
        <f t="shared" si="89"/>
        <v>12.22</v>
      </c>
      <c r="AB442" s="14">
        <f t="shared" si="90"/>
        <v>0.3</v>
      </c>
      <c r="AC442" t="str">
        <f t="shared" si="91"/>
        <v>No Discount</v>
      </c>
      <c r="AD442" t="str">
        <f t="shared" si="92"/>
        <v>Low (&lt;$50)</v>
      </c>
      <c r="AE442" t="str">
        <f t="shared" si="93"/>
        <v>Small (1-2 units)</v>
      </c>
      <c r="AF442" t="str">
        <f t="shared" si="94"/>
        <v>Profitable</v>
      </c>
      <c r="AG442" t="str">
        <f t="shared" si="95"/>
        <v>High Margin</v>
      </c>
      <c r="AH442" t="str">
        <f t="shared" si="96"/>
        <v>Repeat Customer</v>
      </c>
      <c r="AI442" t="str">
        <f t="shared" si="97"/>
        <v>Fast (&lt;=2 days)</v>
      </c>
    </row>
    <row r="443" spans="1:35" ht="15" customHeight="1" x14ac:dyDescent="0.3">
      <c r="A443">
        <v>442</v>
      </c>
      <c r="B443" t="s">
        <v>1727</v>
      </c>
      <c r="C443" s="12">
        <v>42618</v>
      </c>
      <c r="D443" s="12">
        <v>42620</v>
      </c>
      <c r="E443" t="s">
        <v>206</v>
      </c>
      <c r="F443" t="s">
        <v>294</v>
      </c>
      <c r="G443" t="s">
        <v>295</v>
      </c>
      <c r="H443" t="s">
        <v>209</v>
      </c>
      <c r="I443" t="s">
        <v>210</v>
      </c>
      <c r="J443" t="s">
        <v>1065</v>
      </c>
      <c r="K443" t="s">
        <v>421</v>
      </c>
      <c r="L443">
        <v>48227</v>
      </c>
      <c r="M443" t="s">
        <v>288</v>
      </c>
      <c r="N443" t="s">
        <v>1730</v>
      </c>
      <c r="O443" t="s">
        <v>229</v>
      </c>
      <c r="P443" t="s">
        <v>242</v>
      </c>
      <c r="Q443" t="s">
        <v>1731</v>
      </c>
      <c r="R443" s="13">
        <v>194.94</v>
      </c>
      <c r="S443">
        <v>3</v>
      </c>
      <c r="T443" s="14">
        <v>0</v>
      </c>
      <c r="U443" s="13">
        <v>23.392800000000001</v>
      </c>
      <c r="V443">
        <f t="shared" si="84"/>
        <v>2016</v>
      </c>
      <c r="W443" t="str">
        <f t="shared" si="85"/>
        <v>Sep</v>
      </c>
      <c r="X443" t="str">
        <f t="shared" si="86"/>
        <v>Q3</v>
      </c>
      <c r="Y443" t="str">
        <f t="shared" si="87"/>
        <v>Mon</v>
      </c>
      <c r="Z443" s="16">
        <f t="shared" si="88"/>
        <v>2</v>
      </c>
      <c r="AA443" s="13">
        <f t="shared" si="89"/>
        <v>64.98</v>
      </c>
      <c r="AB443" s="14">
        <f t="shared" si="90"/>
        <v>0.12000000000000001</v>
      </c>
      <c r="AC443" t="str">
        <f t="shared" si="91"/>
        <v>No Discount</v>
      </c>
      <c r="AD443" t="str">
        <f t="shared" si="92"/>
        <v>Medium ($50-$200)</v>
      </c>
      <c r="AE443" t="str">
        <f t="shared" si="93"/>
        <v>Medium (3-5 units)</v>
      </c>
      <c r="AF443" t="str">
        <f t="shared" si="94"/>
        <v>Profitable</v>
      </c>
      <c r="AG443" t="str">
        <f t="shared" si="95"/>
        <v>Healthy Margin</v>
      </c>
      <c r="AH443" t="str">
        <f t="shared" si="96"/>
        <v>Repeat Customer</v>
      </c>
      <c r="AI443" t="str">
        <f t="shared" si="97"/>
        <v>Fast (&lt;=2 days)</v>
      </c>
    </row>
    <row r="444" spans="1:35" ht="15" customHeight="1" x14ac:dyDescent="0.3">
      <c r="A444">
        <v>443</v>
      </c>
      <c r="B444" t="s">
        <v>1727</v>
      </c>
      <c r="C444" s="12">
        <v>42618</v>
      </c>
      <c r="D444" s="12">
        <v>42620</v>
      </c>
      <c r="E444" t="s">
        <v>206</v>
      </c>
      <c r="F444" t="s">
        <v>294</v>
      </c>
      <c r="G444" t="s">
        <v>295</v>
      </c>
      <c r="H444" t="s">
        <v>209</v>
      </c>
      <c r="I444" t="s">
        <v>210</v>
      </c>
      <c r="J444" t="s">
        <v>1065</v>
      </c>
      <c r="K444" t="s">
        <v>421</v>
      </c>
      <c r="L444">
        <v>48227</v>
      </c>
      <c r="M444" t="s">
        <v>288</v>
      </c>
      <c r="N444" t="s">
        <v>1732</v>
      </c>
      <c r="O444" t="s">
        <v>229</v>
      </c>
      <c r="P444" t="s">
        <v>242</v>
      </c>
      <c r="Q444" t="s">
        <v>1733</v>
      </c>
      <c r="R444" s="13">
        <v>70.95</v>
      </c>
      <c r="S444">
        <v>3</v>
      </c>
      <c r="T444" s="14">
        <v>0</v>
      </c>
      <c r="U444" s="13">
        <v>20.575500000000002</v>
      </c>
      <c r="V444">
        <f t="shared" si="84"/>
        <v>2016</v>
      </c>
      <c r="W444" t="str">
        <f t="shared" si="85"/>
        <v>Sep</v>
      </c>
      <c r="X444" t="str">
        <f t="shared" si="86"/>
        <v>Q3</v>
      </c>
      <c r="Y444" t="str">
        <f t="shared" si="87"/>
        <v>Mon</v>
      </c>
      <c r="Z444" s="16">
        <f t="shared" si="88"/>
        <v>2</v>
      </c>
      <c r="AA444" s="13">
        <f t="shared" si="89"/>
        <v>23.650000000000002</v>
      </c>
      <c r="AB444" s="14">
        <f t="shared" si="90"/>
        <v>0.29000000000000004</v>
      </c>
      <c r="AC444" t="str">
        <f t="shared" si="91"/>
        <v>No Discount</v>
      </c>
      <c r="AD444" t="str">
        <f t="shared" si="92"/>
        <v>Medium ($50-$200)</v>
      </c>
      <c r="AE444" t="str">
        <f t="shared" si="93"/>
        <v>Medium (3-5 units)</v>
      </c>
      <c r="AF444" t="str">
        <f t="shared" si="94"/>
        <v>Profitable</v>
      </c>
      <c r="AG444" t="str">
        <f t="shared" si="95"/>
        <v>High Margin</v>
      </c>
      <c r="AH444" t="str">
        <f t="shared" si="96"/>
        <v>Repeat Customer</v>
      </c>
      <c r="AI444" t="str">
        <f t="shared" si="97"/>
        <v>Fast (&lt;=2 days)</v>
      </c>
    </row>
    <row r="445" spans="1:35" ht="15" customHeight="1" x14ac:dyDescent="0.3">
      <c r="A445">
        <v>444</v>
      </c>
      <c r="B445" t="s">
        <v>1727</v>
      </c>
      <c r="C445" s="12">
        <v>42618</v>
      </c>
      <c r="D445" s="12">
        <v>42620</v>
      </c>
      <c r="E445" t="s">
        <v>206</v>
      </c>
      <c r="F445" t="s">
        <v>294</v>
      </c>
      <c r="G445" t="s">
        <v>295</v>
      </c>
      <c r="H445" t="s">
        <v>209</v>
      </c>
      <c r="I445" t="s">
        <v>210</v>
      </c>
      <c r="J445" t="s">
        <v>1065</v>
      </c>
      <c r="K445" t="s">
        <v>421</v>
      </c>
      <c r="L445">
        <v>48227</v>
      </c>
      <c r="M445" t="s">
        <v>288</v>
      </c>
      <c r="N445" t="s">
        <v>1734</v>
      </c>
      <c r="O445" t="s">
        <v>229</v>
      </c>
      <c r="P445" t="s">
        <v>273</v>
      </c>
      <c r="Q445" t="s">
        <v>1735</v>
      </c>
      <c r="R445" s="13">
        <v>91.36</v>
      </c>
      <c r="S445">
        <v>4</v>
      </c>
      <c r="T445" s="14">
        <v>0</v>
      </c>
      <c r="U445" s="13">
        <v>42.025599999999997</v>
      </c>
      <c r="V445">
        <f t="shared" si="84"/>
        <v>2016</v>
      </c>
      <c r="W445" t="str">
        <f t="shared" si="85"/>
        <v>Sep</v>
      </c>
      <c r="X445" t="str">
        <f t="shared" si="86"/>
        <v>Q3</v>
      </c>
      <c r="Y445" t="str">
        <f t="shared" si="87"/>
        <v>Mon</v>
      </c>
      <c r="Z445" s="16">
        <f t="shared" si="88"/>
        <v>2</v>
      </c>
      <c r="AA445" s="13">
        <f t="shared" si="89"/>
        <v>22.84</v>
      </c>
      <c r="AB445" s="14">
        <f t="shared" si="90"/>
        <v>0.45999999999999996</v>
      </c>
      <c r="AC445" t="str">
        <f t="shared" si="91"/>
        <v>No Discount</v>
      </c>
      <c r="AD445" t="str">
        <f t="shared" si="92"/>
        <v>Medium ($50-$200)</v>
      </c>
      <c r="AE445" t="str">
        <f t="shared" si="93"/>
        <v>Medium (3-5 units)</v>
      </c>
      <c r="AF445" t="str">
        <f t="shared" si="94"/>
        <v>Profitable</v>
      </c>
      <c r="AG445" t="str">
        <f t="shared" si="95"/>
        <v>High Margin</v>
      </c>
      <c r="AH445" t="str">
        <f t="shared" si="96"/>
        <v>Repeat Customer</v>
      </c>
      <c r="AI445" t="str">
        <f t="shared" si="97"/>
        <v>Fast (&lt;=2 days)</v>
      </c>
    </row>
    <row r="446" spans="1:35" ht="15" customHeight="1" x14ac:dyDescent="0.3">
      <c r="A446">
        <v>445</v>
      </c>
      <c r="B446" t="s">
        <v>1727</v>
      </c>
      <c r="C446" s="12">
        <v>42618</v>
      </c>
      <c r="D446" s="12">
        <v>42620</v>
      </c>
      <c r="E446" t="s">
        <v>206</v>
      </c>
      <c r="F446" t="s">
        <v>294</v>
      </c>
      <c r="G446" t="s">
        <v>295</v>
      </c>
      <c r="H446" t="s">
        <v>209</v>
      </c>
      <c r="I446" t="s">
        <v>210</v>
      </c>
      <c r="J446" t="s">
        <v>1065</v>
      </c>
      <c r="K446" t="s">
        <v>421</v>
      </c>
      <c r="L446">
        <v>48227</v>
      </c>
      <c r="M446" t="s">
        <v>288</v>
      </c>
      <c r="N446" t="s">
        <v>1736</v>
      </c>
      <c r="O446" t="s">
        <v>215</v>
      </c>
      <c r="P446" t="s">
        <v>219</v>
      </c>
      <c r="Q446" t="s">
        <v>1737</v>
      </c>
      <c r="R446" s="13">
        <v>242.94</v>
      </c>
      <c r="S446">
        <v>3</v>
      </c>
      <c r="T446" s="14">
        <v>0</v>
      </c>
      <c r="U446" s="13">
        <v>29.152799999999999</v>
      </c>
      <c r="V446">
        <f t="shared" si="84"/>
        <v>2016</v>
      </c>
      <c r="W446" t="str">
        <f t="shared" si="85"/>
        <v>Sep</v>
      </c>
      <c r="X446" t="str">
        <f t="shared" si="86"/>
        <v>Q3</v>
      </c>
      <c r="Y446" t="str">
        <f t="shared" si="87"/>
        <v>Mon</v>
      </c>
      <c r="Z446" s="16">
        <f t="shared" si="88"/>
        <v>2</v>
      </c>
      <c r="AA446" s="13">
        <f t="shared" si="89"/>
        <v>80.98</v>
      </c>
      <c r="AB446" s="14">
        <f t="shared" si="90"/>
        <v>0.12</v>
      </c>
      <c r="AC446" t="str">
        <f t="shared" si="91"/>
        <v>No Discount</v>
      </c>
      <c r="AD446" t="str">
        <f t="shared" si="92"/>
        <v>High ($200-$500)</v>
      </c>
      <c r="AE446" t="str">
        <f t="shared" si="93"/>
        <v>Medium (3-5 units)</v>
      </c>
      <c r="AF446" t="str">
        <f t="shared" si="94"/>
        <v>Profitable</v>
      </c>
      <c r="AG446" t="str">
        <f t="shared" si="95"/>
        <v>Healthy Margin</v>
      </c>
      <c r="AH446" t="str">
        <f t="shared" si="96"/>
        <v>Repeat Customer</v>
      </c>
      <c r="AI446" t="str">
        <f t="shared" si="97"/>
        <v>Fast (&lt;=2 days)</v>
      </c>
    </row>
    <row r="447" spans="1:35" ht="15" customHeight="1" x14ac:dyDescent="0.3">
      <c r="A447">
        <v>446</v>
      </c>
      <c r="B447" t="s">
        <v>1727</v>
      </c>
      <c r="C447" s="12">
        <v>42618</v>
      </c>
      <c r="D447" s="12">
        <v>42620</v>
      </c>
      <c r="E447" t="s">
        <v>206</v>
      </c>
      <c r="F447" t="s">
        <v>294</v>
      </c>
      <c r="G447" t="s">
        <v>295</v>
      </c>
      <c r="H447" t="s">
        <v>209</v>
      </c>
      <c r="I447" t="s">
        <v>210</v>
      </c>
      <c r="J447" t="s">
        <v>1065</v>
      </c>
      <c r="K447" t="s">
        <v>421</v>
      </c>
      <c r="L447">
        <v>48227</v>
      </c>
      <c r="M447" t="s">
        <v>288</v>
      </c>
      <c r="N447" t="s">
        <v>1738</v>
      </c>
      <c r="O447" t="s">
        <v>229</v>
      </c>
      <c r="P447" t="s">
        <v>230</v>
      </c>
      <c r="Q447" t="s">
        <v>1739</v>
      </c>
      <c r="R447" s="13">
        <v>22.05</v>
      </c>
      <c r="S447">
        <v>7</v>
      </c>
      <c r="T447" s="14">
        <v>0</v>
      </c>
      <c r="U447" s="13">
        <v>10.584</v>
      </c>
      <c r="V447">
        <f t="shared" si="84"/>
        <v>2016</v>
      </c>
      <c r="W447" t="str">
        <f t="shared" si="85"/>
        <v>Sep</v>
      </c>
      <c r="X447" t="str">
        <f t="shared" si="86"/>
        <v>Q3</v>
      </c>
      <c r="Y447" t="str">
        <f t="shared" si="87"/>
        <v>Mon</v>
      </c>
      <c r="Z447" s="16">
        <f t="shared" si="88"/>
        <v>2</v>
      </c>
      <c r="AA447" s="13">
        <f t="shared" si="89"/>
        <v>3.15</v>
      </c>
      <c r="AB447" s="14">
        <f t="shared" si="90"/>
        <v>0.48</v>
      </c>
      <c r="AC447" t="str">
        <f t="shared" si="91"/>
        <v>No Discount</v>
      </c>
      <c r="AD447" t="str">
        <f t="shared" si="92"/>
        <v>Low (&lt;$50)</v>
      </c>
      <c r="AE447" t="str">
        <f t="shared" si="93"/>
        <v>Large (6+ units)</v>
      </c>
      <c r="AF447" t="str">
        <f t="shared" si="94"/>
        <v>Profitable</v>
      </c>
      <c r="AG447" t="str">
        <f t="shared" si="95"/>
        <v>High Margin</v>
      </c>
      <c r="AH447" t="str">
        <f t="shared" si="96"/>
        <v>Repeat Customer</v>
      </c>
      <c r="AI447" t="str">
        <f t="shared" si="97"/>
        <v>Fast (&lt;=2 days)</v>
      </c>
    </row>
    <row r="448" spans="1:35" ht="15" customHeight="1" x14ac:dyDescent="0.3">
      <c r="A448">
        <v>447</v>
      </c>
      <c r="B448" t="s">
        <v>1740</v>
      </c>
      <c r="C448" s="12">
        <v>42814</v>
      </c>
      <c r="D448" s="12">
        <v>42819</v>
      </c>
      <c r="E448" t="s">
        <v>206</v>
      </c>
      <c r="F448" t="s">
        <v>1741</v>
      </c>
      <c r="G448" t="s">
        <v>1742</v>
      </c>
      <c r="H448" t="s">
        <v>209</v>
      </c>
      <c r="I448" t="s">
        <v>210</v>
      </c>
      <c r="J448" t="s">
        <v>680</v>
      </c>
      <c r="K448" t="s">
        <v>437</v>
      </c>
      <c r="L448">
        <v>47201</v>
      </c>
      <c r="M448" t="s">
        <v>288</v>
      </c>
      <c r="N448" t="s">
        <v>1743</v>
      </c>
      <c r="O448" t="s">
        <v>215</v>
      </c>
      <c r="P448" t="s">
        <v>248</v>
      </c>
      <c r="Q448" t="s">
        <v>1744</v>
      </c>
      <c r="R448" s="13">
        <v>2.91</v>
      </c>
      <c r="S448">
        <v>1</v>
      </c>
      <c r="T448" s="14">
        <v>0</v>
      </c>
      <c r="U448" s="13">
        <v>1.3676999999999999</v>
      </c>
      <c r="V448">
        <f t="shared" si="84"/>
        <v>2017</v>
      </c>
      <c r="W448" t="str">
        <f t="shared" si="85"/>
        <v>Mar</v>
      </c>
      <c r="X448" t="str">
        <f t="shared" si="86"/>
        <v>Q1</v>
      </c>
      <c r="Y448" t="str">
        <f t="shared" si="87"/>
        <v>Mon</v>
      </c>
      <c r="Z448" s="16">
        <f t="shared" si="88"/>
        <v>5</v>
      </c>
      <c r="AA448" s="13">
        <f t="shared" si="89"/>
        <v>2.91</v>
      </c>
      <c r="AB448" s="14">
        <f t="shared" si="90"/>
        <v>0.47</v>
      </c>
      <c r="AC448" t="str">
        <f t="shared" si="91"/>
        <v>No Discount</v>
      </c>
      <c r="AD448" t="str">
        <f t="shared" si="92"/>
        <v>Low (&lt;$50)</v>
      </c>
      <c r="AE448" t="str">
        <f t="shared" si="93"/>
        <v>Small (1-2 units)</v>
      </c>
      <c r="AF448" t="str">
        <f t="shared" si="94"/>
        <v>Profitable</v>
      </c>
      <c r="AG448" t="str">
        <f t="shared" si="95"/>
        <v>High Margin</v>
      </c>
      <c r="AH448" t="str">
        <f t="shared" si="96"/>
        <v>Single Purchase</v>
      </c>
      <c r="AI448" t="str">
        <f t="shared" si="97"/>
        <v>Standard (3-5 days)</v>
      </c>
    </row>
    <row r="449" spans="1:35" ht="15" customHeight="1" x14ac:dyDescent="0.3">
      <c r="A449">
        <v>448</v>
      </c>
      <c r="B449" t="s">
        <v>1745</v>
      </c>
      <c r="C449" s="12">
        <v>42461</v>
      </c>
      <c r="D449" s="12">
        <v>42463</v>
      </c>
      <c r="E449" t="s">
        <v>206</v>
      </c>
      <c r="F449" t="s">
        <v>1746</v>
      </c>
      <c r="G449" t="s">
        <v>1747</v>
      </c>
      <c r="H449" t="s">
        <v>209</v>
      </c>
      <c r="I449" t="s">
        <v>210</v>
      </c>
      <c r="J449" t="s">
        <v>1748</v>
      </c>
      <c r="K449" t="s">
        <v>450</v>
      </c>
      <c r="L449">
        <v>13021</v>
      </c>
      <c r="M449" t="s">
        <v>331</v>
      </c>
      <c r="N449" t="s">
        <v>1749</v>
      </c>
      <c r="O449" t="s">
        <v>229</v>
      </c>
      <c r="P449" t="s">
        <v>251</v>
      </c>
      <c r="Q449" t="s">
        <v>1750</v>
      </c>
      <c r="R449" s="13">
        <v>59.52</v>
      </c>
      <c r="S449">
        <v>3</v>
      </c>
      <c r="T449" s="14">
        <v>0</v>
      </c>
      <c r="U449" s="13">
        <v>15.475199999999999</v>
      </c>
      <c r="V449">
        <f t="shared" si="84"/>
        <v>2016</v>
      </c>
      <c r="W449" t="str">
        <f t="shared" si="85"/>
        <v>Apr</v>
      </c>
      <c r="X449" t="str">
        <f t="shared" si="86"/>
        <v>Q2</v>
      </c>
      <c r="Y449" t="str">
        <f t="shared" si="87"/>
        <v>Fri</v>
      </c>
      <c r="Z449" s="16">
        <f t="shared" si="88"/>
        <v>2</v>
      </c>
      <c r="AA449" s="13">
        <f t="shared" si="89"/>
        <v>19.84</v>
      </c>
      <c r="AB449" s="14">
        <f t="shared" si="90"/>
        <v>0.25999999999999995</v>
      </c>
      <c r="AC449" t="str">
        <f t="shared" si="91"/>
        <v>No Discount</v>
      </c>
      <c r="AD449" t="str">
        <f t="shared" si="92"/>
        <v>Medium ($50-$200)</v>
      </c>
      <c r="AE449" t="str">
        <f t="shared" si="93"/>
        <v>Medium (3-5 units)</v>
      </c>
      <c r="AF449" t="str">
        <f t="shared" si="94"/>
        <v>Profitable</v>
      </c>
      <c r="AG449" t="str">
        <f t="shared" si="95"/>
        <v>High Margin</v>
      </c>
      <c r="AH449" t="str">
        <f t="shared" si="96"/>
        <v>Repeat Customer</v>
      </c>
      <c r="AI449" t="str">
        <f t="shared" si="97"/>
        <v>Fast (&lt;=2 days)</v>
      </c>
    </row>
    <row r="450" spans="1:35" ht="15" customHeight="1" x14ac:dyDescent="0.3">
      <c r="A450">
        <v>449</v>
      </c>
      <c r="B450" t="s">
        <v>1745</v>
      </c>
      <c r="C450" s="12">
        <v>42461</v>
      </c>
      <c r="D450" s="12">
        <v>42463</v>
      </c>
      <c r="E450" t="s">
        <v>206</v>
      </c>
      <c r="F450" t="s">
        <v>1746</v>
      </c>
      <c r="G450" t="s">
        <v>1747</v>
      </c>
      <c r="H450" t="s">
        <v>209</v>
      </c>
      <c r="I450" t="s">
        <v>210</v>
      </c>
      <c r="J450" t="s">
        <v>1748</v>
      </c>
      <c r="K450" t="s">
        <v>450</v>
      </c>
      <c r="L450">
        <v>13021</v>
      </c>
      <c r="M450" t="s">
        <v>331</v>
      </c>
      <c r="N450" t="s">
        <v>1751</v>
      </c>
      <c r="O450" t="s">
        <v>229</v>
      </c>
      <c r="P450" t="s">
        <v>242</v>
      </c>
      <c r="Q450" t="s">
        <v>1752</v>
      </c>
      <c r="R450" s="13">
        <v>161.94</v>
      </c>
      <c r="S450">
        <v>3</v>
      </c>
      <c r="T450" s="14">
        <v>0</v>
      </c>
      <c r="U450" s="13">
        <v>9.7163999999999895</v>
      </c>
      <c r="V450">
        <f t="shared" ref="V450:V513" si="98">YEAR(C450)</f>
        <v>2016</v>
      </c>
      <c r="W450" t="str">
        <f t="shared" ref="W450:W513" si="99">TEXT(C450,"mmm")</f>
        <v>Apr</v>
      </c>
      <c r="X450" t="str">
        <f t="shared" ref="X450:X513" si="100">"Q"&amp;ROUNDUP(MONTH(C450)/3,0)</f>
        <v>Q2</v>
      </c>
      <c r="Y450" t="str">
        <f t="shared" ref="Y450:Y513" si="101">TEXT(C450,"ddd")</f>
        <v>Fri</v>
      </c>
      <c r="Z450" s="16">
        <f t="shared" ref="Z450:Z513" si="102">D450-C450</f>
        <v>2</v>
      </c>
      <c r="AA450" s="13">
        <f t="shared" ref="AA450:AA513" si="103">IFERROR(R450/S450,0)</f>
        <v>53.98</v>
      </c>
      <c r="AB450" s="14">
        <f t="shared" ref="AB450:AB513" si="104">IFERROR(U450/R450,0)</f>
        <v>5.9999999999999935E-2</v>
      </c>
      <c r="AC450" t="str">
        <f t="shared" ref="AC450:AC513" si="105">IF(T450=0,"No Discount",IF(T450&lt;=0.2,"Low (1-20%)",IF(T450&lt;=0.4,"Medium (21-40%)","High (40%+)")))</f>
        <v>No Discount</v>
      </c>
      <c r="AD450" t="str">
        <f t="shared" ref="AD450:AD513" si="106">IF(R450&lt;50,"Low (&lt;$50)",IF(R450&lt;200,"Medium ($50-$200)",IF(R450&lt;500,"High ($200-$500)","Premium ($500+)")))</f>
        <v>Medium ($50-$200)</v>
      </c>
      <c r="AE450" t="str">
        <f t="shared" ref="AE450:AE513" si="107">IF(S450&lt;=2,"Small (1-2 units)",IF(S450&lt;=5,"Medium (3-5 units)","Large (6+ units)"))</f>
        <v>Medium (3-5 units)</v>
      </c>
      <c r="AF450" t="str">
        <f t="shared" ref="AF450:AF513" si="108">IF(U450&lt;0,"Loss-Making","Profitable")</f>
        <v>Profitable</v>
      </c>
      <c r="AG450" t="str">
        <f t="shared" ref="AG450:AG513" si="109">IF(AB450&lt;0,"Underperforming",IF(AB450&lt;0.1,"Low Margin",IF(AB450&lt;0.25,"Healthy Margin","High Margin")))</f>
        <v>Low Margin</v>
      </c>
      <c r="AH450" t="str">
        <f t="shared" ref="AH450:AH513" si="110">IF(COUNTIF($F$2:$F$1001,F450)&gt;1,"Repeat Customer","Single Purchase")</f>
        <v>Repeat Customer</v>
      </c>
      <c r="AI450" t="str">
        <f t="shared" ref="AI450:AI513" si="111">IF(Z450&lt;=2,"Fast (&lt;=2 days)",IF(Z450&lt;=5,"Standard (3-5 days)","Slow (6+ days)"))</f>
        <v>Fast (&lt;=2 days)</v>
      </c>
    </row>
    <row r="451" spans="1:35" ht="15" customHeight="1" x14ac:dyDescent="0.3">
      <c r="A451">
        <v>450</v>
      </c>
      <c r="B451" t="s">
        <v>1745</v>
      </c>
      <c r="C451" s="12">
        <v>42461</v>
      </c>
      <c r="D451" s="12">
        <v>42463</v>
      </c>
      <c r="E451" t="s">
        <v>206</v>
      </c>
      <c r="F451" t="s">
        <v>1746</v>
      </c>
      <c r="G451" t="s">
        <v>1747</v>
      </c>
      <c r="H451" t="s">
        <v>209</v>
      </c>
      <c r="I451" t="s">
        <v>210</v>
      </c>
      <c r="J451" t="s">
        <v>1748</v>
      </c>
      <c r="K451" t="s">
        <v>450</v>
      </c>
      <c r="L451">
        <v>13021</v>
      </c>
      <c r="M451" t="s">
        <v>331</v>
      </c>
      <c r="N451" t="s">
        <v>1753</v>
      </c>
      <c r="O451" t="s">
        <v>229</v>
      </c>
      <c r="P451" t="s">
        <v>251</v>
      </c>
      <c r="Q451" t="s">
        <v>1754</v>
      </c>
      <c r="R451" s="13">
        <v>263.88</v>
      </c>
      <c r="S451">
        <v>6</v>
      </c>
      <c r="T451" s="14">
        <v>0</v>
      </c>
      <c r="U451" s="13">
        <v>71.247600000000006</v>
      </c>
      <c r="V451">
        <f t="shared" si="98"/>
        <v>2016</v>
      </c>
      <c r="W451" t="str">
        <f t="shared" si="99"/>
        <v>Apr</v>
      </c>
      <c r="X451" t="str">
        <f t="shared" si="100"/>
        <v>Q2</v>
      </c>
      <c r="Y451" t="str">
        <f t="shared" si="101"/>
        <v>Fri</v>
      </c>
      <c r="Z451" s="16">
        <f t="shared" si="102"/>
        <v>2</v>
      </c>
      <c r="AA451" s="13">
        <f t="shared" si="103"/>
        <v>43.98</v>
      </c>
      <c r="AB451" s="14">
        <f t="shared" si="104"/>
        <v>0.27</v>
      </c>
      <c r="AC451" t="str">
        <f t="shared" si="105"/>
        <v>No Discount</v>
      </c>
      <c r="AD451" t="str">
        <f t="shared" si="106"/>
        <v>High ($200-$500)</v>
      </c>
      <c r="AE451" t="str">
        <f t="shared" si="107"/>
        <v>Large (6+ units)</v>
      </c>
      <c r="AF451" t="str">
        <f t="shared" si="108"/>
        <v>Profitable</v>
      </c>
      <c r="AG451" t="str">
        <f t="shared" si="109"/>
        <v>High Margin</v>
      </c>
      <c r="AH451" t="str">
        <f t="shared" si="110"/>
        <v>Repeat Customer</v>
      </c>
      <c r="AI451" t="str">
        <f t="shared" si="111"/>
        <v>Fast (&lt;=2 days)</v>
      </c>
    </row>
    <row r="452" spans="1:35" ht="15" customHeight="1" x14ac:dyDescent="0.3">
      <c r="A452">
        <v>451</v>
      </c>
      <c r="B452" t="s">
        <v>1745</v>
      </c>
      <c r="C452" s="12">
        <v>42461</v>
      </c>
      <c r="D452" s="12">
        <v>42463</v>
      </c>
      <c r="E452" t="s">
        <v>206</v>
      </c>
      <c r="F452" t="s">
        <v>1746</v>
      </c>
      <c r="G452" t="s">
        <v>1747</v>
      </c>
      <c r="H452" t="s">
        <v>209</v>
      </c>
      <c r="I452" t="s">
        <v>210</v>
      </c>
      <c r="J452" t="s">
        <v>1748</v>
      </c>
      <c r="K452" t="s">
        <v>450</v>
      </c>
      <c r="L452">
        <v>13021</v>
      </c>
      <c r="M452" t="s">
        <v>331</v>
      </c>
      <c r="N452" t="s">
        <v>1755</v>
      </c>
      <c r="O452" t="s">
        <v>229</v>
      </c>
      <c r="P452" t="s">
        <v>251</v>
      </c>
      <c r="Q452" t="s">
        <v>1756</v>
      </c>
      <c r="R452" s="13">
        <v>30.48</v>
      </c>
      <c r="S452">
        <v>3</v>
      </c>
      <c r="T452" s="14">
        <v>0</v>
      </c>
      <c r="U452" s="13">
        <v>7.9248000000000003</v>
      </c>
      <c r="V452">
        <f t="shared" si="98"/>
        <v>2016</v>
      </c>
      <c r="W452" t="str">
        <f t="shared" si="99"/>
        <v>Apr</v>
      </c>
      <c r="X452" t="str">
        <f t="shared" si="100"/>
        <v>Q2</v>
      </c>
      <c r="Y452" t="str">
        <f t="shared" si="101"/>
        <v>Fri</v>
      </c>
      <c r="Z452" s="16">
        <f t="shared" si="102"/>
        <v>2</v>
      </c>
      <c r="AA452" s="13">
        <f t="shared" si="103"/>
        <v>10.16</v>
      </c>
      <c r="AB452" s="14">
        <f t="shared" si="104"/>
        <v>0.26</v>
      </c>
      <c r="AC452" t="str">
        <f t="shared" si="105"/>
        <v>No Discount</v>
      </c>
      <c r="AD452" t="str">
        <f t="shared" si="106"/>
        <v>Low (&lt;$50)</v>
      </c>
      <c r="AE452" t="str">
        <f t="shared" si="107"/>
        <v>Medium (3-5 units)</v>
      </c>
      <c r="AF452" t="str">
        <f t="shared" si="108"/>
        <v>Profitable</v>
      </c>
      <c r="AG452" t="str">
        <f t="shared" si="109"/>
        <v>High Margin</v>
      </c>
      <c r="AH452" t="str">
        <f t="shared" si="110"/>
        <v>Repeat Customer</v>
      </c>
      <c r="AI452" t="str">
        <f t="shared" si="111"/>
        <v>Fast (&lt;=2 days)</v>
      </c>
    </row>
    <row r="453" spans="1:35" ht="15" customHeight="1" x14ac:dyDescent="0.3">
      <c r="A453">
        <v>452</v>
      </c>
      <c r="B453" t="s">
        <v>1745</v>
      </c>
      <c r="C453" s="12">
        <v>42461</v>
      </c>
      <c r="D453" s="12">
        <v>42463</v>
      </c>
      <c r="E453" t="s">
        <v>206</v>
      </c>
      <c r="F453" t="s">
        <v>1746</v>
      </c>
      <c r="G453" t="s">
        <v>1747</v>
      </c>
      <c r="H453" t="s">
        <v>209</v>
      </c>
      <c r="I453" t="s">
        <v>210</v>
      </c>
      <c r="J453" t="s">
        <v>1748</v>
      </c>
      <c r="K453" t="s">
        <v>450</v>
      </c>
      <c r="L453">
        <v>13021</v>
      </c>
      <c r="M453" t="s">
        <v>331</v>
      </c>
      <c r="N453" t="s">
        <v>1757</v>
      </c>
      <c r="O453" t="s">
        <v>229</v>
      </c>
      <c r="P453" t="s">
        <v>251</v>
      </c>
      <c r="Q453" t="s">
        <v>1758</v>
      </c>
      <c r="R453" s="13">
        <v>9.84</v>
      </c>
      <c r="S453">
        <v>3</v>
      </c>
      <c r="T453" s="14">
        <v>0</v>
      </c>
      <c r="U453" s="13">
        <v>2.8536000000000001</v>
      </c>
      <c r="V453">
        <f t="shared" si="98"/>
        <v>2016</v>
      </c>
      <c r="W453" t="str">
        <f t="shared" si="99"/>
        <v>Apr</v>
      </c>
      <c r="X453" t="str">
        <f t="shared" si="100"/>
        <v>Q2</v>
      </c>
      <c r="Y453" t="str">
        <f t="shared" si="101"/>
        <v>Fri</v>
      </c>
      <c r="Z453" s="16">
        <f t="shared" si="102"/>
        <v>2</v>
      </c>
      <c r="AA453" s="13">
        <f t="shared" si="103"/>
        <v>3.28</v>
      </c>
      <c r="AB453" s="14">
        <f t="shared" si="104"/>
        <v>0.29000000000000004</v>
      </c>
      <c r="AC453" t="str">
        <f t="shared" si="105"/>
        <v>No Discount</v>
      </c>
      <c r="AD453" t="str">
        <f t="shared" si="106"/>
        <v>Low (&lt;$50)</v>
      </c>
      <c r="AE453" t="str">
        <f t="shared" si="107"/>
        <v>Medium (3-5 units)</v>
      </c>
      <c r="AF453" t="str">
        <f t="shared" si="108"/>
        <v>Profitable</v>
      </c>
      <c r="AG453" t="str">
        <f t="shared" si="109"/>
        <v>High Margin</v>
      </c>
      <c r="AH453" t="str">
        <f t="shared" si="110"/>
        <v>Repeat Customer</v>
      </c>
      <c r="AI453" t="str">
        <f t="shared" si="111"/>
        <v>Fast (&lt;=2 days)</v>
      </c>
    </row>
    <row r="454" spans="1:35" ht="15" customHeight="1" x14ac:dyDescent="0.3">
      <c r="A454">
        <v>453</v>
      </c>
      <c r="B454" t="s">
        <v>1745</v>
      </c>
      <c r="C454" s="12">
        <v>42461</v>
      </c>
      <c r="D454" s="12">
        <v>42463</v>
      </c>
      <c r="E454" t="s">
        <v>206</v>
      </c>
      <c r="F454" t="s">
        <v>1746</v>
      </c>
      <c r="G454" t="s">
        <v>1747</v>
      </c>
      <c r="H454" t="s">
        <v>209</v>
      </c>
      <c r="I454" t="s">
        <v>210</v>
      </c>
      <c r="J454" t="s">
        <v>1748</v>
      </c>
      <c r="K454" t="s">
        <v>450</v>
      </c>
      <c r="L454">
        <v>13021</v>
      </c>
      <c r="M454" t="s">
        <v>331</v>
      </c>
      <c r="N454" t="s">
        <v>1759</v>
      </c>
      <c r="O454" t="s">
        <v>254</v>
      </c>
      <c r="P454" t="s">
        <v>255</v>
      </c>
      <c r="Q454" t="s">
        <v>1760</v>
      </c>
      <c r="R454" s="13">
        <v>35.119999999999997</v>
      </c>
      <c r="S454">
        <v>4</v>
      </c>
      <c r="T454" s="14">
        <v>0</v>
      </c>
      <c r="U454" s="13">
        <v>9.1311999999999998</v>
      </c>
      <c r="V454">
        <f t="shared" si="98"/>
        <v>2016</v>
      </c>
      <c r="W454" t="str">
        <f t="shared" si="99"/>
        <v>Apr</v>
      </c>
      <c r="X454" t="str">
        <f t="shared" si="100"/>
        <v>Q2</v>
      </c>
      <c r="Y454" t="str">
        <f t="shared" si="101"/>
        <v>Fri</v>
      </c>
      <c r="Z454" s="16">
        <f t="shared" si="102"/>
        <v>2</v>
      </c>
      <c r="AA454" s="13">
        <f t="shared" si="103"/>
        <v>8.7799999999999994</v>
      </c>
      <c r="AB454" s="14">
        <f t="shared" si="104"/>
        <v>0.26</v>
      </c>
      <c r="AC454" t="str">
        <f t="shared" si="105"/>
        <v>No Discount</v>
      </c>
      <c r="AD454" t="str">
        <f t="shared" si="106"/>
        <v>Low (&lt;$50)</v>
      </c>
      <c r="AE454" t="str">
        <f t="shared" si="107"/>
        <v>Medium (3-5 units)</v>
      </c>
      <c r="AF454" t="str">
        <f t="shared" si="108"/>
        <v>Profitable</v>
      </c>
      <c r="AG454" t="str">
        <f t="shared" si="109"/>
        <v>High Margin</v>
      </c>
      <c r="AH454" t="str">
        <f t="shared" si="110"/>
        <v>Repeat Customer</v>
      </c>
      <c r="AI454" t="str">
        <f t="shared" si="111"/>
        <v>Fast (&lt;=2 days)</v>
      </c>
    </row>
    <row r="455" spans="1:35" ht="15" customHeight="1" x14ac:dyDescent="0.3">
      <c r="A455">
        <v>454</v>
      </c>
      <c r="B455" t="s">
        <v>1761</v>
      </c>
      <c r="C455" s="12">
        <v>43028</v>
      </c>
      <c r="D455" s="12">
        <v>43032</v>
      </c>
      <c r="E455" t="s">
        <v>233</v>
      </c>
      <c r="F455" t="s">
        <v>1762</v>
      </c>
      <c r="G455" t="s">
        <v>1763</v>
      </c>
      <c r="H455" t="s">
        <v>224</v>
      </c>
      <c r="I455" t="s">
        <v>210</v>
      </c>
      <c r="J455" t="s">
        <v>986</v>
      </c>
      <c r="K455" t="s">
        <v>681</v>
      </c>
      <c r="L455">
        <v>44312</v>
      </c>
      <c r="M455" t="s">
        <v>331</v>
      </c>
      <c r="N455" t="s">
        <v>263</v>
      </c>
      <c r="O455" t="s">
        <v>215</v>
      </c>
      <c r="P455" t="s">
        <v>239</v>
      </c>
      <c r="Q455" t="s">
        <v>264</v>
      </c>
      <c r="R455" s="13">
        <v>284.36399999999998</v>
      </c>
      <c r="S455">
        <v>2</v>
      </c>
      <c r="T455" s="14">
        <v>0.4</v>
      </c>
      <c r="U455" s="13">
        <v>-75.830400000000097</v>
      </c>
      <c r="V455">
        <f t="shared" si="98"/>
        <v>2017</v>
      </c>
      <c r="W455" t="str">
        <f t="shared" si="99"/>
        <v>Oct</v>
      </c>
      <c r="X455" t="str">
        <f t="shared" si="100"/>
        <v>Q4</v>
      </c>
      <c r="Y455" t="str">
        <f t="shared" si="101"/>
        <v>Fri</v>
      </c>
      <c r="Z455" s="16">
        <f t="shared" si="102"/>
        <v>4</v>
      </c>
      <c r="AA455" s="13">
        <f t="shared" si="103"/>
        <v>142.18199999999999</v>
      </c>
      <c r="AB455" s="14">
        <f t="shared" si="104"/>
        <v>-0.26666666666666705</v>
      </c>
      <c r="AC455" t="str">
        <f t="shared" si="105"/>
        <v>Medium (21-40%)</v>
      </c>
      <c r="AD455" t="str">
        <f t="shared" si="106"/>
        <v>High ($200-$500)</v>
      </c>
      <c r="AE455" t="str">
        <f t="shared" si="107"/>
        <v>Small (1-2 units)</v>
      </c>
      <c r="AF455" t="str">
        <f t="shared" si="108"/>
        <v>Loss-Making</v>
      </c>
      <c r="AG455" t="str">
        <f t="shared" si="109"/>
        <v>Underperforming</v>
      </c>
      <c r="AH455" t="str">
        <f t="shared" si="110"/>
        <v>Repeat Customer</v>
      </c>
      <c r="AI455" t="str">
        <f t="shared" si="111"/>
        <v>Standard (3-5 days)</v>
      </c>
    </row>
    <row r="456" spans="1:35" ht="15" customHeight="1" x14ac:dyDescent="0.3">
      <c r="A456">
        <v>455</v>
      </c>
      <c r="B456" t="s">
        <v>1761</v>
      </c>
      <c r="C456" s="12">
        <v>43028</v>
      </c>
      <c r="D456" s="12">
        <v>43032</v>
      </c>
      <c r="E456" t="s">
        <v>233</v>
      </c>
      <c r="F456" t="s">
        <v>1762</v>
      </c>
      <c r="G456" t="s">
        <v>1763</v>
      </c>
      <c r="H456" t="s">
        <v>224</v>
      </c>
      <c r="I456" t="s">
        <v>210</v>
      </c>
      <c r="J456" t="s">
        <v>986</v>
      </c>
      <c r="K456" t="s">
        <v>681</v>
      </c>
      <c r="L456">
        <v>44312</v>
      </c>
      <c r="M456" t="s">
        <v>331</v>
      </c>
      <c r="N456" t="s">
        <v>1764</v>
      </c>
      <c r="O456" t="s">
        <v>229</v>
      </c>
      <c r="P456" t="s">
        <v>242</v>
      </c>
      <c r="Q456" t="s">
        <v>1765</v>
      </c>
      <c r="R456" s="13">
        <v>665.40800000000002</v>
      </c>
      <c r="S456">
        <v>2</v>
      </c>
      <c r="T456" s="14">
        <v>0.2</v>
      </c>
      <c r="U456" s="13">
        <v>66.540800000000004</v>
      </c>
      <c r="V456">
        <f t="shared" si="98"/>
        <v>2017</v>
      </c>
      <c r="W456" t="str">
        <f t="shared" si="99"/>
        <v>Oct</v>
      </c>
      <c r="X456" t="str">
        <f t="shared" si="100"/>
        <v>Q4</v>
      </c>
      <c r="Y456" t="str">
        <f t="shared" si="101"/>
        <v>Fri</v>
      </c>
      <c r="Z456" s="16">
        <f t="shared" si="102"/>
        <v>4</v>
      </c>
      <c r="AA456" s="13">
        <f t="shared" si="103"/>
        <v>332.70400000000001</v>
      </c>
      <c r="AB456" s="14">
        <f t="shared" si="104"/>
        <v>0.1</v>
      </c>
      <c r="AC456" t="str">
        <f t="shared" si="105"/>
        <v>Low (1-20%)</v>
      </c>
      <c r="AD456" t="str">
        <f t="shared" si="106"/>
        <v>Premium ($500+)</v>
      </c>
      <c r="AE456" t="str">
        <f t="shared" si="107"/>
        <v>Small (1-2 units)</v>
      </c>
      <c r="AF456" t="str">
        <f t="shared" si="108"/>
        <v>Profitable</v>
      </c>
      <c r="AG456" t="str">
        <f t="shared" si="109"/>
        <v>Healthy Margin</v>
      </c>
      <c r="AH456" t="str">
        <f t="shared" si="110"/>
        <v>Repeat Customer</v>
      </c>
      <c r="AI456" t="str">
        <f t="shared" si="111"/>
        <v>Standard (3-5 days)</v>
      </c>
    </row>
    <row r="457" spans="1:35" ht="15" customHeight="1" x14ac:dyDescent="0.3">
      <c r="A457">
        <v>456</v>
      </c>
      <c r="B457" t="s">
        <v>1766</v>
      </c>
      <c r="C457" s="12">
        <v>42717</v>
      </c>
      <c r="D457" s="12">
        <v>42721</v>
      </c>
      <c r="E457" t="s">
        <v>233</v>
      </c>
      <c r="F457" t="s">
        <v>1691</v>
      </c>
      <c r="G457" t="s">
        <v>1692</v>
      </c>
      <c r="H457" t="s">
        <v>224</v>
      </c>
      <c r="I457" t="s">
        <v>210</v>
      </c>
      <c r="J457" t="s">
        <v>1767</v>
      </c>
      <c r="K457" t="s">
        <v>833</v>
      </c>
      <c r="L457">
        <v>73071</v>
      </c>
      <c r="M457" t="s">
        <v>288</v>
      </c>
      <c r="N457" t="s">
        <v>1768</v>
      </c>
      <c r="O457" t="s">
        <v>254</v>
      </c>
      <c r="P457" t="s">
        <v>344</v>
      </c>
      <c r="Q457" t="s">
        <v>1769</v>
      </c>
      <c r="R457" s="13">
        <v>63.88</v>
      </c>
      <c r="S457">
        <v>4</v>
      </c>
      <c r="T457" s="14">
        <v>0</v>
      </c>
      <c r="U457" s="13">
        <v>24.9132</v>
      </c>
      <c r="V457">
        <f t="shared" si="98"/>
        <v>2016</v>
      </c>
      <c r="W457" t="str">
        <f t="shared" si="99"/>
        <v>Dec</v>
      </c>
      <c r="X457" t="str">
        <f t="shared" si="100"/>
        <v>Q4</v>
      </c>
      <c r="Y457" t="str">
        <f t="shared" si="101"/>
        <v>Tue</v>
      </c>
      <c r="Z457" s="16">
        <f t="shared" si="102"/>
        <v>4</v>
      </c>
      <c r="AA457" s="13">
        <f t="shared" si="103"/>
        <v>15.97</v>
      </c>
      <c r="AB457" s="14">
        <f t="shared" si="104"/>
        <v>0.38999999999999996</v>
      </c>
      <c r="AC457" t="str">
        <f t="shared" si="105"/>
        <v>No Discount</v>
      </c>
      <c r="AD457" t="str">
        <f t="shared" si="106"/>
        <v>Medium ($50-$200)</v>
      </c>
      <c r="AE457" t="str">
        <f t="shared" si="107"/>
        <v>Medium (3-5 units)</v>
      </c>
      <c r="AF457" t="str">
        <f t="shared" si="108"/>
        <v>Profitable</v>
      </c>
      <c r="AG457" t="str">
        <f t="shared" si="109"/>
        <v>High Margin</v>
      </c>
      <c r="AH457" t="str">
        <f t="shared" si="110"/>
        <v>Repeat Customer</v>
      </c>
      <c r="AI457" t="str">
        <f t="shared" si="111"/>
        <v>Standard (3-5 days)</v>
      </c>
    </row>
    <row r="458" spans="1:35" ht="15" customHeight="1" x14ac:dyDescent="0.3">
      <c r="A458">
        <v>457</v>
      </c>
      <c r="B458" t="s">
        <v>1770</v>
      </c>
      <c r="C458" s="12">
        <v>41682</v>
      </c>
      <c r="D458" s="12">
        <v>41688</v>
      </c>
      <c r="E458" t="s">
        <v>233</v>
      </c>
      <c r="F458" t="s">
        <v>1771</v>
      </c>
      <c r="G458" t="s">
        <v>1772</v>
      </c>
      <c r="H458" t="s">
        <v>209</v>
      </c>
      <c r="I458" t="s">
        <v>210</v>
      </c>
      <c r="J458" t="s">
        <v>270</v>
      </c>
      <c r="K458" t="s">
        <v>226</v>
      </c>
      <c r="L458">
        <v>94521</v>
      </c>
      <c r="M458" t="s">
        <v>227</v>
      </c>
      <c r="N458" t="s">
        <v>1773</v>
      </c>
      <c r="O458" t="s">
        <v>215</v>
      </c>
      <c r="P458" t="s">
        <v>219</v>
      </c>
      <c r="Q458" t="s">
        <v>1774</v>
      </c>
      <c r="R458" s="13">
        <v>129.56800000000001</v>
      </c>
      <c r="S458">
        <v>2</v>
      </c>
      <c r="T458" s="14">
        <v>0.2</v>
      </c>
      <c r="U458" s="13">
        <v>-24.294</v>
      </c>
      <c r="V458">
        <f t="shared" si="98"/>
        <v>2014</v>
      </c>
      <c r="W458" t="str">
        <f t="shared" si="99"/>
        <v>Feb</v>
      </c>
      <c r="X458" t="str">
        <f t="shared" si="100"/>
        <v>Q1</v>
      </c>
      <c r="Y458" t="str">
        <f t="shared" si="101"/>
        <v>Wed</v>
      </c>
      <c r="Z458" s="16">
        <f t="shared" si="102"/>
        <v>6</v>
      </c>
      <c r="AA458" s="13">
        <f t="shared" si="103"/>
        <v>64.784000000000006</v>
      </c>
      <c r="AB458" s="14">
        <f t="shared" si="104"/>
        <v>-0.1875</v>
      </c>
      <c r="AC458" t="str">
        <f t="shared" si="105"/>
        <v>Low (1-20%)</v>
      </c>
      <c r="AD458" t="str">
        <f t="shared" si="106"/>
        <v>Medium ($50-$200)</v>
      </c>
      <c r="AE458" t="str">
        <f t="shared" si="107"/>
        <v>Small (1-2 units)</v>
      </c>
      <c r="AF458" t="str">
        <f t="shared" si="108"/>
        <v>Loss-Making</v>
      </c>
      <c r="AG458" t="str">
        <f t="shared" si="109"/>
        <v>Underperforming</v>
      </c>
      <c r="AH458" t="str">
        <f t="shared" si="110"/>
        <v>Repeat Customer</v>
      </c>
      <c r="AI458" t="str">
        <f t="shared" si="111"/>
        <v>Slow (6+ days)</v>
      </c>
    </row>
    <row r="459" spans="1:35" ht="15" customHeight="1" x14ac:dyDescent="0.3">
      <c r="A459">
        <v>458</v>
      </c>
      <c r="B459" t="s">
        <v>1775</v>
      </c>
      <c r="C459" s="12">
        <v>42639</v>
      </c>
      <c r="D459" s="12">
        <v>42644</v>
      </c>
      <c r="E459" t="s">
        <v>233</v>
      </c>
      <c r="F459" t="s">
        <v>1673</v>
      </c>
      <c r="G459" t="s">
        <v>1674</v>
      </c>
      <c r="H459" t="s">
        <v>209</v>
      </c>
      <c r="I459" t="s">
        <v>210</v>
      </c>
      <c r="J459" t="s">
        <v>540</v>
      </c>
      <c r="K459" t="s">
        <v>394</v>
      </c>
      <c r="L459">
        <v>62521</v>
      </c>
      <c r="M459" t="s">
        <v>288</v>
      </c>
      <c r="N459" t="s">
        <v>1776</v>
      </c>
      <c r="O459" t="s">
        <v>215</v>
      </c>
      <c r="P459" t="s">
        <v>219</v>
      </c>
      <c r="Q459" t="s">
        <v>1777</v>
      </c>
      <c r="R459" s="13">
        <v>747.55799999999999</v>
      </c>
      <c r="S459">
        <v>3</v>
      </c>
      <c r="T459" s="14">
        <v>0.3</v>
      </c>
      <c r="U459" s="13">
        <v>-96.114600000000095</v>
      </c>
      <c r="V459">
        <f t="shared" si="98"/>
        <v>2016</v>
      </c>
      <c r="W459" t="str">
        <f t="shared" si="99"/>
        <v>Sep</v>
      </c>
      <c r="X459" t="str">
        <f t="shared" si="100"/>
        <v>Q3</v>
      </c>
      <c r="Y459" t="str">
        <f t="shared" si="101"/>
        <v>Mon</v>
      </c>
      <c r="Z459" s="16">
        <f t="shared" si="102"/>
        <v>5</v>
      </c>
      <c r="AA459" s="13">
        <f t="shared" si="103"/>
        <v>249.18600000000001</v>
      </c>
      <c r="AB459" s="14">
        <f t="shared" si="104"/>
        <v>-0.1285714285714287</v>
      </c>
      <c r="AC459" t="str">
        <f t="shared" si="105"/>
        <v>Medium (21-40%)</v>
      </c>
      <c r="AD459" t="str">
        <f t="shared" si="106"/>
        <v>Premium ($500+)</v>
      </c>
      <c r="AE459" t="str">
        <f t="shared" si="107"/>
        <v>Medium (3-5 units)</v>
      </c>
      <c r="AF459" t="str">
        <f t="shared" si="108"/>
        <v>Loss-Making</v>
      </c>
      <c r="AG459" t="str">
        <f t="shared" si="109"/>
        <v>Underperforming</v>
      </c>
      <c r="AH459" t="str">
        <f t="shared" si="110"/>
        <v>Repeat Customer</v>
      </c>
      <c r="AI459" t="str">
        <f t="shared" si="111"/>
        <v>Standard (3-5 days)</v>
      </c>
    </row>
    <row r="460" spans="1:35" ht="15" customHeight="1" x14ac:dyDescent="0.3">
      <c r="A460">
        <v>459</v>
      </c>
      <c r="B460" t="s">
        <v>1775</v>
      </c>
      <c r="C460" s="12">
        <v>42639</v>
      </c>
      <c r="D460" s="12">
        <v>42644</v>
      </c>
      <c r="E460" t="s">
        <v>233</v>
      </c>
      <c r="F460" t="s">
        <v>1673</v>
      </c>
      <c r="G460" t="s">
        <v>1674</v>
      </c>
      <c r="H460" t="s">
        <v>209</v>
      </c>
      <c r="I460" t="s">
        <v>210</v>
      </c>
      <c r="J460" t="s">
        <v>540</v>
      </c>
      <c r="K460" t="s">
        <v>394</v>
      </c>
      <c r="L460">
        <v>62521</v>
      </c>
      <c r="M460" t="s">
        <v>288</v>
      </c>
      <c r="N460" t="s">
        <v>1778</v>
      </c>
      <c r="O460" t="s">
        <v>229</v>
      </c>
      <c r="P460" t="s">
        <v>356</v>
      </c>
      <c r="Q460" t="s">
        <v>854</v>
      </c>
      <c r="R460" s="13">
        <v>8.9280000000000008</v>
      </c>
      <c r="S460">
        <v>2</v>
      </c>
      <c r="T460" s="14">
        <v>0.2</v>
      </c>
      <c r="U460" s="13">
        <v>3.3479999999999999</v>
      </c>
      <c r="V460">
        <f t="shared" si="98"/>
        <v>2016</v>
      </c>
      <c r="W460" t="str">
        <f t="shared" si="99"/>
        <v>Sep</v>
      </c>
      <c r="X460" t="str">
        <f t="shared" si="100"/>
        <v>Q3</v>
      </c>
      <c r="Y460" t="str">
        <f t="shared" si="101"/>
        <v>Mon</v>
      </c>
      <c r="Z460" s="16">
        <f t="shared" si="102"/>
        <v>5</v>
      </c>
      <c r="AA460" s="13">
        <f t="shared" si="103"/>
        <v>4.4640000000000004</v>
      </c>
      <c r="AB460" s="14">
        <f t="shared" si="104"/>
        <v>0.37499999999999994</v>
      </c>
      <c r="AC460" t="str">
        <f t="shared" si="105"/>
        <v>Low (1-20%)</v>
      </c>
      <c r="AD460" t="str">
        <f t="shared" si="106"/>
        <v>Low (&lt;$50)</v>
      </c>
      <c r="AE460" t="str">
        <f t="shared" si="107"/>
        <v>Small (1-2 units)</v>
      </c>
      <c r="AF460" t="str">
        <f t="shared" si="108"/>
        <v>Profitable</v>
      </c>
      <c r="AG460" t="str">
        <f t="shared" si="109"/>
        <v>High Margin</v>
      </c>
      <c r="AH460" t="str">
        <f t="shared" si="110"/>
        <v>Repeat Customer</v>
      </c>
      <c r="AI460" t="str">
        <f t="shared" si="111"/>
        <v>Standard (3-5 days)</v>
      </c>
    </row>
    <row r="461" spans="1:35" ht="15" customHeight="1" x14ac:dyDescent="0.3">
      <c r="A461">
        <v>460</v>
      </c>
      <c r="B461" t="s">
        <v>1779</v>
      </c>
      <c r="C461" s="12">
        <v>42353</v>
      </c>
      <c r="D461" s="12">
        <v>42360</v>
      </c>
      <c r="E461" t="s">
        <v>233</v>
      </c>
      <c r="F461" t="s">
        <v>1015</v>
      </c>
      <c r="G461" t="s">
        <v>1016</v>
      </c>
      <c r="H461" t="s">
        <v>209</v>
      </c>
      <c r="I461" t="s">
        <v>210</v>
      </c>
      <c r="J461" t="s">
        <v>278</v>
      </c>
      <c r="K461" t="s">
        <v>279</v>
      </c>
      <c r="L461">
        <v>98115</v>
      </c>
      <c r="M461" t="s">
        <v>227</v>
      </c>
      <c r="N461" t="s">
        <v>1780</v>
      </c>
      <c r="O461" t="s">
        <v>229</v>
      </c>
      <c r="P461" t="s">
        <v>261</v>
      </c>
      <c r="Q461" t="s">
        <v>1781</v>
      </c>
      <c r="R461" s="13">
        <v>103.92</v>
      </c>
      <c r="S461">
        <v>4</v>
      </c>
      <c r="T461" s="14">
        <v>0</v>
      </c>
      <c r="U461" s="13">
        <v>36.372</v>
      </c>
      <c r="V461">
        <f t="shared" si="98"/>
        <v>2015</v>
      </c>
      <c r="W461" t="str">
        <f t="shared" si="99"/>
        <v>Dec</v>
      </c>
      <c r="X461" t="str">
        <f t="shared" si="100"/>
        <v>Q4</v>
      </c>
      <c r="Y461" t="str">
        <f t="shared" si="101"/>
        <v>Tue</v>
      </c>
      <c r="Z461" s="16">
        <f t="shared" si="102"/>
        <v>7</v>
      </c>
      <c r="AA461" s="13">
        <f t="shared" si="103"/>
        <v>25.98</v>
      </c>
      <c r="AB461" s="14">
        <f t="shared" si="104"/>
        <v>0.35</v>
      </c>
      <c r="AC461" t="str">
        <f t="shared" si="105"/>
        <v>No Discount</v>
      </c>
      <c r="AD461" t="str">
        <f t="shared" si="106"/>
        <v>Medium ($50-$200)</v>
      </c>
      <c r="AE461" t="str">
        <f t="shared" si="107"/>
        <v>Medium (3-5 units)</v>
      </c>
      <c r="AF461" t="str">
        <f t="shared" si="108"/>
        <v>Profitable</v>
      </c>
      <c r="AG461" t="str">
        <f t="shared" si="109"/>
        <v>High Margin</v>
      </c>
      <c r="AH461" t="str">
        <f t="shared" si="110"/>
        <v>Repeat Customer</v>
      </c>
      <c r="AI461" t="str">
        <f t="shared" si="111"/>
        <v>Slow (6+ days)</v>
      </c>
    </row>
    <row r="462" spans="1:35" ht="15" customHeight="1" x14ac:dyDescent="0.3">
      <c r="A462">
        <v>461</v>
      </c>
      <c r="B462" t="s">
        <v>1779</v>
      </c>
      <c r="C462" s="12">
        <v>42353</v>
      </c>
      <c r="D462" s="12">
        <v>42360</v>
      </c>
      <c r="E462" t="s">
        <v>233</v>
      </c>
      <c r="F462" t="s">
        <v>1015</v>
      </c>
      <c r="G462" t="s">
        <v>1016</v>
      </c>
      <c r="H462" t="s">
        <v>209</v>
      </c>
      <c r="I462" t="s">
        <v>210</v>
      </c>
      <c r="J462" t="s">
        <v>278</v>
      </c>
      <c r="K462" t="s">
        <v>279</v>
      </c>
      <c r="L462">
        <v>98115</v>
      </c>
      <c r="M462" t="s">
        <v>227</v>
      </c>
      <c r="N462" t="s">
        <v>1782</v>
      </c>
      <c r="O462" t="s">
        <v>254</v>
      </c>
      <c r="P462" t="s">
        <v>344</v>
      </c>
      <c r="Q462" t="s">
        <v>1783</v>
      </c>
      <c r="R462" s="13">
        <v>899.91</v>
      </c>
      <c r="S462">
        <v>9</v>
      </c>
      <c r="T462" s="14">
        <v>0</v>
      </c>
      <c r="U462" s="13">
        <v>377.9622</v>
      </c>
      <c r="V462">
        <f t="shared" si="98"/>
        <v>2015</v>
      </c>
      <c r="W462" t="str">
        <f t="shared" si="99"/>
        <v>Dec</v>
      </c>
      <c r="X462" t="str">
        <f t="shared" si="100"/>
        <v>Q4</v>
      </c>
      <c r="Y462" t="str">
        <f t="shared" si="101"/>
        <v>Tue</v>
      </c>
      <c r="Z462" s="16">
        <f t="shared" si="102"/>
        <v>7</v>
      </c>
      <c r="AA462" s="13">
        <f t="shared" si="103"/>
        <v>99.99</v>
      </c>
      <c r="AB462" s="14">
        <f t="shared" si="104"/>
        <v>0.42</v>
      </c>
      <c r="AC462" t="str">
        <f t="shared" si="105"/>
        <v>No Discount</v>
      </c>
      <c r="AD462" t="str">
        <f t="shared" si="106"/>
        <v>Premium ($500+)</v>
      </c>
      <c r="AE462" t="str">
        <f t="shared" si="107"/>
        <v>Large (6+ units)</v>
      </c>
      <c r="AF462" t="str">
        <f t="shared" si="108"/>
        <v>Profitable</v>
      </c>
      <c r="AG462" t="str">
        <f t="shared" si="109"/>
        <v>High Margin</v>
      </c>
      <c r="AH462" t="str">
        <f t="shared" si="110"/>
        <v>Repeat Customer</v>
      </c>
      <c r="AI462" t="str">
        <f t="shared" si="111"/>
        <v>Slow (6+ days)</v>
      </c>
    </row>
    <row r="463" spans="1:35" ht="15" customHeight="1" x14ac:dyDescent="0.3">
      <c r="A463">
        <v>462</v>
      </c>
      <c r="B463" t="s">
        <v>1779</v>
      </c>
      <c r="C463" s="12">
        <v>42353</v>
      </c>
      <c r="D463" s="12">
        <v>42360</v>
      </c>
      <c r="E463" t="s">
        <v>233</v>
      </c>
      <c r="F463" t="s">
        <v>1015</v>
      </c>
      <c r="G463" t="s">
        <v>1016</v>
      </c>
      <c r="H463" t="s">
        <v>209</v>
      </c>
      <c r="I463" t="s">
        <v>210</v>
      </c>
      <c r="J463" t="s">
        <v>278</v>
      </c>
      <c r="K463" t="s">
        <v>279</v>
      </c>
      <c r="L463">
        <v>98115</v>
      </c>
      <c r="M463" t="s">
        <v>227</v>
      </c>
      <c r="N463" t="s">
        <v>1784</v>
      </c>
      <c r="O463" t="s">
        <v>229</v>
      </c>
      <c r="P463" t="s">
        <v>258</v>
      </c>
      <c r="Q463" t="s">
        <v>1785</v>
      </c>
      <c r="R463" s="13">
        <v>51.311999999999998</v>
      </c>
      <c r="S463">
        <v>3</v>
      </c>
      <c r="T463" s="14">
        <v>0.2</v>
      </c>
      <c r="U463" s="13">
        <v>18.6006</v>
      </c>
      <c r="V463">
        <f t="shared" si="98"/>
        <v>2015</v>
      </c>
      <c r="W463" t="str">
        <f t="shared" si="99"/>
        <v>Dec</v>
      </c>
      <c r="X463" t="str">
        <f t="shared" si="100"/>
        <v>Q4</v>
      </c>
      <c r="Y463" t="str">
        <f t="shared" si="101"/>
        <v>Tue</v>
      </c>
      <c r="Z463" s="16">
        <f t="shared" si="102"/>
        <v>7</v>
      </c>
      <c r="AA463" s="13">
        <f t="shared" si="103"/>
        <v>17.103999999999999</v>
      </c>
      <c r="AB463" s="14">
        <f t="shared" si="104"/>
        <v>0.36250000000000004</v>
      </c>
      <c r="AC463" t="str">
        <f t="shared" si="105"/>
        <v>Low (1-20%)</v>
      </c>
      <c r="AD463" t="str">
        <f t="shared" si="106"/>
        <v>Medium ($50-$200)</v>
      </c>
      <c r="AE463" t="str">
        <f t="shared" si="107"/>
        <v>Medium (3-5 units)</v>
      </c>
      <c r="AF463" t="str">
        <f t="shared" si="108"/>
        <v>Profitable</v>
      </c>
      <c r="AG463" t="str">
        <f t="shared" si="109"/>
        <v>High Margin</v>
      </c>
      <c r="AH463" t="str">
        <f t="shared" si="110"/>
        <v>Repeat Customer</v>
      </c>
      <c r="AI463" t="str">
        <f t="shared" si="111"/>
        <v>Slow (6+ days)</v>
      </c>
    </row>
    <row r="464" spans="1:35" ht="15" customHeight="1" x14ac:dyDescent="0.3">
      <c r="A464">
        <v>463</v>
      </c>
      <c r="B464" t="s">
        <v>1786</v>
      </c>
      <c r="C464" s="12">
        <v>42482</v>
      </c>
      <c r="D464" s="12">
        <v>42489</v>
      </c>
      <c r="E464" t="s">
        <v>233</v>
      </c>
      <c r="F464" t="s">
        <v>1787</v>
      </c>
      <c r="G464" t="s">
        <v>1788</v>
      </c>
      <c r="H464" t="s">
        <v>285</v>
      </c>
      <c r="I464" t="s">
        <v>210</v>
      </c>
      <c r="J464" t="s">
        <v>727</v>
      </c>
      <c r="K464" t="s">
        <v>493</v>
      </c>
      <c r="L464">
        <v>85023</v>
      </c>
      <c r="M464" t="s">
        <v>227</v>
      </c>
      <c r="N464" t="s">
        <v>1470</v>
      </c>
      <c r="O464" t="s">
        <v>215</v>
      </c>
      <c r="P464" t="s">
        <v>248</v>
      </c>
      <c r="Q464" t="s">
        <v>1471</v>
      </c>
      <c r="R464" s="13">
        <v>23.56</v>
      </c>
      <c r="S464">
        <v>5</v>
      </c>
      <c r="T464" s="14">
        <v>0.2</v>
      </c>
      <c r="U464" s="13">
        <v>7.0679999999999996</v>
      </c>
      <c r="V464">
        <f t="shared" si="98"/>
        <v>2016</v>
      </c>
      <c r="W464" t="str">
        <f t="shared" si="99"/>
        <v>Apr</v>
      </c>
      <c r="X464" t="str">
        <f t="shared" si="100"/>
        <v>Q2</v>
      </c>
      <c r="Y464" t="str">
        <f t="shared" si="101"/>
        <v>Fri</v>
      </c>
      <c r="Z464" s="16">
        <f t="shared" si="102"/>
        <v>7</v>
      </c>
      <c r="AA464" s="13">
        <f t="shared" si="103"/>
        <v>4.7119999999999997</v>
      </c>
      <c r="AB464" s="14">
        <f t="shared" si="104"/>
        <v>0.3</v>
      </c>
      <c r="AC464" t="str">
        <f t="shared" si="105"/>
        <v>Low (1-20%)</v>
      </c>
      <c r="AD464" t="str">
        <f t="shared" si="106"/>
        <v>Low (&lt;$50)</v>
      </c>
      <c r="AE464" t="str">
        <f t="shared" si="107"/>
        <v>Medium (3-5 units)</v>
      </c>
      <c r="AF464" t="str">
        <f t="shared" si="108"/>
        <v>Profitable</v>
      </c>
      <c r="AG464" t="str">
        <f t="shared" si="109"/>
        <v>High Margin</v>
      </c>
      <c r="AH464" t="str">
        <f t="shared" si="110"/>
        <v>Repeat Customer</v>
      </c>
      <c r="AI464" t="str">
        <f t="shared" si="111"/>
        <v>Slow (6+ days)</v>
      </c>
    </row>
    <row r="465" spans="1:35" ht="15" customHeight="1" x14ac:dyDescent="0.3">
      <c r="A465">
        <v>464</v>
      </c>
      <c r="B465" t="s">
        <v>1786</v>
      </c>
      <c r="C465" s="12">
        <v>42482</v>
      </c>
      <c r="D465" s="12">
        <v>42489</v>
      </c>
      <c r="E465" t="s">
        <v>233</v>
      </c>
      <c r="F465" t="s">
        <v>1787</v>
      </c>
      <c r="G465" t="s">
        <v>1788</v>
      </c>
      <c r="H465" t="s">
        <v>285</v>
      </c>
      <c r="I465" t="s">
        <v>210</v>
      </c>
      <c r="J465" t="s">
        <v>727</v>
      </c>
      <c r="K465" t="s">
        <v>493</v>
      </c>
      <c r="L465">
        <v>85023</v>
      </c>
      <c r="M465" t="s">
        <v>227</v>
      </c>
      <c r="N465" t="s">
        <v>1789</v>
      </c>
      <c r="O465" t="s">
        <v>215</v>
      </c>
      <c r="P465" t="s">
        <v>239</v>
      </c>
      <c r="Q465" t="s">
        <v>1790</v>
      </c>
      <c r="R465" s="13">
        <v>1272.6300000000001</v>
      </c>
      <c r="S465">
        <v>6</v>
      </c>
      <c r="T465" s="14">
        <v>0.5</v>
      </c>
      <c r="U465" s="13">
        <v>-814.48320000000001</v>
      </c>
      <c r="V465">
        <f t="shared" si="98"/>
        <v>2016</v>
      </c>
      <c r="W465" t="str">
        <f t="shared" si="99"/>
        <v>Apr</v>
      </c>
      <c r="X465" t="str">
        <f t="shared" si="100"/>
        <v>Q2</v>
      </c>
      <c r="Y465" t="str">
        <f t="shared" si="101"/>
        <v>Fri</v>
      </c>
      <c r="Z465" s="16">
        <f t="shared" si="102"/>
        <v>7</v>
      </c>
      <c r="AA465" s="13">
        <f t="shared" si="103"/>
        <v>212.10500000000002</v>
      </c>
      <c r="AB465" s="14">
        <f t="shared" si="104"/>
        <v>-0.6399999999999999</v>
      </c>
      <c r="AC465" t="str">
        <f t="shared" si="105"/>
        <v>High (40%+)</v>
      </c>
      <c r="AD465" t="str">
        <f t="shared" si="106"/>
        <v>Premium ($500+)</v>
      </c>
      <c r="AE465" t="str">
        <f t="shared" si="107"/>
        <v>Large (6+ units)</v>
      </c>
      <c r="AF465" t="str">
        <f t="shared" si="108"/>
        <v>Loss-Making</v>
      </c>
      <c r="AG465" t="str">
        <f t="shared" si="109"/>
        <v>Underperforming</v>
      </c>
      <c r="AH465" t="str">
        <f t="shared" si="110"/>
        <v>Repeat Customer</v>
      </c>
      <c r="AI465" t="str">
        <f t="shared" si="111"/>
        <v>Slow (6+ days)</v>
      </c>
    </row>
    <row r="466" spans="1:35" ht="15" customHeight="1" x14ac:dyDescent="0.3">
      <c r="A466">
        <v>465</v>
      </c>
      <c r="B466" t="s">
        <v>1786</v>
      </c>
      <c r="C466" s="12">
        <v>42482</v>
      </c>
      <c r="D466" s="12">
        <v>42489</v>
      </c>
      <c r="E466" t="s">
        <v>233</v>
      </c>
      <c r="F466" t="s">
        <v>1787</v>
      </c>
      <c r="G466" t="s">
        <v>1788</v>
      </c>
      <c r="H466" t="s">
        <v>285</v>
      </c>
      <c r="I466" t="s">
        <v>210</v>
      </c>
      <c r="J466" t="s">
        <v>727</v>
      </c>
      <c r="K466" t="s">
        <v>493</v>
      </c>
      <c r="L466">
        <v>85023</v>
      </c>
      <c r="M466" t="s">
        <v>227</v>
      </c>
      <c r="N466" t="s">
        <v>1791</v>
      </c>
      <c r="O466" t="s">
        <v>229</v>
      </c>
      <c r="P466" t="s">
        <v>258</v>
      </c>
      <c r="Q466" t="s">
        <v>1792</v>
      </c>
      <c r="R466" s="13">
        <v>28.484999999999999</v>
      </c>
      <c r="S466">
        <v>5</v>
      </c>
      <c r="T466" s="14">
        <v>0.7</v>
      </c>
      <c r="U466" s="13">
        <v>-20.888999999999999</v>
      </c>
      <c r="V466">
        <f t="shared" si="98"/>
        <v>2016</v>
      </c>
      <c r="W466" t="str">
        <f t="shared" si="99"/>
        <v>Apr</v>
      </c>
      <c r="X466" t="str">
        <f t="shared" si="100"/>
        <v>Q2</v>
      </c>
      <c r="Y466" t="str">
        <f t="shared" si="101"/>
        <v>Fri</v>
      </c>
      <c r="Z466" s="16">
        <f t="shared" si="102"/>
        <v>7</v>
      </c>
      <c r="AA466" s="13">
        <f t="shared" si="103"/>
        <v>5.6970000000000001</v>
      </c>
      <c r="AB466" s="14">
        <f t="shared" si="104"/>
        <v>-0.73333333333333328</v>
      </c>
      <c r="AC466" t="str">
        <f t="shared" si="105"/>
        <v>High (40%+)</v>
      </c>
      <c r="AD466" t="str">
        <f t="shared" si="106"/>
        <v>Low (&lt;$50)</v>
      </c>
      <c r="AE466" t="str">
        <f t="shared" si="107"/>
        <v>Medium (3-5 units)</v>
      </c>
      <c r="AF466" t="str">
        <f t="shared" si="108"/>
        <v>Loss-Making</v>
      </c>
      <c r="AG466" t="str">
        <f t="shared" si="109"/>
        <v>Underperforming</v>
      </c>
      <c r="AH466" t="str">
        <f t="shared" si="110"/>
        <v>Repeat Customer</v>
      </c>
      <c r="AI466" t="str">
        <f t="shared" si="111"/>
        <v>Slow (6+ days)</v>
      </c>
    </row>
    <row r="467" spans="1:35" ht="15" customHeight="1" x14ac:dyDescent="0.3">
      <c r="A467">
        <v>466</v>
      </c>
      <c r="B467" t="s">
        <v>1786</v>
      </c>
      <c r="C467" s="12">
        <v>42482</v>
      </c>
      <c r="D467" s="12">
        <v>42489</v>
      </c>
      <c r="E467" t="s">
        <v>233</v>
      </c>
      <c r="F467" t="s">
        <v>1787</v>
      </c>
      <c r="G467" t="s">
        <v>1788</v>
      </c>
      <c r="H467" t="s">
        <v>285</v>
      </c>
      <c r="I467" t="s">
        <v>210</v>
      </c>
      <c r="J467" t="s">
        <v>727</v>
      </c>
      <c r="K467" t="s">
        <v>493</v>
      </c>
      <c r="L467">
        <v>85023</v>
      </c>
      <c r="M467" t="s">
        <v>227</v>
      </c>
      <c r="N467" t="s">
        <v>1793</v>
      </c>
      <c r="O467" t="s">
        <v>229</v>
      </c>
      <c r="P467" t="s">
        <v>762</v>
      </c>
      <c r="Q467" t="s">
        <v>1794</v>
      </c>
      <c r="R467" s="13">
        <v>185.376</v>
      </c>
      <c r="S467">
        <v>2</v>
      </c>
      <c r="T467" s="14">
        <v>0.2</v>
      </c>
      <c r="U467" s="13">
        <v>-34.758000000000003</v>
      </c>
      <c r="V467">
        <f t="shared" si="98"/>
        <v>2016</v>
      </c>
      <c r="W467" t="str">
        <f t="shared" si="99"/>
        <v>Apr</v>
      </c>
      <c r="X467" t="str">
        <f t="shared" si="100"/>
        <v>Q2</v>
      </c>
      <c r="Y467" t="str">
        <f t="shared" si="101"/>
        <v>Fri</v>
      </c>
      <c r="Z467" s="16">
        <f t="shared" si="102"/>
        <v>7</v>
      </c>
      <c r="AA467" s="13">
        <f t="shared" si="103"/>
        <v>92.688000000000002</v>
      </c>
      <c r="AB467" s="14">
        <f t="shared" si="104"/>
        <v>-0.1875</v>
      </c>
      <c r="AC467" t="str">
        <f t="shared" si="105"/>
        <v>Low (1-20%)</v>
      </c>
      <c r="AD467" t="str">
        <f t="shared" si="106"/>
        <v>Medium ($50-$200)</v>
      </c>
      <c r="AE467" t="str">
        <f t="shared" si="107"/>
        <v>Small (1-2 units)</v>
      </c>
      <c r="AF467" t="str">
        <f t="shared" si="108"/>
        <v>Loss-Making</v>
      </c>
      <c r="AG467" t="str">
        <f t="shared" si="109"/>
        <v>Underperforming</v>
      </c>
      <c r="AH467" t="str">
        <f t="shared" si="110"/>
        <v>Repeat Customer</v>
      </c>
      <c r="AI467" t="str">
        <f t="shared" si="111"/>
        <v>Slow (6+ days)</v>
      </c>
    </row>
    <row r="468" spans="1:35" ht="15" customHeight="1" x14ac:dyDescent="0.3">
      <c r="A468">
        <v>467</v>
      </c>
      <c r="B468" t="s">
        <v>1786</v>
      </c>
      <c r="C468" s="12">
        <v>42482</v>
      </c>
      <c r="D468" s="12">
        <v>42489</v>
      </c>
      <c r="E468" t="s">
        <v>233</v>
      </c>
      <c r="F468" t="s">
        <v>1787</v>
      </c>
      <c r="G468" t="s">
        <v>1788</v>
      </c>
      <c r="H468" t="s">
        <v>285</v>
      </c>
      <c r="I468" t="s">
        <v>210</v>
      </c>
      <c r="J468" t="s">
        <v>727</v>
      </c>
      <c r="K468" t="s">
        <v>493</v>
      </c>
      <c r="L468">
        <v>85023</v>
      </c>
      <c r="M468" t="s">
        <v>227</v>
      </c>
      <c r="N468" t="s">
        <v>1795</v>
      </c>
      <c r="O468" t="s">
        <v>229</v>
      </c>
      <c r="P468" t="s">
        <v>261</v>
      </c>
      <c r="Q468" t="s">
        <v>1796</v>
      </c>
      <c r="R468" s="13">
        <v>78.272000000000006</v>
      </c>
      <c r="S468">
        <v>2</v>
      </c>
      <c r="T468" s="14">
        <v>0.2</v>
      </c>
      <c r="U468" s="13">
        <v>5.8704000000000001</v>
      </c>
      <c r="V468">
        <f t="shared" si="98"/>
        <v>2016</v>
      </c>
      <c r="W468" t="str">
        <f t="shared" si="99"/>
        <v>Apr</v>
      </c>
      <c r="X468" t="str">
        <f t="shared" si="100"/>
        <v>Q2</v>
      </c>
      <c r="Y468" t="str">
        <f t="shared" si="101"/>
        <v>Fri</v>
      </c>
      <c r="Z468" s="16">
        <f t="shared" si="102"/>
        <v>7</v>
      </c>
      <c r="AA468" s="13">
        <f t="shared" si="103"/>
        <v>39.136000000000003</v>
      </c>
      <c r="AB468" s="14">
        <f t="shared" si="104"/>
        <v>7.4999999999999997E-2</v>
      </c>
      <c r="AC468" t="str">
        <f t="shared" si="105"/>
        <v>Low (1-20%)</v>
      </c>
      <c r="AD468" t="str">
        <f t="shared" si="106"/>
        <v>Medium ($50-$200)</v>
      </c>
      <c r="AE468" t="str">
        <f t="shared" si="107"/>
        <v>Small (1-2 units)</v>
      </c>
      <c r="AF468" t="str">
        <f t="shared" si="108"/>
        <v>Profitable</v>
      </c>
      <c r="AG468" t="str">
        <f t="shared" si="109"/>
        <v>Low Margin</v>
      </c>
      <c r="AH468" t="str">
        <f t="shared" si="110"/>
        <v>Repeat Customer</v>
      </c>
      <c r="AI468" t="str">
        <f t="shared" si="111"/>
        <v>Slow (6+ days)</v>
      </c>
    </row>
    <row r="469" spans="1:35" ht="15" customHeight="1" x14ac:dyDescent="0.3">
      <c r="A469">
        <v>468</v>
      </c>
      <c r="B469" t="s">
        <v>1797</v>
      </c>
      <c r="C469" s="12">
        <v>42021</v>
      </c>
      <c r="D469" s="12">
        <v>42028</v>
      </c>
      <c r="E469" t="s">
        <v>233</v>
      </c>
      <c r="F469" t="s">
        <v>1798</v>
      </c>
      <c r="G469" t="s">
        <v>1799</v>
      </c>
      <c r="H469" t="s">
        <v>285</v>
      </c>
      <c r="I469" t="s">
        <v>210</v>
      </c>
      <c r="J469" t="s">
        <v>1800</v>
      </c>
      <c r="K469" t="s">
        <v>394</v>
      </c>
      <c r="L469">
        <v>60068</v>
      </c>
      <c r="M469" t="s">
        <v>288</v>
      </c>
      <c r="N469" t="s">
        <v>1272</v>
      </c>
      <c r="O469" t="s">
        <v>215</v>
      </c>
      <c r="P469" t="s">
        <v>248</v>
      </c>
      <c r="Q469" t="s">
        <v>1273</v>
      </c>
      <c r="R469" s="13">
        <v>254.744</v>
      </c>
      <c r="S469">
        <v>7</v>
      </c>
      <c r="T469" s="14">
        <v>0.6</v>
      </c>
      <c r="U469" s="13">
        <v>-312.06139999999999</v>
      </c>
      <c r="V469">
        <f t="shared" si="98"/>
        <v>2015</v>
      </c>
      <c r="W469" t="str">
        <f t="shared" si="99"/>
        <v>Jan</v>
      </c>
      <c r="X469" t="str">
        <f t="shared" si="100"/>
        <v>Q1</v>
      </c>
      <c r="Y469" t="str">
        <f t="shared" si="101"/>
        <v>Sat</v>
      </c>
      <c r="Z469" s="16">
        <f t="shared" si="102"/>
        <v>7</v>
      </c>
      <c r="AA469" s="13">
        <f t="shared" si="103"/>
        <v>36.392000000000003</v>
      </c>
      <c r="AB469" s="14">
        <f t="shared" si="104"/>
        <v>-1.2249999999999999</v>
      </c>
      <c r="AC469" t="str">
        <f t="shared" si="105"/>
        <v>High (40%+)</v>
      </c>
      <c r="AD469" t="str">
        <f t="shared" si="106"/>
        <v>High ($200-$500)</v>
      </c>
      <c r="AE469" t="str">
        <f t="shared" si="107"/>
        <v>Large (6+ units)</v>
      </c>
      <c r="AF469" t="str">
        <f t="shared" si="108"/>
        <v>Loss-Making</v>
      </c>
      <c r="AG469" t="str">
        <f t="shared" si="109"/>
        <v>Underperforming</v>
      </c>
      <c r="AH469" t="str">
        <f t="shared" si="110"/>
        <v>Single Purchase</v>
      </c>
      <c r="AI469" t="str">
        <f t="shared" si="111"/>
        <v>Slow (6+ days)</v>
      </c>
    </row>
    <row r="470" spans="1:35" ht="15" customHeight="1" x14ac:dyDescent="0.3">
      <c r="A470">
        <v>469</v>
      </c>
      <c r="B470" t="s">
        <v>1801</v>
      </c>
      <c r="C470" s="12">
        <v>42825</v>
      </c>
      <c r="D470" s="12">
        <v>42829</v>
      </c>
      <c r="E470" t="s">
        <v>233</v>
      </c>
      <c r="F470" t="s">
        <v>1063</v>
      </c>
      <c r="G470" t="s">
        <v>1064</v>
      </c>
      <c r="H470" t="s">
        <v>224</v>
      </c>
      <c r="I470" t="s">
        <v>210</v>
      </c>
      <c r="J470" t="s">
        <v>1802</v>
      </c>
      <c r="K470" t="s">
        <v>287</v>
      </c>
      <c r="L470">
        <v>79109</v>
      </c>
      <c r="M470" t="s">
        <v>288</v>
      </c>
      <c r="N470" t="s">
        <v>1803</v>
      </c>
      <c r="O470" t="s">
        <v>215</v>
      </c>
      <c r="P470" t="s">
        <v>216</v>
      </c>
      <c r="Q470" t="s">
        <v>1804</v>
      </c>
      <c r="R470" s="13">
        <v>205.33279999999999</v>
      </c>
      <c r="S470">
        <v>2</v>
      </c>
      <c r="T470" s="14">
        <v>0.32</v>
      </c>
      <c r="U470" s="13">
        <v>-36.235199999999999</v>
      </c>
      <c r="V470">
        <f t="shared" si="98"/>
        <v>2017</v>
      </c>
      <c r="W470" t="str">
        <f t="shared" si="99"/>
        <v>Mar</v>
      </c>
      <c r="X470" t="str">
        <f t="shared" si="100"/>
        <v>Q1</v>
      </c>
      <c r="Y470" t="str">
        <f t="shared" si="101"/>
        <v>Fri</v>
      </c>
      <c r="Z470" s="16">
        <f t="shared" si="102"/>
        <v>4</v>
      </c>
      <c r="AA470" s="13">
        <f t="shared" si="103"/>
        <v>102.6664</v>
      </c>
      <c r="AB470" s="14">
        <f t="shared" si="104"/>
        <v>-0.17647058823529413</v>
      </c>
      <c r="AC470" t="str">
        <f t="shared" si="105"/>
        <v>Medium (21-40%)</v>
      </c>
      <c r="AD470" t="str">
        <f t="shared" si="106"/>
        <v>High ($200-$500)</v>
      </c>
      <c r="AE470" t="str">
        <f t="shared" si="107"/>
        <v>Small (1-2 units)</v>
      </c>
      <c r="AF470" t="str">
        <f t="shared" si="108"/>
        <v>Loss-Making</v>
      </c>
      <c r="AG470" t="str">
        <f t="shared" si="109"/>
        <v>Underperforming</v>
      </c>
      <c r="AH470" t="str">
        <f t="shared" si="110"/>
        <v>Repeat Customer</v>
      </c>
      <c r="AI470" t="str">
        <f t="shared" si="111"/>
        <v>Standard (3-5 days)</v>
      </c>
    </row>
    <row r="471" spans="1:35" ht="15" customHeight="1" x14ac:dyDescent="0.3">
      <c r="A471">
        <v>470</v>
      </c>
      <c r="B471" t="s">
        <v>1805</v>
      </c>
      <c r="C471" s="12">
        <v>42720</v>
      </c>
      <c r="D471" s="12">
        <v>42724</v>
      </c>
      <c r="E471" t="s">
        <v>206</v>
      </c>
      <c r="F471" t="s">
        <v>1151</v>
      </c>
      <c r="G471" t="s">
        <v>1152</v>
      </c>
      <c r="H471" t="s">
        <v>209</v>
      </c>
      <c r="I471" t="s">
        <v>210</v>
      </c>
      <c r="J471" t="s">
        <v>486</v>
      </c>
      <c r="K471" t="s">
        <v>394</v>
      </c>
      <c r="L471">
        <v>60610</v>
      </c>
      <c r="M471" t="s">
        <v>288</v>
      </c>
      <c r="N471" t="s">
        <v>1806</v>
      </c>
      <c r="O471" t="s">
        <v>229</v>
      </c>
      <c r="P471" t="s">
        <v>258</v>
      </c>
      <c r="Q471" t="s">
        <v>1807</v>
      </c>
      <c r="R471" s="13">
        <v>4.7880000000000003</v>
      </c>
      <c r="S471">
        <v>3</v>
      </c>
      <c r="T471" s="14">
        <v>0.8</v>
      </c>
      <c r="U471" s="13">
        <v>-7.9001999999999999</v>
      </c>
      <c r="V471">
        <f t="shared" si="98"/>
        <v>2016</v>
      </c>
      <c r="W471" t="str">
        <f t="shared" si="99"/>
        <v>Dec</v>
      </c>
      <c r="X471" t="str">
        <f t="shared" si="100"/>
        <v>Q4</v>
      </c>
      <c r="Y471" t="str">
        <f t="shared" si="101"/>
        <v>Fri</v>
      </c>
      <c r="Z471" s="16">
        <f t="shared" si="102"/>
        <v>4</v>
      </c>
      <c r="AA471" s="13">
        <f t="shared" si="103"/>
        <v>1.5960000000000001</v>
      </c>
      <c r="AB471" s="14">
        <f t="shared" si="104"/>
        <v>-1.65</v>
      </c>
      <c r="AC471" t="str">
        <f t="shared" si="105"/>
        <v>High (40%+)</v>
      </c>
      <c r="AD471" t="str">
        <f t="shared" si="106"/>
        <v>Low (&lt;$50)</v>
      </c>
      <c r="AE471" t="str">
        <f t="shared" si="107"/>
        <v>Medium (3-5 units)</v>
      </c>
      <c r="AF471" t="str">
        <f t="shared" si="108"/>
        <v>Loss-Making</v>
      </c>
      <c r="AG471" t="str">
        <f t="shared" si="109"/>
        <v>Underperforming</v>
      </c>
      <c r="AH471" t="str">
        <f t="shared" si="110"/>
        <v>Repeat Customer</v>
      </c>
      <c r="AI471" t="str">
        <f t="shared" si="111"/>
        <v>Standard (3-5 days)</v>
      </c>
    </row>
    <row r="472" spans="1:35" ht="15" customHeight="1" x14ac:dyDescent="0.3">
      <c r="A472">
        <v>471</v>
      </c>
      <c r="B472" t="s">
        <v>1808</v>
      </c>
      <c r="C472" s="12">
        <v>42358</v>
      </c>
      <c r="D472" s="12">
        <v>42362</v>
      </c>
      <c r="E472" t="s">
        <v>233</v>
      </c>
      <c r="F472" t="s">
        <v>1809</v>
      </c>
      <c r="G472" t="s">
        <v>1810</v>
      </c>
      <c r="H472" t="s">
        <v>224</v>
      </c>
      <c r="I472" t="s">
        <v>210</v>
      </c>
      <c r="J472" t="s">
        <v>1811</v>
      </c>
      <c r="K472" t="s">
        <v>450</v>
      </c>
      <c r="L472">
        <v>11757</v>
      </c>
      <c r="M472" t="s">
        <v>331</v>
      </c>
      <c r="N472" t="s">
        <v>1812</v>
      </c>
      <c r="O472" t="s">
        <v>229</v>
      </c>
      <c r="P472" t="s">
        <v>273</v>
      </c>
      <c r="Q472" t="s">
        <v>1813</v>
      </c>
      <c r="R472" s="13">
        <v>55.48</v>
      </c>
      <c r="S472">
        <v>1</v>
      </c>
      <c r="T472" s="14">
        <v>0</v>
      </c>
      <c r="U472" s="13">
        <v>26.630400000000002</v>
      </c>
      <c r="V472">
        <f t="shared" si="98"/>
        <v>2015</v>
      </c>
      <c r="W472" t="str">
        <f t="shared" si="99"/>
        <v>Dec</v>
      </c>
      <c r="X472" t="str">
        <f t="shared" si="100"/>
        <v>Q4</v>
      </c>
      <c r="Y472" t="str">
        <f t="shared" si="101"/>
        <v>Sun</v>
      </c>
      <c r="Z472" s="16">
        <f t="shared" si="102"/>
        <v>4</v>
      </c>
      <c r="AA472" s="13">
        <f t="shared" si="103"/>
        <v>55.48</v>
      </c>
      <c r="AB472" s="14">
        <f t="shared" si="104"/>
        <v>0.48000000000000004</v>
      </c>
      <c r="AC472" t="str">
        <f t="shared" si="105"/>
        <v>No Discount</v>
      </c>
      <c r="AD472" t="str">
        <f t="shared" si="106"/>
        <v>Medium ($50-$200)</v>
      </c>
      <c r="AE472" t="str">
        <f t="shared" si="107"/>
        <v>Small (1-2 units)</v>
      </c>
      <c r="AF472" t="str">
        <f t="shared" si="108"/>
        <v>Profitable</v>
      </c>
      <c r="AG472" t="str">
        <f t="shared" si="109"/>
        <v>High Margin</v>
      </c>
      <c r="AH472" t="str">
        <f t="shared" si="110"/>
        <v>Repeat Customer</v>
      </c>
      <c r="AI472" t="str">
        <f t="shared" si="111"/>
        <v>Standard (3-5 days)</v>
      </c>
    </row>
    <row r="473" spans="1:35" ht="15" customHeight="1" x14ac:dyDescent="0.3">
      <c r="A473">
        <v>472</v>
      </c>
      <c r="B473" t="s">
        <v>1814</v>
      </c>
      <c r="C473" s="12">
        <v>41952</v>
      </c>
      <c r="D473" s="12">
        <v>41954</v>
      </c>
      <c r="E473" t="s">
        <v>206</v>
      </c>
      <c r="F473" t="s">
        <v>1815</v>
      </c>
      <c r="G473" t="s">
        <v>1816</v>
      </c>
      <c r="H473" t="s">
        <v>209</v>
      </c>
      <c r="I473" t="s">
        <v>210</v>
      </c>
      <c r="J473" t="s">
        <v>310</v>
      </c>
      <c r="K473" t="s">
        <v>226</v>
      </c>
      <c r="L473">
        <v>94110</v>
      </c>
      <c r="M473" t="s">
        <v>227</v>
      </c>
      <c r="N473" t="s">
        <v>1817</v>
      </c>
      <c r="O473" t="s">
        <v>229</v>
      </c>
      <c r="P473" t="s">
        <v>242</v>
      </c>
      <c r="Q473" t="s">
        <v>1818</v>
      </c>
      <c r="R473" s="13">
        <v>340.92</v>
      </c>
      <c r="S473">
        <v>3</v>
      </c>
      <c r="T473" s="14">
        <v>0</v>
      </c>
      <c r="U473" s="13">
        <v>3.4091999999999798</v>
      </c>
      <c r="V473">
        <f t="shared" si="98"/>
        <v>2014</v>
      </c>
      <c r="W473" t="str">
        <f t="shared" si="99"/>
        <v>Nov</v>
      </c>
      <c r="X473" t="str">
        <f t="shared" si="100"/>
        <v>Q4</v>
      </c>
      <c r="Y473" t="str">
        <f t="shared" si="101"/>
        <v>Sun</v>
      </c>
      <c r="Z473" s="16">
        <f t="shared" si="102"/>
        <v>2</v>
      </c>
      <c r="AA473" s="13">
        <f t="shared" si="103"/>
        <v>113.64</v>
      </c>
      <c r="AB473" s="14">
        <f t="shared" si="104"/>
        <v>9.9999999999999395E-3</v>
      </c>
      <c r="AC473" t="str">
        <f t="shared" si="105"/>
        <v>No Discount</v>
      </c>
      <c r="AD473" t="str">
        <f t="shared" si="106"/>
        <v>High ($200-$500)</v>
      </c>
      <c r="AE473" t="str">
        <f t="shared" si="107"/>
        <v>Medium (3-5 units)</v>
      </c>
      <c r="AF473" t="str">
        <f t="shared" si="108"/>
        <v>Profitable</v>
      </c>
      <c r="AG473" t="str">
        <f t="shared" si="109"/>
        <v>Low Margin</v>
      </c>
      <c r="AH473" t="str">
        <f t="shared" si="110"/>
        <v>Repeat Customer</v>
      </c>
      <c r="AI473" t="str">
        <f t="shared" si="111"/>
        <v>Fast (&lt;=2 days)</v>
      </c>
    </row>
    <row r="474" spans="1:35" ht="15" customHeight="1" x14ac:dyDescent="0.3">
      <c r="A474">
        <v>473</v>
      </c>
      <c r="B474" t="s">
        <v>1814</v>
      </c>
      <c r="C474" s="12">
        <v>41952</v>
      </c>
      <c r="D474" s="12">
        <v>41954</v>
      </c>
      <c r="E474" t="s">
        <v>206</v>
      </c>
      <c r="F474" t="s">
        <v>1815</v>
      </c>
      <c r="G474" t="s">
        <v>1816</v>
      </c>
      <c r="H474" t="s">
        <v>209</v>
      </c>
      <c r="I474" t="s">
        <v>210</v>
      </c>
      <c r="J474" t="s">
        <v>310</v>
      </c>
      <c r="K474" t="s">
        <v>226</v>
      </c>
      <c r="L474">
        <v>94110</v>
      </c>
      <c r="M474" t="s">
        <v>227</v>
      </c>
      <c r="N474" t="s">
        <v>1819</v>
      </c>
      <c r="O474" t="s">
        <v>215</v>
      </c>
      <c r="P474" t="s">
        <v>216</v>
      </c>
      <c r="Q474" t="s">
        <v>1820</v>
      </c>
      <c r="R474" s="13">
        <v>222.666</v>
      </c>
      <c r="S474">
        <v>2</v>
      </c>
      <c r="T474" s="14">
        <v>0.15</v>
      </c>
      <c r="U474" s="13">
        <v>10.478400000000001</v>
      </c>
      <c r="V474">
        <f t="shared" si="98"/>
        <v>2014</v>
      </c>
      <c r="W474" t="str">
        <f t="shared" si="99"/>
        <v>Nov</v>
      </c>
      <c r="X474" t="str">
        <f t="shared" si="100"/>
        <v>Q4</v>
      </c>
      <c r="Y474" t="str">
        <f t="shared" si="101"/>
        <v>Sun</v>
      </c>
      <c r="Z474" s="16">
        <f t="shared" si="102"/>
        <v>2</v>
      </c>
      <c r="AA474" s="13">
        <f t="shared" si="103"/>
        <v>111.333</v>
      </c>
      <c r="AB474" s="14">
        <f t="shared" si="104"/>
        <v>4.7058823529411771E-2</v>
      </c>
      <c r="AC474" t="str">
        <f t="shared" si="105"/>
        <v>Low (1-20%)</v>
      </c>
      <c r="AD474" t="str">
        <f t="shared" si="106"/>
        <v>High ($200-$500)</v>
      </c>
      <c r="AE474" t="str">
        <f t="shared" si="107"/>
        <v>Small (1-2 units)</v>
      </c>
      <c r="AF474" t="str">
        <f t="shared" si="108"/>
        <v>Profitable</v>
      </c>
      <c r="AG474" t="str">
        <f t="shared" si="109"/>
        <v>Low Margin</v>
      </c>
      <c r="AH474" t="str">
        <f t="shared" si="110"/>
        <v>Repeat Customer</v>
      </c>
      <c r="AI474" t="str">
        <f t="shared" si="111"/>
        <v>Fast (&lt;=2 days)</v>
      </c>
    </row>
    <row r="475" spans="1:35" ht="15" customHeight="1" x14ac:dyDescent="0.3">
      <c r="A475">
        <v>474</v>
      </c>
      <c r="B475" t="s">
        <v>1814</v>
      </c>
      <c r="C475" s="12">
        <v>41952</v>
      </c>
      <c r="D475" s="12">
        <v>41954</v>
      </c>
      <c r="E475" t="s">
        <v>206</v>
      </c>
      <c r="F475" t="s">
        <v>1815</v>
      </c>
      <c r="G475" t="s">
        <v>1816</v>
      </c>
      <c r="H475" t="s">
        <v>209</v>
      </c>
      <c r="I475" t="s">
        <v>210</v>
      </c>
      <c r="J475" t="s">
        <v>310</v>
      </c>
      <c r="K475" t="s">
        <v>226</v>
      </c>
      <c r="L475">
        <v>94110</v>
      </c>
      <c r="M475" t="s">
        <v>227</v>
      </c>
      <c r="N475" t="s">
        <v>1821</v>
      </c>
      <c r="O475" t="s">
        <v>254</v>
      </c>
      <c r="P475" t="s">
        <v>255</v>
      </c>
      <c r="Q475" t="s">
        <v>1822</v>
      </c>
      <c r="R475" s="13">
        <v>703.96799999999996</v>
      </c>
      <c r="S475">
        <v>4</v>
      </c>
      <c r="T475" s="14">
        <v>0.2</v>
      </c>
      <c r="U475" s="13">
        <v>87.995999999999896</v>
      </c>
      <c r="V475">
        <f t="shared" si="98"/>
        <v>2014</v>
      </c>
      <c r="W475" t="str">
        <f t="shared" si="99"/>
        <v>Nov</v>
      </c>
      <c r="X475" t="str">
        <f t="shared" si="100"/>
        <v>Q4</v>
      </c>
      <c r="Y475" t="str">
        <f t="shared" si="101"/>
        <v>Sun</v>
      </c>
      <c r="Z475" s="16">
        <f t="shared" si="102"/>
        <v>2</v>
      </c>
      <c r="AA475" s="13">
        <f t="shared" si="103"/>
        <v>175.99199999999999</v>
      </c>
      <c r="AB475" s="14">
        <f t="shared" si="104"/>
        <v>0.12499999999999986</v>
      </c>
      <c r="AC475" t="str">
        <f t="shared" si="105"/>
        <v>Low (1-20%)</v>
      </c>
      <c r="AD475" t="str">
        <f t="shared" si="106"/>
        <v>Premium ($500+)</v>
      </c>
      <c r="AE475" t="str">
        <f t="shared" si="107"/>
        <v>Medium (3-5 units)</v>
      </c>
      <c r="AF475" t="str">
        <f t="shared" si="108"/>
        <v>Profitable</v>
      </c>
      <c r="AG475" t="str">
        <f t="shared" si="109"/>
        <v>Healthy Margin</v>
      </c>
      <c r="AH475" t="str">
        <f t="shared" si="110"/>
        <v>Repeat Customer</v>
      </c>
      <c r="AI475" t="str">
        <f t="shared" si="111"/>
        <v>Fast (&lt;=2 days)</v>
      </c>
    </row>
    <row r="476" spans="1:35" ht="15" customHeight="1" x14ac:dyDescent="0.3">
      <c r="A476">
        <v>475</v>
      </c>
      <c r="B476" t="s">
        <v>1814</v>
      </c>
      <c r="C476" s="12">
        <v>41952</v>
      </c>
      <c r="D476" s="12">
        <v>41954</v>
      </c>
      <c r="E476" t="s">
        <v>206</v>
      </c>
      <c r="F476" t="s">
        <v>1815</v>
      </c>
      <c r="G476" t="s">
        <v>1816</v>
      </c>
      <c r="H476" t="s">
        <v>209</v>
      </c>
      <c r="I476" t="s">
        <v>210</v>
      </c>
      <c r="J476" t="s">
        <v>310</v>
      </c>
      <c r="K476" t="s">
        <v>226</v>
      </c>
      <c r="L476">
        <v>94110</v>
      </c>
      <c r="M476" t="s">
        <v>227</v>
      </c>
      <c r="N476" t="s">
        <v>1823</v>
      </c>
      <c r="O476" t="s">
        <v>229</v>
      </c>
      <c r="P476" t="s">
        <v>242</v>
      </c>
      <c r="Q476" t="s">
        <v>1824</v>
      </c>
      <c r="R476" s="13">
        <v>92.52</v>
      </c>
      <c r="S476">
        <v>6</v>
      </c>
      <c r="T476" s="14">
        <v>0</v>
      </c>
      <c r="U476" s="13">
        <v>24.980399999999999</v>
      </c>
      <c r="V476">
        <f t="shared" si="98"/>
        <v>2014</v>
      </c>
      <c r="W476" t="str">
        <f t="shared" si="99"/>
        <v>Nov</v>
      </c>
      <c r="X476" t="str">
        <f t="shared" si="100"/>
        <v>Q4</v>
      </c>
      <c r="Y476" t="str">
        <f t="shared" si="101"/>
        <v>Sun</v>
      </c>
      <c r="Z476" s="16">
        <f t="shared" si="102"/>
        <v>2</v>
      </c>
      <c r="AA476" s="13">
        <f t="shared" si="103"/>
        <v>15.42</v>
      </c>
      <c r="AB476" s="14">
        <f t="shared" si="104"/>
        <v>0.27</v>
      </c>
      <c r="AC476" t="str">
        <f t="shared" si="105"/>
        <v>No Discount</v>
      </c>
      <c r="AD476" t="str">
        <f t="shared" si="106"/>
        <v>Medium ($50-$200)</v>
      </c>
      <c r="AE476" t="str">
        <f t="shared" si="107"/>
        <v>Large (6+ units)</v>
      </c>
      <c r="AF476" t="str">
        <f t="shared" si="108"/>
        <v>Profitable</v>
      </c>
      <c r="AG476" t="str">
        <f t="shared" si="109"/>
        <v>High Margin</v>
      </c>
      <c r="AH476" t="str">
        <f t="shared" si="110"/>
        <v>Repeat Customer</v>
      </c>
      <c r="AI476" t="str">
        <f t="shared" si="111"/>
        <v>Fast (&lt;=2 days)</v>
      </c>
    </row>
    <row r="477" spans="1:35" ht="15" customHeight="1" x14ac:dyDescent="0.3">
      <c r="A477">
        <v>476</v>
      </c>
      <c r="B477" t="s">
        <v>1814</v>
      </c>
      <c r="C477" s="12">
        <v>41952</v>
      </c>
      <c r="D477" s="12">
        <v>41954</v>
      </c>
      <c r="E477" t="s">
        <v>206</v>
      </c>
      <c r="F477" t="s">
        <v>1815</v>
      </c>
      <c r="G477" t="s">
        <v>1816</v>
      </c>
      <c r="H477" t="s">
        <v>209</v>
      </c>
      <c r="I477" t="s">
        <v>210</v>
      </c>
      <c r="J477" t="s">
        <v>310</v>
      </c>
      <c r="K477" t="s">
        <v>226</v>
      </c>
      <c r="L477">
        <v>94110</v>
      </c>
      <c r="M477" t="s">
        <v>227</v>
      </c>
      <c r="N477" t="s">
        <v>1825</v>
      </c>
      <c r="O477" t="s">
        <v>229</v>
      </c>
      <c r="P477" t="s">
        <v>273</v>
      </c>
      <c r="Q477" t="s">
        <v>1826</v>
      </c>
      <c r="R477" s="13">
        <v>62.65</v>
      </c>
      <c r="S477">
        <v>7</v>
      </c>
      <c r="T477" s="14">
        <v>0</v>
      </c>
      <c r="U477" s="13">
        <v>28.818999999999999</v>
      </c>
      <c r="V477">
        <f t="shared" si="98"/>
        <v>2014</v>
      </c>
      <c r="W477" t="str">
        <f t="shared" si="99"/>
        <v>Nov</v>
      </c>
      <c r="X477" t="str">
        <f t="shared" si="100"/>
        <v>Q4</v>
      </c>
      <c r="Y477" t="str">
        <f t="shared" si="101"/>
        <v>Sun</v>
      </c>
      <c r="Z477" s="16">
        <f t="shared" si="102"/>
        <v>2</v>
      </c>
      <c r="AA477" s="13">
        <f t="shared" si="103"/>
        <v>8.9499999999999993</v>
      </c>
      <c r="AB477" s="14">
        <f t="shared" si="104"/>
        <v>0.46</v>
      </c>
      <c r="AC477" t="str">
        <f t="shared" si="105"/>
        <v>No Discount</v>
      </c>
      <c r="AD477" t="str">
        <f t="shared" si="106"/>
        <v>Medium ($50-$200)</v>
      </c>
      <c r="AE477" t="str">
        <f t="shared" si="107"/>
        <v>Large (6+ units)</v>
      </c>
      <c r="AF477" t="str">
        <f t="shared" si="108"/>
        <v>Profitable</v>
      </c>
      <c r="AG477" t="str">
        <f t="shared" si="109"/>
        <v>High Margin</v>
      </c>
      <c r="AH477" t="str">
        <f t="shared" si="110"/>
        <v>Repeat Customer</v>
      </c>
      <c r="AI477" t="str">
        <f t="shared" si="111"/>
        <v>Fast (&lt;=2 days)</v>
      </c>
    </row>
    <row r="478" spans="1:35" ht="15" customHeight="1" x14ac:dyDescent="0.3">
      <c r="A478">
        <v>477</v>
      </c>
      <c r="B478" t="s">
        <v>1814</v>
      </c>
      <c r="C478" s="12">
        <v>41952</v>
      </c>
      <c r="D478" s="12">
        <v>41954</v>
      </c>
      <c r="E478" t="s">
        <v>206</v>
      </c>
      <c r="F478" t="s">
        <v>1815</v>
      </c>
      <c r="G478" t="s">
        <v>1816</v>
      </c>
      <c r="H478" t="s">
        <v>209</v>
      </c>
      <c r="I478" t="s">
        <v>210</v>
      </c>
      <c r="J478" t="s">
        <v>310</v>
      </c>
      <c r="K478" t="s">
        <v>226</v>
      </c>
      <c r="L478">
        <v>94110</v>
      </c>
      <c r="M478" t="s">
        <v>227</v>
      </c>
      <c r="N478" t="s">
        <v>1827</v>
      </c>
      <c r="O478" t="s">
        <v>229</v>
      </c>
      <c r="P478" t="s">
        <v>273</v>
      </c>
      <c r="Q478" t="s">
        <v>1828</v>
      </c>
      <c r="R478" s="13">
        <v>94.85</v>
      </c>
      <c r="S478">
        <v>5</v>
      </c>
      <c r="T478" s="14">
        <v>0</v>
      </c>
      <c r="U478" s="13">
        <v>45.527999999999999</v>
      </c>
      <c r="V478">
        <f t="shared" si="98"/>
        <v>2014</v>
      </c>
      <c r="W478" t="str">
        <f t="shared" si="99"/>
        <v>Nov</v>
      </c>
      <c r="X478" t="str">
        <f t="shared" si="100"/>
        <v>Q4</v>
      </c>
      <c r="Y478" t="str">
        <f t="shared" si="101"/>
        <v>Sun</v>
      </c>
      <c r="Z478" s="16">
        <f t="shared" si="102"/>
        <v>2</v>
      </c>
      <c r="AA478" s="13">
        <f t="shared" si="103"/>
        <v>18.97</v>
      </c>
      <c r="AB478" s="14">
        <f t="shared" si="104"/>
        <v>0.48000000000000004</v>
      </c>
      <c r="AC478" t="str">
        <f t="shared" si="105"/>
        <v>No Discount</v>
      </c>
      <c r="AD478" t="str">
        <f t="shared" si="106"/>
        <v>Medium ($50-$200)</v>
      </c>
      <c r="AE478" t="str">
        <f t="shared" si="107"/>
        <v>Medium (3-5 units)</v>
      </c>
      <c r="AF478" t="str">
        <f t="shared" si="108"/>
        <v>Profitable</v>
      </c>
      <c r="AG478" t="str">
        <f t="shared" si="109"/>
        <v>High Margin</v>
      </c>
      <c r="AH478" t="str">
        <f t="shared" si="110"/>
        <v>Repeat Customer</v>
      </c>
      <c r="AI478" t="str">
        <f t="shared" si="111"/>
        <v>Fast (&lt;=2 days)</v>
      </c>
    </row>
    <row r="479" spans="1:35" ht="15" customHeight="1" x14ac:dyDescent="0.3">
      <c r="A479">
        <v>478</v>
      </c>
      <c r="B479" t="s">
        <v>1829</v>
      </c>
      <c r="C479" s="12">
        <v>42563</v>
      </c>
      <c r="D479" s="12">
        <v>42570</v>
      </c>
      <c r="E479" t="s">
        <v>233</v>
      </c>
      <c r="F479" t="s">
        <v>1199</v>
      </c>
      <c r="G479" t="s">
        <v>1200</v>
      </c>
      <c r="H479" t="s">
        <v>224</v>
      </c>
      <c r="I479" t="s">
        <v>210</v>
      </c>
      <c r="J479" t="s">
        <v>225</v>
      </c>
      <c r="K479" t="s">
        <v>226</v>
      </c>
      <c r="L479">
        <v>90008</v>
      </c>
      <c r="M479" t="s">
        <v>227</v>
      </c>
      <c r="N479" t="s">
        <v>1830</v>
      </c>
      <c r="O479" t="s">
        <v>254</v>
      </c>
      <c r="P479" t="s">
        <v>255</v>
      </c>
      <c r="Q479" t="s">
        <v>1831</v>
      </c>
      <c r="R479" s="13">
        <v>95.76</v>
      </c>
      <c r="S479">
        <v>6</v>
      </c>
      <c r="T479" s="14">
        <v>0.2</v>
      </c>
      <c r="U479" s="13">
        <v>7.1820000000000004</v>
      </c>
      <c r="V479">
        <f t="shared" si="98"/>
        <v>2016</v>
      </c>
      <c r="W479" t="str">
        <f t="shared" si="99"/>
        <v>Jul</v>
      </c>
      <c r="X479" t="str">
        <f t="shared" si="100"/>
        <v>Q3</v>
      </c>
      <c r="Y479" t="str">
        <f t="shared" si="101"/>
        <v>Tue</v>
      </c>
      <c r="Z479" s="16">
        <f t="shared" si="102"/>
        <v>7</v>
      </c>
      <c r="AA479" s="13">
        <f t="shared" si="103"/>
        <v>15.96</v>
      </c>
      <c r="AB479" s="14">
        <f t="shared" si="104"/>
        <v>7.4999999999999997E-2</v>
      </c>
      <c r="AC479" t="str">
        <f t="shared" si="105"/>
        <v>Low (1-20%)</v>
      </c>
      <c r="AD479" t="str">
        <f t="shared" si="106"/>
        <v>Medium ($50-$200)</v>
      </c>
      <c r="AE479" t="str">
        <f t="shared" si="107"/>
        <v>Large (6+ units)</v>
      </c>
      <c r="AF479" t="str">
        <f t="shared" si="108"/>
        <v>Profitable</v>
      </c>
      <c r="AG479" t="str">
        <f t="shared" si="109"/>
        <v>Low Margin</v>
      </c>
      <c r="AH479" t="str">
        <f t="shared" si="110"/>
        <v>Repeat Customer</v>
      </c>
      <c r="AI479" t="str">
        <f t="shared" si="111"/>
        <v>Slow (6+ days)</v>
      </c>
    </row>
    <row r="480" spans="1:35" ht="15" customHeight="1" x14ac:dyDescent="0.3">
      <c r="A480">
        <v>479</v>
      </c>
      <c r="B480" t="s">
        <v>1832</v>
      </c>
      <c r="C480" s="12">
        <v>42670</v>
      </c>
      <c r="D480" s="12">
        <v>42676</v>
      </c>
      <c r="E480" t="s">
        <v>233</v>
      </c>
      <c r="F480" t="s">
        <v>1833</v>
      </c>
      <c r="G480" t="s">
        <v>1834</v>
      </c>
      <c r="H480" t="s">
        <v>209</v>
      </c>
      <c r="I480" t="s">
        <v>210</v>
      </c>
      <c r="J480" t="s">
        <v>459</v>
      </c>
      <c r="K480" t="s">
        <v>450</v>
      </c>
      <c r="L480">
        <v>12180</v>
      </c>
      <c r="M480" t="s">
        <v>331</v>
      </c>
      <c r="N480" t="s">
        <v>1296</v>
      </c>
      <c r="O480" t="s">
        <v>215</v>
      </c>
      <c r="P480" t="s">
        <v>248</v>
      </c>
      <c r="Q480" t="s">
        <v>1297</v>
      </c>
      <c r="R480" s="13">
        <v>40.200000000000003</v>
      </c>
      <c r="S480">
        <v>3</v>
      </c>
      <c r="T480" s="14">
        <v>0</v>
      </c>
      <c r="U480" s="13">
        <v>19.295999999999999</v>
      </c>
      <c r="V480">
        <f t="shared" si="98"/>
        <v>2016</v>
      </c>
      <c r="W480" t="str">
        <f t="shared" si="99"/>
        <v>Oct</v>
      </c>
      <c r="X480" t="str">
        <f t="shared" si="100"/>
        <v>Q4</v>
      </c>
      <c r="Y480" t="str">
        <f t="shared" si="101"/>
        <v>Thu</v>
      </c>
      <c r="Z480" s="16">
        <f t="shared" si="102"/>
        <v>6</v>
      </c>
      <c r="AA480" s="13">
        <f t="shared" si="103"/>
        <v>13.4</v>
      </c>
      <c r="AB480" s="14">
        <f t="shared" si="104"/>
        <v>0.47999999999999993</v>
      </c>
      <c r="AC480" t="str">
        <f t="shared" si="105"/>
        <v>No Discount</v>
      </c>
      <c r="AD480" t="str">
        <f t="shared" si="106"/>
        <v>Low (&lt;$50)</v>
      </c>
      <c r="AE480" t="str">
        <f t="shared" si="107"/>
        <v>Medium (3-5 units)</v>
      </c>
      <c r="AF480" t="str">
        <f t="shared" si="108"/>
        <v>Profitable</v>
      </c>
      <c r="AG480" t="str">
        <f t="shared" si="109"/>
        <v>High Margin</v>
      </c>
      <c r="AH480" t="str">
        <f t="shared" si="110"/>
        <v>Repeat Customer</v>
      </c>
      <c r="AI480" t="str">
        <f t="shared" si="111"/>
        <v>Slow (6+ days)</v>
      </c>
    </row>
    <row r="481" spans="1:35" ht="15" customHeight="1" x14ac:dyDescent="0.3">
      <c r="A481">
        <v>480</v>
      </c>
      <c r="B481" t="s">
        <v>1835</v>
      </c>
      <c r="C481" s="12">
        <v>42547</v>
      </c>
      <c r="D481" s="12">
        <v>42553</v>
      </c>
      <c r="E481" t="s">
        <v>233</v>
      </c>
      <c r="F481" t="s">
        <v>1836</v>
      </c>
      <c r="G481" t="s">
        <v>1837</v>
      </c>
      <c r="H481" t="s">
        <v>224</v>
      </c>
      <c r="I481" t="s">
        <v>210</v>
      </c>
      <c r="J481" t="s">
        <v>449</v>
      </c>
      <c r="K481" t="s">
        <v>450</v>
      </c>
      <c r="L481">
        <v>10024</v>
      </c>
      <c r="M481" t="s">
        <v>331</v>
      </c>
      <c r="N481" t="s">
        <v>1838</v>
      </c>
      <c r="O481" t="s">
        <v>229</v>
      </c>
      <c r="P481" t="s">
        <v>251</v>
      </c>
      <c r="Q481" t="s">
        <v>1839</v>
      </c>
      <c r="R481" s="13">
        <v>14.7</v>
      </c>
      <c r="S481">
        <v>5</v>
      </c>
      <c r="T481" s="14">
        <v>0</v>
      </c>
      <c r="U481" s="13">
        <v>6.6150000000000002</v>
      </c>
      <c r="V481">
        <f t="shared" si="98"/>
        <v>2016</v>
      </c>
      <c r="W481" t="str">
        <f t="shared" si="99"/>
        <v>Jun</v>
      </c>
      <c r="X481" t="str">
        <f t="shared" si="100"/>
        <v>Q2</v>
      </c>
      <c r="Y481" t="str">
        <f t="shared" si="101"/>
        <v>Sun</v>
      </c>
      <c r="Z481" s="16">
        <f t="shared" si="102"/>
        <v>6</v>
      </c>
      <c r="AA481" s="13">
        <f t="shared" si="103"/>
        <v>2.94</v>
      </c>
      <c r="AB481" s="14">
        <f t="shared" si="104"/>
        <v>0.45</v>
      </c>
      <c r="AC481" t="str">
        <f t="shared" si="105"/>
        <v>No Discount</v>
      </c>
      <c r="AD481" t="str">
        <f t="shared" si="106"/>
        <v>Low (&lt;$50)</v>
      </c>
      <c r="AE481" t="str">
        <f t="shared" si="107"/>
        <v>Medium (3-5 units)</v>
      </c>
      <c r="AF481" t="str">
        <f t="shared" si="108"/>
        <v>Profitable</v>
      </c>
      <c r="AG481" t="str">
        <f t="shared" si="109"/>
        <v>High Margin</v>
      </c>
      <c r="AH481" t="str">
        <f t="shared" si="110"/>
        <v>Repeat Customer</v>
      </c>
      <c r="AI481" t="str">
        <f t="shared" si="111"/>
        <v>Slow (6+ days)</v>
      </c>
    </row>
    <row r="482" spans="1:35" ht="15" customHeight="1" x14ac:dyDescent="0.3">
      <c r="A482">
        <v>481</v>
      </c>
      <c r="B482" t="s">
        <v>1835</v>
      </c>
      <c r="C482" s="12">
        <v>42547</v>
      </c>
      <c r="D482" s="12">
        <v>42553</v>
      </c>
      <c r="E482" t="s">
        <v>233</v>
      </c>
      <c r="F482" t="s">
        <v>1836</v>
      </c>
      <c r="G482" t="s">
        <v>1837</v>
      </c>
      <c r="H482" t="s">
        <v>224</v>
      </c>
      <c r="I482" t="s">
        <v>210</v>
      </c>
      <c r="J482" t="s">
        <v>449</v>
      </c>
      <c r="K482" t="s">
        <v>450</v>
      </c>
      <c r="L482">
        <v>10024</v>
      </c>
      <c r="M482" t="s">
        <v>331</v>
      </c>
      <c r="N482" t="s">
        <v>1840</v>
      </c>
      <c r="O482" t="s">
        <v>229</v>
      </c>
      <c r="P482" t="s">
        <v>242</v>
      </c>
      <c r="Q482" t="s">
        <v>1841</v>
      </c>
      <c r="R482" s="13">
        <v>704.25</v>
      </c>
      <c r="S482">
        <v>5</v>
      </c>
      <c r="T482" s="14">
        <v>0</v>
      </c>
      <c r="U482" s="13">
        <v>84.51</v>
      </c>
      <c r="V482">
        <f t="shared" si="98"/>
        <v>2016</v>
      </c>
      <c r="W482" t="str">
        <f t="shared" si="99"/>
        <v>Jun</v>
      </c>
      <c r="X482" t="str">
        <f t="shared" si="100"/>
        <v>Q2</v>
      </c>
      <c r="Y482" t="str">
        <f t="shared" si="101"/>
        <v>Sun</v>
      </c>
      <c r="Z482" s="16">
        <f t="shared" si="102"/>
        <v>6</v>
      </c>
      <c r="AA482" s="13">
        <f t="shared" si="103"/>
        <v>140.85</v>
      </c>
      <c r="AB482" s="14">
        <f t="shared" si="104"/>
        <v>0.12000000000000001</v>
      </c>
      <c r="AC482" t="str">
        <f t="shared" si="105"/>
        <v>No Discount</v>
      </c>
      <c r="AD482" t="str">
        <f t="shared" si="106"/>
        <v>Premium ($500+)</v>
      </c>
      <c r="AE482" t="str">
        <f t="shared" si="107"/>
        <v>Medium (3-5 units)</v>
      </c>
      <c r="AF482" t="str">
        <f t="shared" si="108"/>
        <v>Profitable</v>
      </c>
      <c r="AG482" t="str">
        <f t="shared" si="109"/>
        <v>Healthy Margin</v>
      </c>
      <c r="AH482" t="str">
        <f t="shared" si="110"/>
        <v>Repeat Customer</v>
      </c>
      <c r="AI482" t="str">
        <f t="shared" si="111"/>
        <v>Slow (6+ days)</v>
      </c>
    </row>
    <row r="483" spans="1:35" ht="15" customHeight="1" x14ac:dyDescent="0.3">
      <c r="A483">
        <v>482</v>
      </c>
      <c r="B483" t="s">
        <v>1842</v>
      </c>
      <c r="C483" s="12">
        <v>41918</v>
      </c>
      <c r="D483" s="12">
        <v>41922</v>
      </c>
      <c r="E483" t="s">
        <v>233</v>
      </c>
      <c r="F483" t="s">
        <v>1843</v>
      </c>
      <c r="G483" t="s">
        <v>1844</v>
      </c>
      <c r="H483" t="s">
        <v>209</v>
      </c>
      <c r="I483" t="s">
        <v>210</v>
      </c>
      <c r="J483" t="s">
        <v>1133</v>
      </c>
      <c r="K483" t="s">
        <v>226</v>
      </c>
      <c r="L483">
        <v>92024</v>
      </c>
      <c r="M483" t="s">
        <v>227</v>
      </c>
      <c r="N483" t="s">
        <v>1845</v>
      </c>
      <c r="O483" t="s">
        <v>254</v>
      </c>
      <c r="P483" t="s">
        <v>344</v>
      </c>
      <c r="Q483" t="s">
        <v>1846</v>
      </c>
      <c r="R483" s="13">
        <v>9.09</v>
      </c>
      <c r="S483">
        <v>3</v>
      </c>
      <c r="T483" s="14">
        <v>0</v>
      </c>
      <c r="U483" s="13">
        <v>1.9089</v>
      </c>
      <c r="V483">
        <f t="shared" si="98"/>
        <v>2014</v>
      </c>
      <c r="W483" t="str">
        <f t="shared" si="99"/>
        <v>Oct</v>
      </c>
      <c r="X483" t="str">
        <f t="shared" si="100"/>
        <v>Q4</v>
      </c>
      <c r="Y483" t="str">
        <f t="shared" si="101"/>
        <v>Mon</v>
      </c>
      <c r="Z483" s="16">
        <f t="shared" si="102"/>
        <v>4</v>
      </c>
      <c r="AA483" s="13">
        <f t="shared" si="103"/>
        <v>3.03</v>
      </c>
      <c r="AB483" s="14">
        <f t="shared" si="104"/>
        <v>0.21000000000000002</v>
      </c>
      <c r="AC483" t="str">
        <f t="shared" si="105"/>
        <v>No Discount</v>
      </c>
      <c r="AD483" t="str">
        <f t="shared" si="106"/>
        <v>Low (&lt;$50)</v>
      </c>
      <c r="AE483" t="str">
        <f t="shared" si="107"/>
        <v>Medium (3-5 units)</v>
      </c>
      <c r="AF483" t="str">
        <f t="shared" si="108"/>
        <v>Profitable</v>
      </c>
      <c r="AG483" t="str">
        <f t="shared" si="109"/>
        <v>Healthy Margin</v>
      </c>
      <c r="AH483" t="str">
        <f t="shared" si="110"/>
        <v>Single Purchase</v>
      </c>
      <c r="AI483" t="str">
        <f t="shared" si="111"/>
        <v>Standard (3-5 days)</v>
      </c>
    </row>
    <row r="484" spans="1:35" ht="15" customHeight="1" x14ac:dyDescent="0.3">
      <c r="A484">
        <v>483</v>
      </c>
      <c r="B484" t="s">
        <v>1847</v>
      </c>
      <c r="C484" s="12">
        <v>41842</v>
      </c>
      <c r="D484" s="12">
        <v>41847</v>
      </c>
      <c r="E484" t="s">
        <v>233</v>
      </c>
      <c r="F484" t="s">
        <v>1848</v>
      </c>
      <c r="G484" t="s">
        <v>1849</v>
      </c>
      <c r="H484" t="s">
        <v>209</v>
      </c>
      <c r="I484" t="s">
        <v>210</v>
      </c>
      <c r="J484" t="s">
        <v>449</v>
      </c>
      <c r="K484" t="s">
        <v>450</v>
      </c>
      <c r="L484">
        <v>10024</v>
      </c>
      <c r="M484" t="s">
        <v>331</v>
      </c>
      <c r="N484" t="s">
        <v>549</v>
      </c>
      <c r="O484" t="s">
        <v>229</v>
      </c>
      <c r="P484" t="s">
        <v>251</v>
      </c>
      <c r="Q484" t="s">
        <v>550</v>
      </c>
      <c r="R484" s="13">
        <v>5.96</v>
      </c>
      <c r="S484">
        <v>2</v>
      </c>
      <c r="T484" s="14">
        <v>0</v>
      </c>
      <c r="U484" s="13">
        <v>1.6688000000000001</v>
      </c>
      <c r="V484">
        <f t="shared" si="98"/>
        <v>2014</v>
      </c>
      <c r="W484" t="str">
        <f t="shared" si="99"/>
        <v>Jul</v>
      </c>
      <c r="X484" t="str">
        <f t="shared" si="100"/>
        <v>Q3</v>
      </c>
      <c r="Y484" t="str">
        <f t="shared" si="101"/>
        <v>Tue</v>
      </c>
      <c r="Z484" s="16">
        <f t="shared" si="102"/>
        <v>5</v>
      </c>
      <c r="AA484" s="13">
        <f t="shared" si="103"/>
        <v>2.98</v>
      </c>
      <c r="AB484" s="14">
        <f t="shared" si="104"/>
        <v>0.28000000000000003</v>
      </c>
      <c r="AC484" t="str">
        <f t="shared" si="105"/>
        <v>No Discount</v>
      </c>
      <c r="AD484" t="str">
        <f t="shared" si="106"/>
        <v>Low (&lt;$50)</v>
      </c>
      <c r="AE484" t="str">
        <f t="shared" si="107"/>
        <v>Small (1-2 units)</v>
      </c>
      <c r="AF484" t="str">
        <f t="shared" si="108"/>
        <v>Profitable</v>
      </c>
      <c r="AG484" t="str">
        <f t="shared" si="109"/>
        <v>High Margin</v>
      </c>
      <c r="AH484" t="str">
        <f t="shared" si="110"/>
        <v>Repeat Customer</v>
      </c>
      <c r="AI484" t="str">
        <f t="shared" si="111"/>
        <v>Standard (3-5 days)</v>
      </c>
    </row>
    <row r="485" spans="1:35" ht="15" customHeight="1" x14ac:dyDescent="0.3">
      <c r="A485">
        <v>484</v>
      </c>
      <c r="B485" t="s">
        <v>1847</v>
      </c>
      <c r="C485" s="12">
        <v>41842</v>
      </c>
      <c r="D485" s="12">
        <v>41847</v>
      </c>
      <c r="E485" t="s">
        <v>233</v>
      </c>
      <c r="F485" t="s">
        <v>1848</v>
      </c>
      <c r="G485" t="s">
        <v>1849</v>
      </c>
      <c r="H485" t="s">
        <v>209</v>
      </c>
      <c r="I485" t="s">
        <v>210</v>
      </c>
      <c r="J485" t="s">
        <v>449</v>
      </c>
      <c r="K485" t="s">
        <v>450</v>
      </c>
      <c r="L485">
        <v>10024</v>
      </c>
      <c r="M485" t="s">
        <v>331</v>
      </c>
      <c r="N485" t="s">
        <v>1850</v>
      </c>
      <c r="O485" t="s">
        <v>254</v>
      </c>
      <c r="P485" t="s">
        <v>344</v>
      </c>
      <c r="Q485" t="s">
        <v>1851</v>
      </c>
      <c r="R485" s="13">
        <v>159.97999999999999</v>
      </c>
      <c r="S485">
        <v>2</v>
      </c>
      <c r="T485" s="14">
        <v>0</v>
      </c>
      <c r="U485" s="13">
        <v>57.592799999999997</v>
      </c>
      <c r="V485">
        <f t="shared" si="98"/>
        <v>2014</v>
      </c>
      <c r="W485" t="str">
        <f t="shared" si="99"/>
        <v>Jul</v>
      </c>
      <c r="X485" t="str">
        <f t="shared" si="100"/>
        <v>Q3</v>
      </c>
      <c r="Y485" t="str">
        <f t="shared" si="101"/>
        <v>Tue</v>
      </c>
      <c r="Z485" s="16">
        <f t="shared" si="102"/>
        <v>5</v>
      </c>
      <c r="AA485" s="13">
        <f t="shared" si="103"/>
        <v>79.989999999999995</v>
      </c>
      <c r="AB485" s="14">
        <f t="shared" si="104"/>
        <v>0.36</v>
      </c>
      <c r="AC485" t="str">
        <f t="shared" si="105"/>
        <v>No Discount</v>
      </c>
      <c r="AD485" t="str">
        <f t="shared" si="106"/>
        <v>Medium ($50-$200)</v>
      </c>
      <c r="AE485" t="str">
        <f t="shared" si="107"/>
        <v>Small (1-2 units)</v>
      </c>
      <c r="AF485" t="str">
        <f t="shared" si="108"/>
        <v>Profitable</v>
      </c>
      <c r="AG485" t="str">
        <f t="shared" si="109"/>
        <v>High Margin</v>
      </c>
      <c r="AH485" t="str">
        <f t="shared" si="110"/>
        <v>Repeat Customer</v>
      </c>
      <c r="AI485" t="str">
        <f t="shared" si="111"/>
        <v>Standard (3-5 days)</v>
      </c>
    </row>
    <row r="486" spans="1:35" ht="15" customHeight="1" x14ac:dyDescent="0.3">
      <c r="A486">
        <v>485</v>
      </c>
      <c r="B486" t="s">
        <v>1852</v>
      </c>
      <c r="C486" s="12">
        <v>42896</v>
      </c>
      <c r="D486" s="12">
        <v>42899</v>
      </c>
      <c r="E486" t="s">
        <v>371</v>
      </c>
      <c r="F486" t="s">
        <v>1853</v>
      </c>
      <c r="G486" t="s">
        <v>1854</v>
      </c>
      <c r="H486" t="s">
        <v>285</v>
      </c>
      <c r="I486" t="s">
        <v>210</v>
      </c>
      <c r="J486" t="s">
        <v>225</v>
      </c>
      <c r="K486" t="s">
        <v>226</v>
      </c>
      <c r="L486">
        <v>90045</v>
      </c>
      <c r="M486" t="s">
        <v>227</v>
      </c>
      <c r="N486" t="s">
        <v>1855</v>
      </c>
      <c r="O486" t="s">
        <v>229</v>
      </c>
      <c r="P486" t="s">
        <v>230</v>
      </c>
      <c r="Q486" t="s">
        <v>1856</v>
      </c>
      <c r="R486" s="13">
        <v>29.6</v>
      </c>
      <c r="S486">
        <v>2</v>
      </c>
      <c r="T486" s="14">
        <v>0</v>
      </c>
      <c r="U486" s="13">
        <v>14.8</v>
      </c>
      <c r="V486">
        <f t="shared" si="98"/>
        <v>2017</v>
      </c>
      <c r="W486" t="str">
        <f t="shared" si="99"/>
        <v>Jun</v>
      </c>
      <c r="X486" t="str">
        <f t="shared" si="100"/>
        <v>Q2</v>
      </c>
      <c r="Y486" t="str">
        <f t="shared" si="101"/>
        <v>Sat</v>
      </c>
      <c r="Z486" s="16">
        <f t="shared" si="102"/>
        <v>3</v>
      </c>
      <c r="AA486" s="13">
        <f t="shared" si="103"/>
        <v>14.8</v>
      </c>
      <c r="AB486" s="14">
        <f t="shared" si="104"/>
        <v>0.5</v>
      </c>
      <c r="AC486" t="str">
        <f t="shared" si="105"/>
        <v>No Discount</v>
      </c>
      <c r="AD486" t="str">
        <f t="shared" si="106"/>
        <v>Low (&lt;$50)</v>
      </c>
      <c r="AE486" t="str">
        <f t="shared" si="107"/>
        <v>Small (1-2 units)</v>
      </c>
      <c r="AF486" t="str">
        <f t="shared" si="108"/>
        <v>Profitable</v>
      </c>
      <c r="AG486" t="str">
        <f t="shared" si="109"/>
        <v>High Margin</v>
      </c>
      <c r="AH486" t="str">
        <f t="shared" si="110"/>
        <v>Repeat Customer</v>
      </c>
      <c r="AI486" t="str">
        <f t="shared" si="111"/>
        <v>Standard (3-5 days)</v>
      </c>
    </row>
    <row r="487" spans="1:35" ht="15" customHeight="1" x14ac:dyDescent="0.3">
      <c r="A487">
        <v>486</v>
      </c>
      <c r="B487" t="s">
        <v>1852</v>
      </c>
      <c r="C487" s="12">
        <v>42896</v>
      </c>
      <c r="D487" s="12">
        <v>42899</v>
      </c>
      <c r="E487" t="s">
        <v>371</v>
      </c>
      <c r="F487" t="s">
        <v>1853</v>
      </c>
      <c r="G487" t="s">
        <v>1854</v>
      </c>
      <c r="H487" t="s">
        <v>285</v>
      </c>
      <c r="I487" t="s">
        <v>210</v>
      </c>
      <c r="J487" t="s">
        <v>225</v>
      </c>
      <c r="K487" t="s">
        <v>226</v>
      </c>
      <c r="L487">
        <v>90045</v>
      </c>
      <c r="M487" t="s">
        <v>227</v>
      </c>
      <c r="N487" t="s">
        <v>1857</v>
      </c>
      <c r="O487" t="s">
        <v>215</v>
      </c>
      <c r="P487" t="s">
        <v>216</v>
      </c>
      <c r="Q487" t="s">
        <v>1858</v>
      </c>
      <c r="R487" s="13">
        <v>514.16499999999996</v>
      </c>
      <c r="S487">
        <v>5</v>
      </c>
      <c r="T487" s="14">
        <v>0.15</v>
      </c>
      <c r="U487" s="13">
        <v>-30.245000000000001</v>
      </c>
      <c r="V487">
        <f t="shared" si="98"/>
        <v>2017</v>
      </c>
      <c r="W487" t="str">
        <f t="shared" si="99"/>
        <v>Jun</v>
      </c>
      <c r="X487" t="str">
        <f t="shared" si="100"/>
        <v>Q2</v>
      </c>
      <c r="Y487" t="str">
        <f t="shared" si="101"/>
        <v>Sat</v>
      </c>
      <c r="Z487" s="16">
        <f t="shared" si="102"/>
        <v>3</v>
      </c>
      <c r="AA487" s="13">
        <f t="shared" si="103"/>
        <v>102.833</v>
      </c>
      <c r="AB487" s="14">
        <f t="shared" si="104"/>
        <v>-5.8823529411764712E-2</v>
      </c>
      <c r="AC487" t="str">
        <f t="shared" si="105"/>
        <v>Low (1-20%)</v>
      </c>
      <c r="AD487" t="str">
        <f t="shared" si="106"/>
        <v>Premium ($500+)</v>
      </c>
      <c r="AE487" t="str">
        <f t="shared" si="107"/>
        <v>Medium (3-5 units)</v>
      </c>
      <c r="AF487" t="str">
        <f t="shared" si="108"/>
        <v>Loss-Making</v>
      </c>
      <c r="AG487" t="str">
        <f t="shared" si="109"/>
        <v>Underperforming</v>
      </c>
      <c r="AH487" t="str">
        <f t="shared" si="110"/>
        <v>Repeat Customer</v>
      </c>
      <c r="AI487" t="str">
        <f t="shared" si="111"/>
        <v>Standard (3-5 days)</v>
      </c>
    </row>
    <row r="488" spans="1:35" ht="15" customHeight="1" x14ac:dyDescent="0.3">
      <c r="A488">
        <v>487</v>
      </c>
      <c r="B488" t="s">
        <v>1852</v>
      </c>
      <c r="C488" s="12">
        <v>42896</v>
      </c>
      <c r="D488" s="12">
        <v>42899</v>
      </c>
      <c r="E488" t="s">
        <v>371</v>
      </c>
      <c r="F488" t="s">
        <v>1853</v>
      </c>
      <c r="G488" t="s">
        <v>1854</v>
      </c>
      <c r="H488" t="s">
        <v>285</v>
      </c>
      <c r="I488" t="s">
        <v>210</v>
      </c>
      <c r="J488" t="s">
        <v>225</v>
      </c>
      <c r="K488" t="s">
        <v>226</v>
      </c>
      <c r="L488">
        <v>90045</v>
      </c>
      <c r="M488" t="s">
        <v>227</v>
      </c>
      <c r="N488" t="s">
        <v>1859</v>
      </c>
      <c r="O488" t="s">
        <v>254</v>
      </c>
      <c r="P488" t="s">
        <v>255</v>
      </c>
      <c r="Q488" t="s">
        <v>1860</v>
      </c>
      <c r="R488" s="13">
        <v>279.95999999999998</v>
      </c>
      <c r="S488">
        <v>5</v>
      </c>
      <c r="T488" s="14">
        <v>0.2</v>
      </c>
      <c r="U488" s="13">
        <v>17.497499999999999</v>
      </c>
      <c r="V488">
        <f t="shared" si="98"/>
        <v>2017</v>
      </c>
      <c r="W488" t="str">
        <f t="shared" si="99"/>
        <v>Jun</v>
      </c>
      <c r="X488" t="str">
        <f t="shared" si="100"/>
        <v>Q2</v>
      </c>
      <c r="Y488" t="str">
        <f t="shared" si="101"/>
        <v>Sat</v>
      </c>
      <c r="Z488" s="16">
        <f t="shared" si="102"/>
        <v>3</v>
      </c>
      <c r="AA488" s="13">
        <f t="shared" si="103"/>
        <v>55.991999999999997</v>
      </c>
      <c r="AB488" s="14">
        <f t="shared" si="104"/>
        <v>6.25E-2</v>
      </c>
      <c r="AC488" t="str">
        <f t="shared" si="105"/>
        <v>Low (1-20%)</v>
      </c>
      <c r="AD488" t="str">
        <f t="shared" si="106"/>
        <v>High ($200-$500)</v>
      </c>
      <c r="AE488" t="str">
        <f t="shared" si="107"/>
        <v>Medium (3-5 units)</v>
      </c>
      <c r="AF488" t="str">
        <f t="shared" si="108"/>
        <v>Profitable</v>
      </c>
      <c r="AG488" t="str">
        <f t="shared" si="109"/>
        <v>Low Margin</v>
      </c>
      <c r="AH488" t="str">
        <f t="shared" si="110"/>
        <v>Repeat Customer</v>
      </c>
      <c r="AI488" t="str">
        <f t="shared" si="111"/>
        <v>Standard (3-5 days)</v>
      </c>
    </row>
    <row r="489" spans="1:35" ht="15" customHeight="1" x14ac:dyDescent="0.3">
      <c r="A489">
        <v>488</v>
      </c>
      <c r="B489" t="s">
        <v>1861</v>
      </c>
      <c r="C489" s="12">
        <v>41941</v>
      </c>
      <c r="D489" s="12">
        <v>41943</v>
      </c>
      <c r="E489" t="s">
        <v>371</v>
      </c>
      <c r="F489" t="s">
        <v>1862</v>
      </c>
      <c r="G489" t="s">
        <v>1863</v>
      </c>
      <c r="H489" t="s">
        <v>209</v>
      </c>
      <c r="I489" t="s">
        <v>210</v>
      </c>
      <c r="J489" t="s">
        <v>486</v>
      </c>
      <c r="K489" t="s">
        <v>394</v>
      </c>
      <c r="L489">
        <v>60610</v>
      </c>
      <c r="M489" t="s">
        <v>288</v>
      </c>
      <c r="N489" t="s">
        <v>1864</v>
      </c>
      <c r="O489" t="s">
        <v>254</v>
      </c>
      <c r="P489" t="s">
        <v>255</v>
      </c>
      <c r="Q489" t="s">
        <v>1865</v>
      </c>
      <c r="R489" s="13">
        <v>2735.9520000000002</v>
      </c>
      <c r="S489">
        <v>6</v>
      </c>
      <c r="T489" s="14">
        <v>0.2</v>
      </c>
      <c r="U489" s="13">
        <v>341.99400000000003</v>
      </c>
      <c r="V489">
        <f t="shared" si="98"/>
        <v>2014</v>
      </c>
      <c r="W489" t="str">
        <f t="shared" si="99"/>
        <v>Oct</v>
      </c>
      <c r="X489" t="str">
        <f t="shared" si="100"/>
        <v>Q4</v>
      </c>
      <c r="Y489" t="str">
        <f t="shared" si="101"/>
        <v>Wed</v>
      </c>
      <c r="Z489" s="16">
        <f t="shared" si="102"/>
        <v>2</v>
      </c>
      <c r="AA489" s="13">
        <f t="shared" si="103"/>
        <v>455.99200000000002</v>
      </c>
      <c r="AB489" s="14">
        <f t="shared" si="104"/>
        <v>0.125</v>
      </c>
      <c r="AC489" t="str">
        <f t="shared" si="105"/>
        <v>Low (1-20%)</v>
      </c>
      <c r="AD489" t="str">
        <f t="shared" si="106"/>
        <v>Premium ($500+)</v>
      </c>
      <c r="AE489" t="str">
        <f t="shared" si="107"/>
        <v>Large (6+ units)</v>
      </c>
      <c r="AF489" t="str">
        <f t="shared" si="108"/>
        <v>Profitable</v>
      </c>
      <c r="AG489" t="str">
        <f t="shared" si="109"/>
        <v>Healthy Margin</v>
      </c>
      <c r="AH489" t="str">
        <f t="shared" si="110"/>
        <v>Repeat Customer</v>
      </c>
      <c r="AI489" t="str">
        <f t="shared" si="111"/>
        <v>Fast (&lt;=2 days)</v>
      </c>
    </row>
    <row r="490" spans="1:35" ht="15" customHeight="1" x14ac:dyDescent="0.3">
      <c r="A490">
        <v>489</v>
      </c>
      <c r="B490" t="s">
        <v>1866</v>
      </c>
      <c r="C490" s="12">
        <v>41799</v>
      </c>
      <c r="D490" s="12">
        <v>41803</v>
      </c>
      <c r="E490" t="s">
        <v>206</v>
      </c>
      <c r="F490" t="s">
        <v>1867</v>
      </c>
      <c r="G490" t="s">
        <v>1868</v>
      </c>
      <c r="H490" t="s">
        <v>285</v>
      </c>
      <c r="I490" t="s">
        <v>210</v>
      </c>
      <c r="J490" t="s">
        <v>1869</v>
      </c>
      <c r="K490" t="s">
        <v>287</v>
      </c>
      <c r="L490">
        <v>77340</v>
      </c>
      <c r="M490" t="s">
        <v>288</v>
      </c>
      <c r="N490" t="s">
        <v>1870</v>
      </c>
      <c r="O490" t="s">
        <v>254</v>
      </c>
      <c r="P490" t="s">
        <v>255</v>
      </c>
      <c r="Q490" t="s">
        <v>1871</v>
      </c>
      <c r="R490" s="13">
        <v>7.992</v>
      </c>
      <c r="S490">
        <v>1</v>
      </c>
      <c r="T490" s="14">
        <v>0.2</v>
      </c>
      <c r="U490" s="13">
        <v>0.59940000000000004</v>
      </c>
      <c r="V490">
        <f t="shared" si="98"/>
        <v>2014</v>
      </c>
      <c r="W490" t="str">
        <f t="shared" si="99"/>
        <v>Jun</v>
      </c>
      <c r="X490" t="str">
        <f t="shared" si="100"/>
        <v>Q2</v>
      </c>
      <c r="Y490" t="str">
        <f t="shared" si="101"/>
        <v>Mon</v>
      </c>
      <c r="Z490" s="16">
        <f t="shared" si="102"/>
        <v>4</v>
      </c>
      <c r="AA490" s="13">
        <f t="shared" si="103"/>
        <v>7.992</v>
      </c>
      <c r="AB490" s="14">
        <f t="shared" si="104"/>
        <v>7.5000000000000011E-2</v>
      </c>
      <c r="AC490" t="str">
        <f t="shared" si="105"/>
        <v>Low (1-20%)</v>
      </c>
      <c r="AD490" t="str">
        <f t="shared" si="106"/>
        <v>Low (&lt;$50)</v>
      </c>
      <c r="AE490" t="str">
        <f t="shared" si="107"/>
        <v>Small (1-2 units)</v>
      </c>
      <c r="AF490" t="str">
        <f t="shared" si="108"/>
        <v>Profitable</v>
      </c>
      <c r="AG490" t="str">
        <f t="shared" si="109"/>
        <v>Low Margin</v>
      </c>
      <c r="AH490" t="str">
        <f t="shared" si="110"/>
        <v>Repeat Customer</v>
      </c>
      <c r="AI490" t="str">
        <f t="shared" si="111"/>
        <v>Standard (3-5 days)</v>
      </c>
    </row>
    <row r="491" spans="1:35" ht="15" customHeight="1" x14ac:dyDescent="0.3">
      <c r="A491">
        <v>490</v>
      </c>
      <c r="B491" t="s">
        <v>1866</v>
      </c>
      <c r="C491" s="12">
        <v>41799</v>
      </c>
      <c r="D491" s="12">
        <v>41803</v>
      </c>
      <c r="E491" t="s">
        <v>206</v>
      </c>
      <c r="F491" t="s">
        <v>1867</v>
      </c>
      <c r="G491" t="s">
        <v>1868</v>
      </c>
      <c r="H491" t="s">
        <v>285</v>
      </c>
      <c r="I491" t="s">
        <v>210</v>
      </c>
      <c r="J491" t="s">
        <v>1869</v>
      </c>
      <c r="K491" t="s">
        <v>287</v>
      </c>
      <c r="L491">
        <v>77340</v>
      </c>
      <c r="M491" t="s">
        <v>288</v>
      </c>
      <c r="N491" t="s">
        <v>1872</v>
      </c>
      <c r="O491" t="s">
        <v>254</v>
      </c>
      <c r="P491" t="s">
        <v>344</v>
      </c>
      <c r="Q491" t="s">
        <v>1873</v>
      </c>
      <c r="R491" s="13">
        <v>63.984000000000002</v>
      </c>
      <c r="S491">
        <v>2</v>
      </c>
      <c r="T491" s="14">
        <v>0.2</v>
      </c>
      <c r="U491" s="13">
        <v>10.397399999999999</v>
      </c>
      <c r="V491">
        <f t="shared" si="98"/>
        <v>2014</v>
      </c>
      <c r="W491" t="str">
        <f t="shared" si="99"/>
        <v>Jun</v>
      </c>
      <c r="X491" t="str">
        <f t="shared" si="100"/>
        <v>Q2</v>
      </c>
      <c r="Y491" t="str">
        <f t="shared" si="101"/>
        <v>Mon</v>
      </c>
      <c r="Z491" s="16">
        <f t="shared" si="102"/>
        <v>4</v>
      </c>
      <c r="AA491" s="13">
        <f t="shared" si="103"/>
        <v>31.992000000000001</v>
      </c>
      <c r="AB491" s="14">
        <f t="shared" si="104"/>
        <v>0.16249999999999998</v>
      </c>
      <c r="AC491" t="str">
        <f t="shared" si="105"/>
        <v>Low (1-20%)</v>
      </c>
      <c r="AD491" t="str">
        <f t="shared" si="106"/>
        <v>Medium ($50-$200)</v>
      </c>
      <c r="AE491" t="str">
        <f t="shared" si="107"/>
        <v>Small (1-2 units)</v>
      </c>
      <c r="AF491" t="str">
        <f t="shared" si="108"/>
        <v>Profitable</v>
      </c>
      <c r="AG491" t="str">
        <f t="shared" si="109"/>
        <v>Healthy Margin</v>
      </c>
      <c r="AH491" t="str">
        <f t="shared" si="110"/>
        <v>Repeat Customer</v>
      </c>
      <c r="AI491" t="str">
        <f t="shared" si="111"/>
        <v>Standard (3-5 days)</v>
      </c>
    </row>
    <row r="492" spans="1:35" ht="15" customHeight="1" x14ac:dyDescent="0.3">
      <c r="A492">
        <v>491</v>
      </c>
      <c r="B492" t="s">
        <v>1866</v>
      </c>
      <c r="C492" s="12">
        <v>41799</v>
      </c>
      <c r="D492" s="12">
        <v>41803</v>
      </c>
      <c r="E492" t="s">
        <v>206</v>
      </c>
      <c r="F492" t="s">
        <v>1867</v>
      </c>
      <c r="G492" t="s">
        <v>1868</v>
      </c>
      <c r="H492" t="s">
        <v>285</v>
      </c>
      <c r="I492" t="s">
        <v>210</v>
      </c>
      <c r="J492" t="s">
        <v>1869</v>
      </c>
      <c r="K492" t="s">
        <v>287</v>
      </c>
      <c r="L492">
        <v>77340</v>
      </c>
      <c r="M492" t="s">
        <v>288</v>
      </c>
      <c r="N492" t="s">
        <v>1753</v>
      </c>
      <c r="O492" t="s">
        <v>229</v>
      </c>
      <c r="P492" t="s">
        <v>251</v>
      </c>
      <c r="Q492" t="s">
        <v>1754</v>
      </c>
      <c r="R492" s="13">
        <v>70.367999999999995</v>
      </c>
      <c r="S492">
        <v>2</v>
      </c>
      <c r="T492" s="14">
        <v>0.2</v>
      </c>
      <c r="U492" s="13">
        <v>6.1571999999999996</v>
      </c>
      <c r="V492">
        <f t="shared" si="98"/>
        <v>2014</v>
      </c>
      <c r="W492" t="str">
        <f t="shared" si="99"/>
        <v>Jun</v>
      </c>
      <c r="X492" t="str">
        <f t="shared" si="100"/>
        <v>Q2</v>
      </c>
      <c r="Y492" t="str">
        <f t="shared" si="101"/>
        <v>Mon</v>
      </c>
      <c r="Z492" s="16">
        <f t="shared" si="102"/>
        <v>4</v>
      </c>
      <c r="AA492" s="13">
        <f t="shared" si="103"/>
        <v>35.183999999999997</v>
      </c>
      <c r="AB492" s="14">
        <f t="shared" si="104"/>
        <v>8.7499999999999994E-2</v>
      </c>
      <c r="AC492" t="str">
        <f t="shared" si="105"/>
        <v>Low (1-20%)</v>
      </c>
      <c r="AD492" t="str">
        <f t="shared" si="106"/>
        <v>Medium ($50-$200)</v>
      </c>
      <c r="AE492" t="str">
        <f t="shared" si="107"/>
        <v>Small (1-2 units)</v>
      </c>
      <c r="AF492" t="str">
        <f t="shared" si="108"/>
        <v>Profitable</v>
      </c>
      <c r="AG492" t="str">
        <f t="shared" si="109"/>
        <v>Low Margin</v>
      </c>
      <c r="AH492" t="str">
        <f t="shared" si="110"/>
        <v>Repeat Customer</v>
      </c>
      <c r="AI492" t="str">
        <f t="shared" si="111"/>
        <v>Standard (3-5 days)</v>
      </c>
    </row>
    <row r="493" spans="1:35" ht="15" customHeight="1" x14ac:dyDescent="0.3">
      <c r="A493">
        <v>492</v>
      </c>
      <c r="B493" t="s">
        <v>1874</v>
      </c>
      <c r="C493" s="12">
        <v>41896</v>
      </c>
      <c r="D493" s="12">
        <v>41901</v>
      </c>
      <c r="E493" t="s">
        <v>233</v>
      </c>
      <c r="F493" t="s">
        <v>1875</v>
      </c>
      <c r="G493" t="s">
        <v>1876</v>
      </c>
      <c r="H493" t="s">
        <v>209</v>
      </c>
      <c r="I493" t="s">
        <v>210</v>
      </c>
      <c r="J493" t="s">
        <v>572</v>
      </c>
      <c r="K493" t="s">
        <v>450</v>
      </c>
      <c r="L493">
        <v>14609</v>
      </c>
      <c r="M493" t="s">
        <v>331</v>
      </c>
      <c r="N493" t="s">
        <v>1877</v>
      </c>
      <c r="O493" t="s">
        <v>229</v>
      </c>
      <c r="P493" t="s">
        <v>242</v>
      </c>
      <c r="Q493" t="s">
        <v>1878</v>
      </c>
      <c r="R493" s="13">
        <v>449.15</v>
      </c>
      <c r="S493">
        <v>5</v>
      </c>
      <c r="T493" s="14">
        <v>0</v>
      </c>
      <c r="U493" s="13">
        <v>8.9829999999999899</v>
      </c>
      <c r="V493">
        <f t="shared" si="98"/>
        <v>2014</v>
      </c>
      <c r="W493" t="str">
        <f t="shared" si="99"/>
        <v>Sep</v>
      </c>
      <c r="X493" t="str">
        <f t="shared" si="100"/>
        <v>Q3</v>
      </c>
      <c r="Y493" t="str">
        <f t="shared" si="101"/>
        <v>Sun</v>
      </c>
      <c r="Z493" s="16">
        <f t="shared" si="102"/>
        <v>5</v>
      </c>
      <c r="AA493" s="13">
        <f t="shared" si="103"/>
        <v>89.83</v>
      </c>
      <c r="AB493" s="14">
        <f t="shared" si="104"/>
        <v>1.999999999999998E-2</v>
      </c>
      <c r="AC493" t="str">
        <f t="shared" si="105"/>
        <v>No Discount</v>
      </c>
      <c r="AD493" t="str">
        <f t="shared" si="106"/>
        <v>High ($200-$500)</v>
      </c>
      <c r="AE493" t="str">
        <f t="shared" si="107"/>
        <v>Medium (3-5 units)</v>
      </c>
      <c r="AF493" t="str">
        <f t="shared" si="108"/>
        <v>Profitable</v>
      </c>
      <c r="AG493" t="str">
        <f t="shared" si="109"/>
        <v>Low Margin</v>
      </c>
      <c r="AH493" t="str">
        <f t="shared" si="110"/>
        <v>Repeat Customer</v>
      </c>
      <c r="AI493" t="str">
        <f t="shared" si="111"/>
        <v>Standard (3-5 days)</v>
      </c>
    </row>
    <row r="494" spans="1:35" ht="15" customHeight="1" x14ac:dyDescent="0.3">
      <c r="A494">
        <v>493</v>
      </c>
      <c r="B494" t="s">
        <v>1874</v>
      </c>
      <c r="C494" s="12">
        <v>41896</v>
      </c>
      <c r="D494" s="12">
        <v>41901</v>
      </c>
      <c r="E494" t="s">
        <v>233</v>
      </c>
      <c r="F494" t="s">
        <v>1875</v>
      </c>
      <c r="G494" t="s">
        <v>1876</v>
      </c>
      <c r="H494" t="s">
        <v>209</v>
      </c>
      <c r="I494" t="s">
        <v>210</v>
      </c>
      <c r="J494" t="s">
        <v>572</v>
      </c>
      <c r="K494" t="s">
        <v>450</v>
      </c>
      <c r="L494">
        <v>14609</v>
      </c>
      <c r="M494" t="s">
        <v>331</v>
      </c>
      <c r="N494" t="s">
        <v>1879</v>
      </c>
      <c r="O494" t="s">
        <v>229</v>
      </c>
      <c r="P494" t="s">
        <v>356</v>
      </c>
      <c r="Q494" t="s">
        <v>1880</v>
      </c>
      <c r="R494" s="13">
        <v>11.07</v>
      </c>
      <c r="S494">
        <v>3</v>
      </c>
      <c r="T494" s="14">
        <v>0</v>
      </c>
      <c r="U494" s="13">
        <v>5.0922000000000001</v>
      </c>
      <c r="V494">
        <f t="shared" si="98"/>
        <v>2014</v>
      </c>
      <c r="W494" t="str">
        <f t="shared" si="99"/>
        <v>Sep</v>
      </c>
      <c r="X494" t="str">
        <f t="shared" si="100"/>
        <v>Q3</v>
      </c>
      <c r="Y494" t="str">
        <f t="shared" si="101"/>
        <v>Sun</v>
      </c>
      <c r="Z494" s="16">
        <f t="shared" si="102"/>
        <v>5</v>
      </c>
      <c r="AA494" s="13">
        <f t="shared" si="103"/>
        <v>3.69</v>
      </c>
      <c r="AB494" s="14">
        <f t="shared" si="104"/>
        <v>0.46</v>
      </c>
      <c r="AC494" t="str">
        <f t="shared" si="105"/>
        <v>No Discount</v>
      </c>
      <c r="AD494" t="str">
        <f t="shared" si="106"/>
        <v>Low (&lt;$50)</v>
      </c>
      <c r="AE494" t="str">
        <f t="shared" si="107"/>
        <v>Medium (3-5 units)</v>
      </c>
      <c r="AF494" t="str">
        <f t="shared" si="108"/>
        <v>Profitable</v>
      </c>
      <c r="AG494" t="str">
        <f t="shared" si="109"/>
        <v>High Margin</v>
      </c>
      <c r="AH494" t="str">
        <f t="shared" si="110"/>
        <v>Repeat Customer</v>
      </c>
      <c r="AI494" t="str">
        <f t="shared" si="111"/>
        <v>Standard (3-5 days)</v>
      </c>
    </row>
    <row r="495" spans="1:35" ht="15" customHeight="1" x14ac:dyDescent="0.3">
      <c r="A495">
        <v>494</v>
      </c>
      <c r="B495" t="s">
        <v>1881</v>
      </c>
      <c r="C495" s="12">
        <v>42499</v>
      </c>
      <c r="D495" s="12">
        <v>42504</v>
      </c>
      <c r="E495" t="s">
        <v>233</v>
      </c>
      <c r="F495" t="s">
        <v>1882</v>
      </c>
      <c r="G495" t="s">
        <v>1883</v>
      </c>
      <c r="H495" t="s">
        <v>209</v>
      </c>
      <c r="I495" t="s">
        <v>210</v>
      </c>
      <c r="J495" t="s">
        <v>278</v>
      </c>
      <c r="K495" t="s">
        <v>279</v>
      </c>
      <c r="L495">
        <v>98115</v>
      </c>
      <c r="M495" t="s">
        <v>227</v>
      </c>
      <c r="N495" t="s">
        <v>1884</v>
      </c>
      <c r="O495" t="s">
        <v>254</v>
      </c>
      <c r="P495" t="s">
        <v>344</v>
      </c>
      <c r="Q495" t="s">
        <v>1885</v>
      </c>
      <c r="R495" s="13">
        <v>93.98</v>
      </c>
      <c r="S495">
        <v>2</v>
      </c>
      <c r="T495" s="14">
        <v>0</v>
      </c>
      <c r="U495" s="13">
        <v>13.1572</v>
      </c>
      <c r="V495">
        <f t="shared" si="98"/>
        <v>2016</v>
      </c>
      <c r="W495" t="str">
        <f t="shared" si="99"/>
        <v>May</v>
      </c>
      <c r="X495" t="str">
        <f t="shared" si="100"/>
        <v>Q2</v>
      </c>
      <c r="Y495" t="str">
        <f t="shared" si="101"/>
        <v>Mon</v>
      </c>
      <c r="Z495" s="16">
        <f t="shared" si="102"/>
        <v>5</v>
      </c>
      <c r="AA495" s="13">
        <f t="shared" si="103"/>
        <v>46.99</v>
      </c>
      <c r="AB495" s="14">
        <f t="shared" si="104"/>
        <v>0.13999999999999999</v>
      </c>
      <c r="AC495" t="str">
        <f t="shared" si="105"/>
        <v>No Discount</v>
      </c>
      <c r="AD495" t="str">
        <f t="shared" si="106"/>
        <v>Medium ($50-$200)</v>
      </c>
      <c r="AE495" t="str">
        <f t="shared" si="107"/>
        <v>Small (1-2 units)</v>
      </c>
      <c r="AF495" t="str">
        <f t="shared" si="108"/>
        <v>Profitable</v>
      </c>
      <c r="AG495" t="str">
        <f t="shared" si="109"/>
        <v>Healthy Margin</v>
      </c>
      <c r="AH495" t="str">
        <f t="shared" si="110"/>
        <v>Single Purchase</v>
      </c>
      <c r="AI495" t="str">
        <f t="shared" si="111"/>
        <v>Standard (3-5 days)</v>
      </c>
    </row>
    <row r="496" spans="1:35" ht="15" customHeight="1" x14ac:dyDescent="0.3">
      <c r="A496">
        <v>495</v>
      </c>
      <c r="B496" t="s">
        <v>1886</v>
      </c>
      <c r="C496" s="12">
        <v>42447</v>
      </c>
      <c r="D496" s="12">
        <v>42450</v>
      </c>
      <c r="E496" t="s">
        <v>206</v>
      </c>
      <c r="F496" t="s">
        <v>1887</v>
      </c>
      <c r="G496" t="s">
        <v>1888</v>
      </c>
      <c r="H496" t="s">
        <v>209</v>
      </c>
      <c r="I496" t="s">
        <v>210</v>
      </c>
      <c r="J496" t="s">
        <v>517</v>
      </c>
      <c r="K496" t="s">
        <v>518</v>
      </c>
      <c r="L496">
        <v>38109</v>
      </c>
      <c r="M496" t="s">
        <v>213</v>
      </c>
      <c r="N496" t="s">
        <v>1889</v>
      </c>
      <c r="O496" t="s">
        <v>215</v>
      </c>
      <c r="P496" t="s">
        <v>239</v>
      </c>
      <c r="Q496" t="s">
        <v>1890</v>
      </c>
      <c r="R496" s="13">
        <v>189.88200000000001</v>
      </c>
      <c r="S496">
        <v>3</v>
      </c>
      <c r="T496" s="14">
        <v>0.4</v>
      </c>
      <c r="U496" s="13">
        <v>-94.941000000000003</v>
      </c>
      <c r="V496">
        <f t="shared" si="98"/>
        <v>2016</v>
      </c>
      <c r="W496" t="str">
        <f t="shared" si="99"/>
        <v>Mar</v>
      </c>
      <c r="X496" t="str">
        <f t="shared" si="100"/>
        <v>Q1</v>
      </c>
      <c r="Y496" t="str">
        <f t="shared" si="101"/>
        <v>Fri</v>
      </c>
      <c r="Z496" s="16">
        <f t="shared" si="102"/>
        <v>3</v>
      </c>
      <c r="AA496" s="13">
        <f t="shared" si="103"/>
        <v>63.294000000000004</v>
      </c>
      <c r="AB496" s="14">
        <f t="shared" si="104"/>
        <v>-0.5</v>
      </c>
      <c r="AC496" t="str">
        <f t="shared" si="105"/>
        <v>Medium (21-40%)</v>
      </c>
      <c r="AD496" t="str">
        <f t="shared" si="106"/>
        <v>Medium ($50-$200)</v>
      </c>
      <c r="AE496" t="str">
        <f t="shared" si="107"/>
        <v>Medium (3-5 units)</v>
      </c>
      <c r="AF496" t="str">
        <f t="shared" si="108"/>
        <v>Loss-Making</v>
      </c>
      <c r="AG496" t="str">
        <f t="shared" si="109"/>
        <v>Underperforming</v>
      </c>
      <c r="AH496" t="str">
        <f t="shared" si="110"/>
        <v>Single Purchase</v>
      </c>
      <c r="AI496" t="str">
        <f t="shared" si="111"/>
        <v>Standard (3-5 days)</v>
      </c>
    </row>
    <row r="497" spans="1:35" ht="15" customHeight="1" x14ac:dyDescent="0.3">
      <c r="A497">
        <v>496</v>
      </c>
      <c r="B497" t="s">
        <v>1891</v>
      </c>
      <c r="C497" s="12">
        <v>42365</v>
      </c>
      <c r="D497" s="12">
        <v>42369</v>
      </c>
      <c r="E497" t="s">
        <v>233</v>
      </c>
      <c r="F497" t="s">
        <v>1892</v>
      </c>
      <c r="G497" t="s">
        <v>1893</v>
      </c>
      <c r="H497" t="s">
        <v>209</v>
      </c>
      <c r="I497" t="s">
        <v>210</v>
      </c>
      <c r="J497" t="s">
        <v>1894</v>
      </c>
      <c r="K497" t="s">
        <v>1895</v>
      </c>
      <c r="L497">
        <v>72701</v>
      </c>
      <c r="M497" t="s">
        <v>213</v>
      </c>
      <c r="N497" t="s">
        <v>1896</v>
      </c>
      <c r="O497" t="s">
        <v>229</v>
      </c>
      <c r="P497" t="s">
        <v>356</v>
      </c>
      <c r="Q497" t="s">
        <v>1897</v>
      </c>
      <c r="R497" s="13">
        <v>105.42</v>
      </c>
      <c r="S497">
        <v>2</v>
      </c>
      <c r="T497" s="14">
        <v>0</v>
      </c>
      <c r="U497" s="13">
        <v>51.655799999999999</v>
      </c>
      <c r="V497">
        <f t="shared" si="98"/>
        <v>2015</v>
      </c>
      <c r="W497" t="str">
        <f t="shared" si="99"/>
        <v>Dec</v>
      </c>
      <c r="X497" t="str">
        <f t="shared" si="100"/>
        <v>Q4</v>
      </c>
      <c r="Y497" t="str">
        <f t="shared" si="101"/>
        <v>Sun</v>
      </c>
      <c r="Z497" s="16">
        <f t="shared" si="102"/>
        <v>4</v>
      </c>
      <c r="AA497" s="13">
        <f t="shared" si="103"/>
        <v>52.71</v>
      </c>
      <c r="AB497" s="14">
        <f t="shared" si="104"/>
        <v>0.49</v>
      </c>
      <c r="AC497" t="str">
        <f t="shared" si="105"/>
        <v>No Discount</v>
      </c>
      <c r="AD497" t="str">
        <f t="shared" si="106"/>
        <v>Medium ($50-$200)</v>
      </c>
      <c r="AE497" t="str">
        <f t="shared" si="107"/>
        <v>Small (1-2 units)</v>
      </c>
      <c r="AF497" t="str">
        <f t="shared" si="108"/>
        <v>Profitable</v>
      </c>
      <c r="AG497" t="str">
        <f t="shared" si="109"/>
        <v>High Margin</v>
      </c>
      <c r="AH497" t="str">
        <f t="shared" si="110"/>
        <v>Single Purchase</v>
      </c>
      <c r="AI497" t="str">
        <f t="shared" si="111"/>
        <v>Standard (3-5 days)</v>
      </c>
    </row>
    <row r="498" spans="1:35" ht="15" customHeight="1" x14ac:dyDescent="0.3">
      <c r="A498">
        <v>497</v>
      </c>
      <c r="B498" t="s">
        <v>1898</v>
      </c>
      <c r="C498" s="12">
        <v>42576</v>
      </c>
      <c r="D498" s="12">
        <v>42582</v>
      </c>
      <c r="E498" t="s">
        <v>233</v>
      </c>
      <c r="F498" t="s">
        <v>1771</v>
      </c>
      <c r="G498" t="s">
        <v>1772</v>
      </c>
      <c r="H498" t="s">
        <v>209</v>
      </c>
      <c r="I498" t="s">
        <v>210</v>
      </c>
      <c r="J498" t="s">
        <v>1899</v>
      </c>
      <c r="K498" t="s">
        <v>226</v>
      </c>
      <c r="L498">
        <v>92627</v>
      </c>
      <c r="M498" t="s">
        <v>227</v>
      </c>
      <c r="N498" t="s">
        <v>1900</v>
      </c>
      <c r="O498" t="s">
        <v>229</v>
      </c>
      <c r="P498" t="s">
        <v>258</v>
      </c>
      <c r="Q498" t="s">
        <v>1901</v>
      </c>
      <c r="R498" s="13">
        <v>119.616</v>
      </c>
      <c r="S498">
        <v>8</v>
      </c>
      <c r="T498" s="14">
        <v>0.2</v>
      </c>
      <c r="U498" s="13">
        <v>40.370399999999997</v>
      </c>
      <c r="V498">
        <f t="shared" si="98"/>
        <v>2016</v>
      </c>
      <c r="W498" t="str">
        <f t="shared" si="99"/>
        <v>Jul</v>
      </c>
      <c r="X498" t="str">
        <f t="shared" si="100"/>
        <v>Q3</v>
      </c>
      <c r="Y498" t="str">
        <f t="shared" si="101"/>
        <v>Mon</v>
      </c>
      <c r="Z498" s="16">
        <f t="shared" si="102"/>
        <v>6</v>
      </c>
      <c r="AA498" s="13">
        <f t="shared" si="103"/>
        <v>14.952</v>
      </c>
      <c r="AB498" s="14">
        <f t="shared" si="104"/>
        <v>0.33749999999999997</v>
      </c>
      <c r="AC498" t="str">
        <f t="shared" si="105"/>
        <v>Low (1-20%)</v>
      </c>
      <c r="AD498" t="str">
        <f t="shared" si="106"/>
        <v>Medium ($50-$200)</v>
      </c>
      <c r="AE498" t="str">
        <f t="shared" si="107"/>
        <v>Large (6+ units)</v>
      </c>
      <c r="AF498" t="str">
        <f t="shared" si="108"/>
        <v>Profitable</v>
      </c>
      <c r="AG498" t="str">
        <f t="shared" si="109"/>
        <v>High Margin</v>
      </c>
      <c r="AH498" t="str">
        <f t="shared" si="110"/>
        <v>Repeat Customer</v>
      </c>
      <c r="AI498" t="str">
        <f t="shared" si="111"/>
        <v>Slow (6+ days)</v>
      </c>
    </row>
    <row r="499" spans="1:35" ht="15" customHeight="1" x14ac:dyDescent="0.3">
      <c r="A499">
        <v>498</v>
      </c>
      <c r="B499" t="s">
        <v>1898</v>
      </c>
      <c r="C499" s="12">
        <v>42576</v>
      </c>
      <c r="D499" s="12">
        <v>42582</v>
      </c>
      <c r="E499" t="s">
        <v>233</v>
      </c>
      <c r="F499" t="s">
        <v>1771</v>
      </c>
      <c r="G499" t="s">
        <v>1772</v>
      </c>
      <c r="H499" t="s">
        <v>209</v>
      </c>
      <c r="I499" t="s">
        <v>210</v>
      </c>
      <c r="J499" t="s">
        <v>1899</v>
      </c>
      <c r="K499" t="s">
        <v>226</v>
      </c>
      <c r="L499">
        <v>92627</v>
      </c>
      <c r="M499" t="s">
        <v>227</v>
      </c>
      <c r="N499" t="s">
        <v>1902</v>
      </c>
      <c r="O499" t="s">
        <v>215</v>
      </c>
      <c r="P499" t="s">
        <v>248</v>
      </c>
      <c r="Q499" t="s">
        <v>1903</v>
      </c>
      <c r="R499" s="13">
        <v>255.76</v>
      </c>
      <c r="S499">
        <v>4</v>
      </c>
      <c r="T499" s="14">
        <v>0</v>
      </c>
      <c r="U499" s="13">
        <v>81.843199999999996</v>
      </c>
      <c r="V499">
        <f t="shared" si="98"/>
        <v>2016</v>
      </c>
      <c r="W499" t="str">
        <f t="shared" si="99"/>
        <v>Jul</v>
      </c>
      <c r="X499" t="str">
        <f t="shared" si="100"/>
        <v>Q3</v>
      </c>
      <c r="Y499" t="str">
        <f t="shared" si="101"/>
        <v>Mon</v>
      </c>
      <c r="Z499" s="16">
        <f t="shared" si="102"/>
        <v>6</v>
      </c>
      <c r="AA499" s="13">
        <f t="shared" si="103"/>
        <v>63.94</v>
      </c>
      <c r="AB499" s="14">
        <f t="shared" si="104"/>
        <v>0.32</v>
      </c>
      <c r="AC499" t="str">
        <f t="shared" si="105"/>
        <v>No Discount</v>
      </c>
      <c r="AD499" t="str">
        <f t="shared" si="106"/>
        <v>High ($200-$500)</v>
      </c>
      <c r="AE499" t="str">
        <f t="shared" si="107"/>
        <v>Medium (3-5 units)</v>
      </c>
      <c r="AF499" t="str">
        <f t="shared" si="108"/>
        <v>Profitable</v>
      </c>
      <c r="AG499" t="str">
        <f t="shared" si="109"/>
        <v>High Margin</v>
      </c>
      <c r="AH499" t="str">
        <f t="shared" si="110"/>
        <v>Repeat Customer</v>
      </c>
      <c r="AI499" t="str">
        <f t="shared" si="111"/>
        <v>Slow (6+ days)</v>
      </c>
    </row>
    <row r="500" spans="1:35" ht="15" customHeight="1" x14ac:dyDescent="0.3">
      <c r="A500">
        <v>499</v>
      </c>
      <c r="B500" t="s">
        <v>1898</v>
      </c>
      <c r="C500" s="12">
        <v>42576</v>
      </c>
      <c r="D500" s="12">
        <v>42582</v>
      </c>
      <c r="E500" t="s">
        <v>233</v>
      </c>
      <c r="F500" t="s">
        <v>1771</v>
      </c>
      <c r="G500" t="s">
        <v>1772</v>
      </c>
      <c r="H500" t="s">
        <v>209</v>
      </c>
      <c r="I500" t="s">
        <v>210</v>
      </c>
      <c r="J500" t="s">
        <v>1899</v>
      </c>
      <c r="K500" t="s">
        <v>226</v>
      </c>
      <c r="L500">
        <v>92627</v>
      </c>
      <c r="M500" t="s">
        <v>227</v>
      </c>
      <c r="N500" t="s">
        <v>1350</v>
      </c>
      <c r="O500" t="s">
        <v>215</v>
      </c>
      <c r="P500" t="s">
        <v>219</v>
      </c>
      <c r="Q500" t="s">
        <v>1351</v>
      </c>
      <c r="R500" s="13">
        <v>241.56800000000001</v>
      </c>
      <c r="S500">
        <v>2</v>
      </c>
      <c r="T500" s="14">
        <v>0.2</v>
      </c>
      <c r="U500" s="13">
        <v>18.117599999999999</v>
      </c>
      <c r="V500">
        <f t="shared" si="98"/>
        <v>2016</v>
      </c>
      <c r="W500" t="str">
        <f t="shared" si="99"/>
        <v>Jul</v>
      </c>
      <c r="X500" t="str">
        <f t="shared" si="100"/>
        <v>Q3</v>
      </c>
      <c r="Y500" t="str">
        <f t="shared" si="101"/>
        <v>Mon</v>
      </c>
      <c r="Z500" s="16">
        <f t="shared" si="102"/>
        <v>6</v>
      </c>
      <c r="AA500" s="13">
        <f t="shared" si="103"/>
        <v>120.78400000000001</v>
      </c>
      <c r="AB500" s="14">
        <f t="shared" si="104"/>
        <v>7.4999999999999997E-2</v>
      </c>
      <c r="AC500" t="str">
        <f t="shared" si="105"/>
        <v>Low (1-20%)</v>
      </c>
      <c r="AD500" t="str">
        <f t="shared" si="106"/>
        <v>High ($200-$500)</v>
      </c>
      <c r="AE500" t="str">
        <f t="shared" si="107"/>
        <v>Small (1-2 units)</v>
      </c>
      <c r="AF500" t="str">
        <f t="shared" si="108"/>
        <v>Profitable</v>
      </c>
      <c r="AG500" t="str">
        <f t="shared" si="109"/>
        <v>Low Margin</v>
      </c>
      <c r="AH500" t="str">
        <f t="shared" si="110"/>
        <v>Repeat Customer</v>
      </c>
      <c r="AI500" t="str">
        <f t="shared" si="111"/>
        <v>Slow (6+ days)</v>
      </c>
    </row>
    <row r="501" spans="1:35" ht="15" customHeight="1" x14ac:dyDescent="0.3">
      <c r="A501">
        <v>500</v>
      </c>
      <c r="B501" t="s">
        <v>1898</v>
      </c>
      <c r="C501" s="12">
        <v>42576</v>
      </c>
      <c r="D501" s="12">
        <v>42582</v>
      </c>
      <c r="E501" t="s">
        <v>233</v>
      </c>
      <c r="F501" t="s">
        <v>1771</v>
      </c>
      <c r="G501" t="s">
        <v>1772</v>
      </c>
      <c r="H501" t="s">
        <v>209</v>
      </c>
      <c r="I501" t="s">
        <v>210</v>
      </c>
      <c r="J501" t="s">
        <v>1899</v>
      </c>
      <c r="K501" t="s">
        <v>226</v>
      </c>
      <c r="L501">
        <v>92627</v>
      </c>
      <c r="M501" t="s">
        <v>227</v>
      </c>
      <c r="N501" t="s">
        <v>1904</v>
      </c>
      <c r="O501" t="s">
        <v>215</v>
      </c>
      <c r="P501" t="s">
        <v>248</v>
      </c>
      <c r="Q501" t="s">
        <v>1905</v>
      </c>
      <c r="R501" s="13">
        <v>69.3</v>
      </c>
      <c r="S501">
        <v>9</v>
      </c>
      <c r="T501" s="14">
        <v>0</v>
      </c>
      <c r="U501" s="13">
        <v>22.869</v>
      </c>
      <c r="V501">
        <f t="shared" si="98"/>
        <v>2016</v>
      </c>
      <c r="W501" t="str">
        <f t="shared" si="99"/>
        <v>Jul</v>
      </c>
      <c r="X501" t="str">
        <f t="shared" si="100"/>
        <v>Q3</v>
      </c>
      <c r="Y501" t="str">
        <f t="shared" si="101"/>
        <v>Mon</v>
      </c>
      <c r="Z501" s="16">
        <f t="shared" si="102"/>
        <v>6</v>
      </c>
      <c r="AA501" s="13">
        <f t="shared" si="103"/>
        <v>7.6999999999999993</v>
      </c>
      <c r="AB501" s="14">
        <f t="shared" si="104"/>
        <v>0.33</v>
      </c>
      <c r="AC501" t="str">
        <f t="shared" si="105"/>
        <v>No Discount</v>
      </c>
      <c r="AD501" t="str">
        <f t="shared" si="106"/>
        <v>Medium ($50-$200)</v>
      </c>
      <c r="AE501" t="str">
        <f t="shared" si="107"/>
        <v>Large (6+ units)</v>
      </c>
      <c r="AF501" t="str">
        <f t="shared" si="108"/>
        <v>Profitable</v>
      </c>
      <c r="AG501" t="str">
        <f t="shared" si="109"/>
        <v>High Margin</v>
      </c>
      <c r="AH501" t="str">
        <f t="shared" si="110"/>
        <v>Repeat Customer</v>
      </c>
      <c r="AI501" t="str">
        <f t="shared" si="111"/>
        <v>Slow (6+ days)</v>
      </c>
    </row>
    <row r="502" spans="1:35" ht="15" customHeight="1" x14ac:dyDescent="0.3">
      <c r="A502">
        <v>501</v>
      </c>
      <c r="B502" t="s">
        <v>1906</v>
      </c>
      <c r="C502" s="12">
        <v>42520</v>
      </c>
      <c r="D502" s="12">
        <v>42525</v>
      </c>
      <c r="E502" t="s">
        <v>233</v>
      </c>
      <c r="F502" t="s">
        <v>1907</v>
      </c>
      <c r="G502" t="s">
        <v>1908</v>
      </c>
      <c r="H502" t="s">
        <v>224</v>
      </c>
      <c r="I502" t="s">
        <v>210</v>
      </c>
      <c r="J502" t="s">
        <v>1909</v>
      </c>
      <c r="K502" t="s">
        <v>640</v>
      </c>
      <c r="L502">
        <v>80134</v>
      </c>
      <c r="M502" t="s">
        <v>227</v>
      </c>
      <c r="N502" t="s">
        <v>1910</v>
      </c>
      <c r="O502" t="s">
        <v>229</v>
      </c>
      <c r="P502" t="s">
        <v>258</v>
      </c>
      <c r="Q502" t="s">
        <v>1911</v>
      </c>
      <c r="R502" s="13">
        <v>22.62</v>
      </c>
      <c r="S502">
        <v>2</v>
      </c>
      <c r="T502" s="14">
        <v>0.7</v>
      </c>
      <c r="U502" s="13">
        <v>-15.08</v>
      </c>
      <c r="V502">
        <f t="shared" si="98"/>
        <v>2016</v>
      </c>
      <c r="W502" t="str">
        <f t="shared" si="99"/>
        <v>May</v>
      </c>
      <c r="X502" t="str">
        <f t="shared" si="100"/>
        <v>Q2</v>
      </c>
      <c r="Y502" t="str">
        <f t="shared" si="101"/>
        <v>Mon</v>
      </c>
      <c r="Z502" s="16">
        <f t="shared" si="102"/>
        <v>5</v>
      </c>
      <c r="AA502" s="13">
        <f t="shared" si="103"/>
        <v>11.31</v>
      </c>
      <c r="AB502" s="14">
        <f t="shared" si="104"/>
        <v>-0.66666666666666663</v>
      </c>
      <c r="AC502" t="str">
        <f t="shared" si="105"/>
        <v>High (40%+)</v>
      </c>
      <c r="AD502" t="str">
        <f t="shared" si="106"/>
        <v>Low (&lt;$50)</v>
      </c>
      <c r="AE502" t="str">
        <f t="shared" si="107"/>
        <v>Small (1-2 units)</v>
      </c>
      <c r="AF502" t="str">
        <f t="shared" si="108"/>
        <v>Loss-Making</v>
      </c>
      <c r="AG502" t="str">
        <f t="shared" si="109"/>
        <v>Underperforming</v>
      </c>
      <c r="AH502" t="str">
        <f t="shared" si="110"/>
        <v>Repeat Customer</v>
      </c>
      <c r="AI502" t="str">
        <f t="shared" si="111"/>
        <v>Standard (3-5 days)</v>
      </c>
    </row>
    <row r="503" spans="1:35" ht="15" customHeight="1" x14ac:dyDescent="0.3">
      <c r="A503">
        <v>502</v>
      </c>
      <c r="B503" t="s">
        <v>1906</v>
      </c>
      <c r="C503" s="12">
        <v>42520</v>
      </c>
      <c r="D503" s="12">
        <v>42525</v>
      </c>
      <c r="E503" t="s">
        <v>233</v>
      </c>
      <c r="F503" t="s">
        <v>1907</v>
      </c>
      <c r="G503" t="s">
        <v>1908</v>
      </c>
      <c r="H503" t="s">
        <v>224</v>
      </c>
      <c r="I503" t="s">
        <v>210</v>
      </c>
      <c r="J503" t="s">
        <v>1909</v>
      </c>
      <c r="K503" t="s">
        <v>640</v>
      </c>
      <c r="L503">
        <v>80134</v>
      </c>
      <c r="M503" t="s">
        <v>227</v>
      </c>
      <c r="N503" t="s">
        <v>1912</v>
      </c>
      <c r="O503" t="s">
        <v>229</v>
      </c>
      <c r="P503" t="s">
        <v>258</v>
      </c>
      <c r="Q503" t="s">
        <v>1913</v>
      </c>
      <c r="R503" s="13">
        <v>14.952</v>
      </c>
      <c r="S503">
        <v>2</v>
      </c>
      <c r="T503" s="14">
        <v>0.7</v>
      </c>
      <c r="U503" s="13">
        <v>-11.961600000000001</v>
      </c>
      <c r="V503">
        <f t="shared" si="98"/>
        <v>2016</v>
      </c>
      <c r="W503" t="str">
        <f t="shared" si="99"/>
        <v>May</v>
      </c>
      <c r="X503" t="str">
        <f t="shared" si="100"/>
        <v>Q2</v>
      </c>
      <c r="Y503" t="str">
        <f t="shared" si="101"/>
        <v>Mon</v>
      </c>
      <c r="Z503" s="16">
        <f t="shared" si="102"/>
        <v>5</v>
      </c>
      <c r="AA503" s="13">
        <f t="shared" si="103"/>
        <v>7.476</v>
      </c>
      <c r="AB503" s="14">
        <f t="shared" si="104"/>
        <v>-0.8</v>
      </c>
      <c r="AC503" t="str">
        <f t="shared" si="105"/>
        <v>High (40%+)</v>
      </c>
      <c r="AD503" t="str">
        <f t="shared" si="106"/>
        <v>Low (&lt;$50)</v>
      </c>
      <c r="AE503" t="str">
        <f t="shared" si="107"/>
        <v>Small (1-2 units)</v>
      </c>
      <c r="AF503" t="str">
        <f t="shared" si="108"/>
        <v>Loss-Making</v>
      </c>
      <c r="AG503" t="str">
        <f t="shared" si="109"/>
        <v>Underperforming</v>
      </c>
      <c r="AH503" t="str">
        <f t="shared" si="110"/>
        <v>Repeat Customer</v>
      </c>
      <c r="AI503" t="str">
        <f t="shared" si="111"/>
        <v>Standard (3-5 days)</v>
      </c>
    </row>
    <row r="504" spans="1:35" ht="15" customHeight="1" x14ac:dyDescent="0.3">
      <c r="A504">
        <v>503</v>
      </c>
      <c r="B504" t="s">
        <v>1906</v>
      </c>
      <c r="C504" s="12">
        <v>42520</v>
      </c>
      <c r="D504" s="12">
        <v>42525</v>
      </c>
      <c r="E504" t="s">
        <v>233</v>
      </c>
      <c r="F504" t="s">
        <v>1907</v>
      </c>
      <c r="G504" t="s">
        <v>1908</v>
      </c>
      <c r="H504" t="s">
        <v>224</v>
      </c>
      <c r="I504" t="s">
        <v>210</v>
      </c>
      <c r="J504" t="s">
        <v>1909</v>
      </c>
      <c r="K504" t="s">
        <v>640</v>
      </c>
      <c r="L504">
        <v>80134</v>
      </c>
      <c r="M504" t="s">
        <v>227</v>
      </c>
      <c r="N504" t="s">
        <v>1914</v>
      </c>
      <c r="O504" t="s">
        <v>215</v>
      </c>
      <c r="P504" t="s">
        <v>219</v>
      </c>
      <c r="Q504" t="s">
        <v>1915</v>
      </c>
      <c r="R504" s="13">
        <v>801.56799999999998</v>
      </c>
      <c r="S504">
        <v>2</v>
      </c>
      <c r="T504" s="14">
        <v>0.2</v>
      </c>
      <c r="U504" s="13">
        <v>50.097999999999999</v>
      </c>
      <c r="V504">
        <f t="shared" si="98"/>
        <v>2016</v>
      </c>
      <c r="W504" t="str">
        <f t="shared" si="99"/>
        <v>May</v>
      </c>
      <c r="X504" t="str">
        <f t="shared" si="100"/>
        <v>Q2</v>
      </c>
      <c r="Y504" t="str">
        <f t="shared" si="101"/>
        <v>Mon</v>
      </c>
      <c r="Z504" s="16">
        <f t="shared" si="102"/>
        <v>5</v>
      </c>
      <c r="AA504" s="13">
        <f t="shared" si="103"/>
        <v>400.78399999999999</v>
      </c>
      <c r="AB504" s="14">
        <f t="shared" si="104"/>
        <v>6.25E-2</v>
      </c>
      <c r="AC504" t="str">
        <f t="shared" si="105"/>
        <v>Low (1-20%)</v>
      </c>
      <c r="AD504" t="str">
        <f t="shared" si="106"/>
        <v>Premium ($500+)</v>
      </c>
      <c r="AE504" t="str">
        <f t="shared" si="107"/>
        <v>Small (1-2 units)</v>
      </c>
      <c r="AF504" t="str">
        <f t="shared" si="108"/>
        <v>Profitable</v>
      </c>
      <c r="AG504" t="str">
        <f t="shared" si="109"/>
        <v>Low Margin</v>
      </c>
      <c r="AH504" t="str">
        <f t="shared" si="110"/>
        <v>Repeat Customer</v>
      </c>
      <c r="AI504" t="str">
        <f t="shared" si="111"/>
        <v>Standard (3-5 days)</v>
      </c>
    </row>
    <row r="505" spans="1:35" ht="15" customHeight="1" x14ac:dyDescent="0.3">
      <c r="A505">
        <v>504</v>
      </c>
      <c r="B505" t="s">
        <v>1906</v>
      </c>
      <c r="C505" s="12">
        <v>42520</v>
      </c>
      <c r="D505" s="12">
        <v>42525</v>
      </c>
      <c r="E505" t="s">
        <v>233</v>
      </c>
      <c r="F505" t="s">
        <v>1907</v>
      </c>
      <c r="G505" t="s">
        <v>1908</v>
      </c>
      <c r="H505" t="s">
        <v>224</v>
      </c>
      <c r="I505" t="s">
        <v>210</v>
      </c>
      <c r="J505" t="s">
        <v>1909</v>
      </c>
      <c r="K505" t="s">
        <v>640</v>
      </c>
      <c r="L505">
        <v>80134</v>
      </c>
      <c r="M505" t="s">
        <v>227</v>
      </c>
      <c r="N505" t="s">
        <v>1916</v>
      </c>
      <c r="O505" t="s">
        <v>229</v>
      </c>
      <c r="P505" t="s">
        <v>258</v>
      </c>
      <c r="Q505" t="s">
        <v>1917</v>
      </c>
      <c r="R505" s="13">
        <v>2.3759999999999999</v>
      </c>
      <c r="S505">
        <v>3</v>
      </c>
      <c r="T505" s="14">
        <v>0.7</v>
      </c>
      <c r="U505" s="13">
        <v>-1.9008</v>
      </c>
      <c r="V505">
        <f t="shared" si="98"/>
        <v>2016</v>
      </c>
      <c r="W505" t="str">
        <f t="shared" si="99"/>
        <v>May</v>
      </c>
      <c r="X505" t="str">
        <f t="shared" si="100"/>
        <v>Q2</v>
      </c>
      <c r="Y505" t="str">
        <f t="shared" si="101"/>
        <v>Mon</v>
      </c>
      <c r="Z505" s="16">
        <f t="shared" si="102"/>
        <v>5</v>
      </c>
      <c r="AA505" s="13">
        <f t="shared" si="103"/>
        <v>0.79199999999999993</v>
      </c>
      <c r="AB505" s="14">
        <f t="shared" si="104"/>
        <v>-0.8</v>
      </c>
      <c r="AC505" t="str">
        <f t="shared" si="105"/>
        <v>High (40%+)</v>
      </c>
      <c r="AD505" t="str">
        <f t="shared" si="106"/>
        <v>Low (&lt;$50)</v>
      </c>
      <c r="AE505" t="str">
        <f t="shared" si="107"/>
        <v>Medium (3-5 units)</v>
      </c>
      <c r="AF505" t="str">
        <f t="shared" si="108"/>
        <v>Loss-Making</v>
      </c>
      <c r="AG505" t="str">
        <f t="shared" si="109"/>
        <v>Underperforming</v>
      </c>
      <c r="AH505" t="str">
        <f t="shared" si="110"/>
        <v>Repeat Customer</v>
      </c>
      <c r="AI505" t="str">
        <f t="shared" si="111"/>
        <v>Standard (3-5 days)</v>
      </c>
    </row>
    <row r="506" spans="1:35" ht="15" customHeight="1" x14ac:dyDescent="0.3">
      <c r="A506">
        <v>505</v>
      </c>
      <c r="B506" t="s">
        <v>1906</v>
      </c>
      <c r="C506" s="12">
        <v>42520</v>
      </c>
      <c r="D506" s="12">
        <v>42525</v>
      </c>
      <c r="E506" t="s">
        <v>233</v>
      </c>
      <c r="F506" t="s">
        <v>1907</v>
      </c>
      <c r="G506" t="s">
        <v>1908</v>
      </c>
      <c r="H506" t="s">
        <v>224</v>
      </c>
      <c r="I506" t="s">
        <v>210</v>
      </c>
      <c r="J506" t="s">
        <v>1909</v>
      </c>
      <c r="K506" t="s">
        <v>640</v>
      </c>
      <c r="L506">
        <v>80134</v>
      </c>
      <c r="M506" t="s">
        <v>227</v>
      </c>
      <c r="N506" t="s">
        <v>1918</v>
      </c>
      <c r="O506" t="s">
        <v>229</v>
      </c>
      <c r="P506" t="s">
        <v>273</v>
      </c>
      <c r="Q506" t="s">
        <v>1919</v>
      </c>
      <c r="R506" s="13">
        <v>32.792000000000002</v>
      </c>
      <c r="S506">
        <v>1</v>
      </c>
      <c r="T506" s="14">
        <v>0.2</v>
      </c>
      <c r="U506" s="13">
        <v>11.8871</v>
      </c>
      <c r="V506">
        <f t="shared" si="98"/>
        <v>2016</v>
      </c>
      <c r="W506" t="str">
        <f t="shared" si="99"/>
        <v>May</v>
      </c>
      <c r="X506" t="str">
        <f t="shared" si="100"/>
        <v>Q2</v>
      </c>
      <c r="Y506" t="str">
        <f t="shared" si="101"/>
        <v>Mon</v>
      </c>
      <c r="Z506" s="16">
        <f t="shared" si="102"/>
        <v>5</v>
      </c>
      <c r="AA506" s="13">
        <f t="shared" si="103"/>
        <v>32.792000000000002</v>
      </c>
      <c r="AB506" s="14">
        <f t="shared" si="104"/>
        <v>0.36249999999999999</v>
      </c>
      <c r="AC506" t="str">
        <f t="shared" si="105"/>
        <v>Low (1-20%)</v>
      </c>
      <c r="AD506" t="str">
        <f t="shared" si="106"/>
        <v>Low (&lt;$50)</v>
      </c>
      <c r="AE506" t="str">
        <f t="shared" si="107"/>
        <v>Small (1-2 units)</v>
      </c>
      <c r="AF506" t="str">
        <f t="shared" si="108"/>
        <v>Profitable</v>
      </c>
      <c r="AG506" t="str">
        <f t="shared" si="109"/>
        <v>High Margin</v>
      </c>
      <c r="AH506" t="str">
        <f t="shared" si="110"/>
        <v>Repeat Customer</v>
      </c>
      <c r="AI506" t="str">
        <f t="shared" si="111"/>
        <v>Standard (3-5 days)</v>
      </c>
    </row>
    <row r="507" spans="1:35" ht="15" customHeight="1" x14ac:dyDescent="0.3">
      <c r="A507">
        <v>506</v>
      </c>
      <c r="B507" t="s">
        <v>1920</v>
      </c>
      <c r="C507" s="12">
        <v>43051</v>
      </c>
      <c r="D507" s="12">
        <v>43054</v>
      </c>
      <c r="E507" t="s">
        <v>206</v>
      </c>
      <c r="F507" t="s">
        <v>1762</v>
      </c>
      <c r="G507" t="s">
        <v>1763</v>
      </c>
      <c r="H507" t="s">
        <v>224</v>
      </c>
      <c r="I507" t="s">
        <v>210</v>
      </c>
      <c r="J507" t="s">
        <v>449</v>
      </c>
      <c r="K507" t="s">
        <v>450</v>
      </c>
      <c r="L507">
        <v>10024</v>
      </c>
      <c r="M507" t="s">
        <v>331</v>
      </c>
      <c r="N507" t="s">
        <v>728</v>
      </c>
      <c r="O507" t="s">
        <v>229</v>
      </c>
      <c r="P507" t="s">
        <v>258</v>
      </c>
      <c r="Q507" t="s">
        <v>729</v>
      </c>
      <c r="R507" s="13">
        <v>15.92</v>
      </c>
      <c r="S507">
        <v>5</v>
      </c>
      <c r="T507" s="14">
        <v>0.2</v>
      </c>
      <c r="U507" s="13">
        <v>5.3730000000000002</v>
      </c>
      <c r="V507">
        <f t="shared" si="98"/>
        <v>2017</v>
      </c>
      <c r="W507" t="str">
        <f t="shared" si="99"/>
        <v>Nov</v>
      </c>
      <c r="X507" t="str">
        <f t="shared" si="100"/>
        <v>Q4</v>
      </c>
      <c r="Y507" t="str">
        <f t="shared" si="101"/>
        <v>Sun</v>
      </c>
      <c r="Z507" s="16">
        <f t="shared" si="102"/>
        <v>3</v>
      </c>
      <c r="AA507" s="13">
        <f t="shared" si="103"/>
        <v>3.1840000000000002</v>
      </c>
      <c r="AB507" s="14">
        <f t="shared" si="104"/>
        <v>0.33750000000000002</v>
      </c>
      <c r="AC507" t="str">
        <f t="shared" si="105"/>
        <v>Low (1-20%)</v>
      </c>
      <c r="AD507" t="str">
        <f t="shared" si="106"/>
        <v>Low (&lt;$50)</v>
      </c>
      <c r="AE507" t="str">
        <f t="shared" si="107"/>
        <v>Medium (3-5 units)</v>
      </c>
      <c r="AF507" t="str">
        <f t="shared" si="108"/>
        <v>Profitable</v>
      </c>
      <c r="AG507" t="str">
        <f t="shared" si="109"/>
        <v>High Margin</v>
      </c>
      <c r="AH507" t="str">
        <f t="shared" si="110"/>
        <v>Repeat Customer</v>
      </c>
      <c r="AI507" t="str">
        <f t="shared" si="111"/>
        <v>Standard (3-5 days)</v>
      </c>
    </row>
    <row r="508" spans="1:35" ht="15" customHeight="1" x14ac:dyDescent="0.3">
      <c r="A508">
        <v>507</v>
      </c>
      <c r="B508" t="s">
        <v>1921</v>
      </c>
      <c r="C508" s="12">
        <v>42079</v>
      </c>
      <c r="D508" s="12">
        <v>42085</v>
      </c>
      <c r="E508" t="s">
        <v>233</v>
      </c>
      <c r="F508" t="s">
        <v>1922</v>
      </c>
      <c r="G508" t="s">
        <v>1923</v>
      </c>
      <c r="H508" t="s">
        <v>209</v>
      </c>
      <c r="I508" t="s">
        <v>210</v>
      </c>
      <c r="J508" t="s">
        <v>1924</v>
      </c>
      <c r="K508" t="s">
        <v>1458</v>
      </c>
      <c r="L508">
        <v>30318</v>
      </c>
      <c r="M508" t="s">
        <v>213</v>
      </c>
      <c r="N508" t="s">
        <v>1925</v>
      </c>
      <c r="O508" t="s">
        <v>229</v>
      </c>
      <c r="P508" t="s">
        <v>251</v>
      </c>
      <c r="Q508" t="s">
        <v>1926</v>
      </c>
      <c r="R508" s="13">
        <v>2.74</v>
      </c>
      <c r="S508">
        <v>1</v>
      </c>
      <c r="T508" s="14">
        <v>0</v>
      </c>
      <c r="U508" s="13">
        <v>0.73980000000000001</v>
      </c>
      <c r="V508">
        <f t="shared" si="98"/>
        <v>2015</v>
      </c>
      <c r="W508" t="str">
        <f t="shared" si="99"/>
        <v>Mar</v>
      </c>
      <c r="X508" t="str">
        <f t="shared" si="100"/>
        <v>Q1</v>
      </c>
      <c r="Y508" t="str">
        <f t="shared" si="101"/>
        <v>Mon</v>
      </c>
      <c r="Z508" s="16">
        <f t="shared" si="102"/>
        <v>6</v>
      </c>
      <c r="AA508" s="13">
        <f t="shared" si="103"/>
        <v>2.74</v>
      </c>
      <c r="AB508" s="14">
        <f t="shared" si="104"/>
        <v>0.26999999999999996</v>
      </c>
      <c r="AC508" t="str">
        <f t="shared" si="105"/>
        <v>No Discount</v>
      </c>
      <c r="AD508" t="str">
        <f t="shared" si="106"/>
        <v>Low (&lt;$50)</v>
      </c>
      <c r="AE508" t="str">
        <f t="shared" si="107"/>
        <v>Small (1-2 units)</v>
      </c>
      <c r="AF508" t="str">
        <f t="shared" si="108"/>
        <v>Profitable</v>
      </c>
      <c r="AG508" t="str">
        <f t="shared" si="109"/>
        <v>High Margin</v>
      </c>
      <c r="AH508" t="str">
        <f t="shared" si="110"/>
        <v>Repeat Customer</v>
      </c>
      <c r="AI508" t="str">
        <f t="shared" si="111"/>
        <v>Slow (6+ days)</v>
      </c>
    </row>
    <row r="509" spans="1:35" ht="15" customHeight="1" x14ac:dyDescent="0.3">
      <c r="A509">
        <v>508</v>
      </c>
      <c r="B509" t="s">
        <v>1921</v>
      </c>
      <c r="C509" s="12">
        <v>42079</v>
      </c>
      <c r="D509" s="12">
        <v>42085</v>
      </c>
      <c r="E509" t="s">
        <v>233</v>
      </c>
      <c r="F509" t="s">
        <v>1922</v>
      </c>
      <c r="G509" t="s">
        <v>1923</v>
      </c>
      <c r="H509" t="s">
        <v>209</v>
      </c>
      <c r="I509" t="s">
        <v>210</v>
      </c>
      <c r="J509" t="s">
        <v>1924</v>
      </c>
      <c r="K509" t="s">
        <v>1458</v>
      </c>
      <c r="L509">
        <v>30318</v>
      </c>
      <c r="M509" t="s">
        <v>213</v>
      </c>
      <c r="N509" t="s">
        <v>1927</v>
      </c>
      <c r="O509" t="s">
        <v>229</v>
      </c>
      <c r="P509" t="s">
        <v>251</v>
      </c>
      <c r="Q509" t="s">
        <v>1928</v>
      </c>
      <c r="R509" s="13">
        <v>8.34</v>
      </c>
      <c r="S509">
        <v>3</v>
      </c>
      <c r="T509" s="14">
        <v>0</v>
      </c>
      <c r="U509" s="13">
        <v>2.1684000000000001</v>
      </c>
      <c r="V509">
        <f t="shared" si="98"/>
        <v>2015</v>
      </c>
      <c r="W509" t="str">
        <f t="shared" si="99"/>
        <v>Mar</v>
      </c>
      <c r="X509" t="str">
        <f t="shared" si="100"/>
        <v>Q1</v>
      </c>
      <c r="Y509" t="str">
        <f t="shared" si="101"/>
        <v>Mon</v>
      </c>
      <c r="Z509" s="16">
        <f t="shared" si="102"/>
        <v>6</v>
      </c>
      <c r="AA509" s="13">
        <f t="shared" si="103"/>
        <v>2.78</v>
      </c>
      <c r="AB509" s="14">
        <f t="shared" si="104"/>
        <v>0.26</v>
      </c>
      <c r="AC509" t="str">
        <f t="shared" si="105"/>
        <v>No Discount</v>
      </c>
      <c r="AD509" t="str">
        <f t="shared" si="106"/>
        <v>Low (&lt;$50)</v>
      </c>
      <c r="AE509" t="str">
        <f t="shared" si="107"/>
        <v>Medium (3-5 units)</v>
      </c>
      <c r="AF509" t="str">
        <f t="shared" si="108"/>
        <v>Profitable</v>
      </c>
      <c r="AG509" t="str">
        <f t="shared" si="109"/>
        <v>High Margin</v>
      </c>
      <c r="AH509" t="str">
        <f t="shared" si="110"/>
        <v>Repeat Customer</v>
      </c>
      <c r="AI509" t="str">
        <f t="shared" si="111"/>
        <v>Slow (6+ days)</v>
      </c>
    </row>
    <row r="510" spans="1:35" ht="15" customHeight="1" x14ac:dyDescent="0.3">
      <c r="A510">
        <v>509</v>
      </c>
      <c r="B510" t="s">
        <v>1921</v>
      </c>
      <c r="C510" s="12">
        <v>42079</v>
      </c>
      <c r="D510" s="12">
        <v>42085</v>
      </c>
      <c r="E510" t="s">
        <v>233</v>
      </c>
      <c r="F510" t="s">
        <v>1922</v>
      </c>
      <c r="G510" t="s">
        <v>1923</v>
      </c>
      <c r="H510" t="s">
        <v>209</v>
      </c>
      <c r="I510" t="s">
        <v>210</v>
      </c>
      <c r="J510" t="s">
        <v>1924</v>
      </c>
      <c r="K510" t="s">
        <v>1458</v>
      </c>
      <c r="L510">
        <v>30318</v>
      </c>
      <c r="M510" t="s">
        <v>213</v>
      </c>
      <c r="N510" t="s">
        <v>1139</v>
      </c>
      <c r="O510" t="s">
        <v>229</v>
      </c>
      <c r="P510" t="s">
        <v>242</v>
      </c>
      <c r="Q510" t="s">
        <v>1929</v>
      </c>
      <c r="R510" s="13">
        <v>46.74</v>
      </c>
      <c r="S510">
        <v>3</v>
      </c>
      <c r="T510" s="14">
        <v>0</v>
      </c>
      <c r="U510" s="13">
        <v>11.685</v>
      </c>
      <c r="V510">
        <f t="shared" si="98"/>
        <v>2015</v>
      </c>
      <c r="W510" t="str">
        <f t="shared" si="99"/>
        <v>Mar</v>
      </c>
      <c r="X510" t="str">
        <f t="shared" si="100"/>
        <v>Q1</v>
      </c>
      <c r="Y510" t="str">
        <f t="shared" si="101"/>
        <v>Mon</v>
      </c>
      <c r="Z510" s="16">
        <f t="shared" si="102"/>
        <v>6</v>
      </c>
      <c r="AA510" s="13">
        <f t="shared" si="103"/>
        <v>15.58</v>
      </c>
      <c r="AB510" s="14">
        <f t="shared" si="104"/>
        <v>0.25</v>
      </c>
      <c r="AC510" t="str">
        <f t="shared" si="105"/>
        <v>No Discount</v>
      </c>
      <c r="AD510" t="str">
        <f t="shared" si="106"/>
        <v>Low (&lt;$50)</v>
      </c>
      <c r="AE510" t="str">
        <f t="shared" si="107"/>
        <v>Medium (3-5 units)</v>
      </c>
      <c r="AF510" t="str">
        <f t="shared" si="108"/>
        <v>Profitable</v>
      </c>
      <c r="AG510" t="str">
        <f t="shared" si="109"/>
        <v>High Margin</v>
      </c>
      <c r="AH510" t="str">
        <f t="shared" si="110"/>
        <v>Repeat Customer</v>
      </c>
      <c r="AI510" t="str">
        <f t="shared" si="111"/>
        <v>Slow (6+ days)</v>
      </c>
    </row>
    <row r="511" spans="1:35" ht="15" customHeight="1" x14ac:dyDescent="0.3">
      <c r="A511">
        <v>510</v>
      </c>
      <c r="B511" t="s">
        <v>1921</v>
      </c>
      <c r="C511" s="12">
        <v>42079</v>
      </c>
      <c r="D511" s="12">
        <v>42085</v>
      </c>
      <c r="E511" t="s">
        <v>233</v>
      </c>
      <c r="F511" t="s">
        <v>1922</v>
      </c>
      <c r="G511" t="s">
        <v>1923</v>
      </c>
      <c r="H511" t="s">
        <v>209</v>
      </c>
      <c r="I511" t="s">
        <v>210</v>
      </c>
      <c r="J511" t="s">
        <v>1924</v>
      </c>
      <c r="K511" t="s">
        <v>1458</v>
      </c>
      <c r="L511">
        <v>30318</v>
      </c>
      <c r="M511" t="s">
        <v>213</v>
      </c>
      <c r="N511" t="s">
        <v>1930</v>
      </c>
      <c r="O511" t="s">
        <v>229</v>
      </c>
      <c r="P511" t="s">
        <v>258</v>
      </c>
      <c r="Q511" t="s">
        <v>1931</v>
      </c>
      <c r="R511" s="13">
        <v>6354.95</v>
      </c>
      <c r="S511">
        <v>5</v>
      </c>
      <c r="T511" s="14">
        <v>0</v>
      </c>
      <c r="U511" s="13">
        <v>3177.4749999999999</v>
      </c>
      <c r="V511">
        <f t="shared" si="98"/>
        <v>2015</v>
      </c>
      <c r="W511" t="str">
        <f t="shared" si="99"/>
        <v>Mar</v>
      </c>
      <c r="X511" t="str">
        <f t="shared" si="100"/>
        <v>Q1</v>
      </c>
      <c r="Y511" t="str">
        <f t="shared" si="101"/>
        <v>Mon</v>
      </c>
      <c r="Z511" s="16">
        <f t="shared" si="102"/>
        <v>6</v>
      </c>
      <c r="AA511" s="13">
        <f t="shared" si="103"/>
        <v>1270.99</v>
      </c>
      <c r="AB511" s="14">
        <f t="shared" si="104"/>
        <v>0.5</v>
      </c>
      <c r="AC511" t="str">
        <f t="shared" si="105"/>
        <v>No Discount</v>
      </c>
      <c r="AD511" t="str">
        <f t="shared" si="106"/>
        <v>Premium ($500+)</v>
      </c>
      <c r="AE511" t="str">
        <f t="shared" si="107"/>
        <v>Medium (3-5 units)</v>
      </c>
      <c r="AF511" t="str">
        <f t="shared" si="108"/>
        <v>Profitable</v>
      </c>
      <c r="AG511" t="str">
        <f t="shared" si="109"/>
        <v>High Margin</v>
      </c>
      <c r="AH511" t="str">
        <f t="shared" si="110"/>
        <v>Repeat Customer</v>
      </c>
      <c r="AI511" t="str">
        <f t="shared" si="111"/>
        <v>Slow (6+ days)</v>
      </c>
    </row>
    <row r="512" spans="1:35" ht="15" customHeight="1" x14ac:dyDescent="0.3">
      <c r="A512">
        <v>511</v>
      </c>
      <c r="B512" t="s">
        <v>1932</v>
      </c>
      <c r="C512" s="12">
        <v>43065</v>
      </c>
      <c r="D512" s="12">
        <v>43066</v>
      </c>
      <c r="E512" t="s">
        <v>371</v>
      </c>
      <c r="F512" t="s">
        <v>1933</v>
      </c>
      <c r="G512" t="s">
        <v>1934</v>
      </c>
      <c r="H512" t="s">
        <v>209</v>
      </c>
      <c r="I512" t="s">
        <v>210</v>
      </c>
      <c r="J512" t="s">
        <v>1935</v>
      </c>
      <c r="K512" t="s">
        <v>780</v>
      </c>
      <c r="L512">
        <v>64118</v>
      </c>
      <c r="M512" t="s">
        <v>288</v>
      </c>
      <c r="N512" t="s">
        <v>1936</v>
      </c>
      <c r="O512" t="s">
        <v>215</v>
      </c>
      <c r="P512" t="s">
        <v>248</v>
      </c>
      <c r="Q512" t="s">
        <v>1937</v>
      </c>
      <c r="R512" s="13">
        <v>126.3</v>
      </c>
      <c r="S512">
        <v>3</v>
      </c>
      <c r="T512" s="14">
        <v>0</v>
      </c>
      <c r="U512" s="13">
        <v>40.415999999999997</v>
      </c>
      <c r="V512">
        <f t="shared" si="98"/>
        <v>2017</v>
      </c>
      <c r="W512" t="str">
        <f t="shared" si="99"/>
        <v>Nov</v>
      </c>
      <c r="X512" t="str">
        <f t="shared" si="100"/>
        <v>Q4</v>
      </c>
      <c r="Y512" t="str">
        <f t="shared" si="101"/>
        <v>Sun</v>
      </c>
      <c r="Z512" s="16">
        <f t="shared" si="102"/>
        <v>1</v>
      </c>
      <c r="AA512" s="13">
        <f t="shared" si="103"/>
        <v>42.1</v>
      </c>
      <c r="AB512" s="14">
        <f t="shared" si="104"/>
        <v>0.32</v>
      </c>
      <c r="AC512" t="str">
        <f t="shared" si="105"/>
        <v>No Discount</v>
      </c>
      <c r="AD512" t="str">
        <f t="shared" si="106"/>
        <v>Medium ($50-$200)</v>
      </c>
      <c r="AE512" t="str">
        <f t="shared" si="107"/>
        <v>Medium (3-5 units)</v>
      </c>
      <c r="AF512" t="str">
        <f t="shared" si="108"/>
        <v>Profitable</v>
      </c>
      <c r="AG512" t="str">
        <f t="shared" si="109"/>
        <v>High Margin</v>
      </c>
      <c r="AH512" t="str">
        <f t="shared" si="110"/>
        <v>Repeat Customer</v>
      </c>
      <c r="AI512" t="str">
        <f t="shared" si="111"/>
        <v>Fast (&lt;=2 days)</v>
      </c>
    </row>
    <row r="513" spans="1:35" ht="15" customHeight="1" x14ac:dyDescent="0.3">
      <c r="A513">
        <v>512</v>
      </c>
      <c r="B513" t="s">
        <v>1932</v>
      </c>
      <c r="C513" s="12">
        <v>43065</v>
      </c>
      <c r="D513" s="12">
        <v>43066</v>
      </c>
      <c r="E513" t="s">
        <v>371</v>
      </c>
      <c r="F513" t="s">
        <v>1933</v>
      </c>
      <c r="G513" t="s">
        <v>1934</v>
      </c>
      <c r="H513" t="s">
        <v>209</v>
      </c>
      <c r="I513" t="s">
        <v>210</v>
      </c>
      <c r="J513" t="s">
        <v>1935</v>
      </c>
      <c r="K513" t="s">
        <v>780</v>
      </c>
      <c r="L513">
        <v>64118</v>
      </c>
      <c r="M513" t="s">
        <v>288</v>
      </c>
      <c r="N513" t="s">
        <v>1938</v>
      </c>
      <c r="O513" t="s">
        <v>254</v>
      </c>
      <c r="P513" t="s">
        <v>344</v>
      </c>
      <c r="Q513" t="s">
        <v>1939</v>
      </c>
      <c r="R513" s="13">
        <v>38.04</v>
      </c>
      <c r="S513">
        <v>2</v>
      </c>
      <c r="T513" s="14">
        <v>0</v>
      </c>
      <c r="U513" s="13">
        <v>12.172800000000001</v>
      </c>
      <c r="V513">
        <f t="shared" si="98"/>
        <v>2017</v>
      </c>
      <c r="W513" t="str">
        <f t="shared" si="99"/>
        <v>Nov</v>
      </c>
      <c r="X513" t="str">
        <f t="shared" si="100"/>
        <v>Q4</v>
      </c>
      <c r="Y513" t="str">
        <f t="shared" si="101"/>
        <v>Sun</v>
      </c>
      <c r="Z513" s="16">
        <f t="shared" si="102"/>
        <v>1</v>
      </c>
      <c r="AA513" s="13">
        <f t="shared" si="103"/>
        <v>19.02</v>
      </c>
      <c r="AB513" s="14">
        <f t="shared" si="104"/>
        <v>0.32</v>
      </c>
      <c r="AC513" t="str">
        <f t="shared" si="105"/>
        <v>No Discount</v>
      </c>
      <c r="AD513" t="str">
        <f t="shared" si="106"/>
        <v>Low (&lt;$50)</v>
      </c>
      <c r="AE513" t="str">
        <f t="shared" si="107"/>
        <v>Small (1-2 units)</v>
      </c>
      <c r="AF513" t="str">
        <f t="shared" si="108"/>
        <v>Profitable</v>
      </c>
      <c r="AG513" t="str">
        <f t="shared" si="109"/>
        <v>High Margin</v>
      </c>
      <c r="AH513" t="str">
        <f t="shared" si="110"/>
        <v>Repeat Customer</v>
      </c>
      <c r="AI513" t="str">
        <f t="shared" si="111"/>
        <v>Fast (&lt;=2 days)</v>
      </c>
    </row>
    <row r="514" spans="1:35" ht="15" customHeight="1" x14ac:dyDescent="0.3">
      <c r="A514">
        <v>513</v>
      </c>
      <c r="B514" t="s">
        <v>1940</v>
      </c>
      <c r="C514" s="12">
        <v>42663</v>
      </c>
      <c r="D514" s="12">
        <v>42666</v>
      </c>
      <c r="E514" t="s">
        <v>371</v>
      </c>
      <c r="F514" t="s">
        <v>1604</v>
      </c>
      <c r="G514" t="s">
        <v>1605</v>
      </c>
      <c r="H514" t="s">
        <v>209</v>
      </c>
      <c r="I514" t="s">
        <v>210</v>
      </c>
      <c r="J514" t="s">
        <v>790</v>
      </c>
      <c r="K514" t="s">
        <v>681</v>
      </c>
      <c r="L514">
        <v>43055</v>
      </c>
      <c r="M514" t="s">
        <v>331</v>
      </c>
      <c r="N514" t="s">
        <v>549</v>
      </c>
      <c r="O514" t="s">
        <v>229</v>
      </c>
      <c r="P514" t="s">
        <v>251</v>
      </c>
      <c r="Q514" t="s">
        <v>550</v>
      </c>
      <c r="R514" s="13">
        <v>7.1520000000000001</v>
      </c>
      <c r="S514">
        <v>3</v>
      </c>
      <c r="T514" s="14">
        <v>0.2</v>
      </c>
      <c r="U514" s="13">
        <v>0.71519999999999995</v>
      </c>
      <c r="V514">
        <f t="shared" ref="V514:V577" si="112">YEAR(C514)</f>
        <v>2016</v>
      </c>
      <c r="W514" t="str">
        <f t="shared" ref="W514:W577" si="113">TEXT(C514,"mmm")</f>
        <v>Oct</v>
      </c>
      <c r="X514" t="str">
        <f t="shared" ref="X514:X577" si="114">"Q"&amp;ROUNDUP(MONTH(C514)/3,0)</f>
        <v>Q4</v>
      </c>
      <c r="Y514" t="str">
        <f t="shared" ref="Y514:Y577" si="115">TEXT(C514,"ddd")</f>
        <v>Thu</v>
      </c>
      <c r="Z514" s="16">
        <f t="shared" ref="Z514:Z577" si="116">D514-C514</f>
        <v>3</v>
      </c>
      <c r="AA514" s="13">
        <f t="shared" ref="AA514:AA577" si="117">IFERROR(R514/S514,0)</f>
        <v>2.3839999999999999</v>
      </c>
      <c r="AB514" s="14">
        <f t="shared" ref="AB514:AB577" si="118">IFERROR(U514/R514,0)</f>
        <v>9.9999999999999992E-2</v>
      </c>
      <c r="AC514" t="str">
        <f t="shared" ref="AC514:AC577" si="119">IF(T514=0,"No Discount",IF(T514&lt;=0.2,"Low (1-20%)",IF(T514&lt;=0.4,"Medium (21-40%)","High (40%+)")))</f>
        <v>Low (1-20%)</v>
      </c>
      <c r="AD514" t="str">
        <f t="shared" ref="AD514:AD577" si="120">IF(R514&lt;50,"Low (&lt;$50)",IF(R514&lt;200,"Medium ($50-$200)",IF(R514&lt;500,"High ($200-$500)","Premium ($500+)")))</f>
        <v>Low (&lt;$50)</v>
      </c>
      <c r="AE514" t="str">
        <f t="shared" ref="AE514:AE577" si="121">IF(S514&lt;=2,"Small (1-2 units)",IF(S514&lt;=5,"Medium (3-5 units)","Large (6+ units)"))</f>
        <v>Medium (3-5 units)</v>
      </c>
      <c r="AF514" t="str">
        <f t="shared" ref="AF514:AF577" si="122">IF(U514&lt;0,"Loss-Making","Profitable")</f>
        <v>Profitable</v>
      </c>
      <c r="AG514" t="str">
        <f t="shared" ref="AG514:AG577" si="123">IF(AB514&lt;0,"Underperforming",IF(AB514&lt;0.1,"Low Margin",IF(AB514&lt;0.25,"Healthy Margin","High Margin")))</f>
        <v>Healthy Margin</v>
      </c>
      <c r="AH514" t="str">
        <f t="shared" ref="AH514:AH577" si="124">IF(COUNTIF($F$2:$F$1001,F514)&gt;1,"Repeat Customer","Single Purchase")</f>
        <v>Repeat Customer</v>
      </c>
      <c r="AI514" t="str">
        <f t="shared" ref="AI514:AI577" si="125">IF(Z514&lt;=2,"Fast (&lt;=2 days)",IF(Z514&lt;=5,"Standard (3-5 days)","Slow (6+ days)"))</f>
        <v>Standard (3-5 days)</v>
      </c>
    </row>
    <row r="515" spans="1:35" ht="15" customHeight="1" x14ac:dyDescent="0.3">
      <c r="A515">
        <v>514</v>
      </c>
      <c r="B515" t="s">
        <v>1941</v>
      </c>
      <c r="C515" s="12">
        <v>43090</v>
      </c>
      <c r="D515" s="12">
        <v>43094</v>
      </c>
      <c r="E515" t="s">
        <v>233</v>
      </c>
      <c r="F515" t="s">
        <v>1942</v>
      </c>
      <c r="G515" t="s">
        <v>1943</v>
      </c>
      <c r="H515" t="s">
        <v>209</v>
      </c>
      <c r="I515" t="s">
        <v>210</v>
      </c>
      <c r="J515" t="s">
        <v>225</v>
      </c>
      <c r="K515" t="s">
        <v>226</v>
      </c>
      <c r="L515">
        <v>90049</v>
      </c>
      <c r="M515" t="s">
        <v>227</v>
      </c>
      <c r="N515" t="s">
        <v>1944</v>
      </c>
      <c r="O515" t="s">
        <v>229</v>
      </c>
      <c r="P515" t="s">
        <v>251</v>
      </c>
      <c r="Q515" t="s">
        <v>1945</v>
      </c>
      <c r="R515" s="13">
        <v>6.63</v>
      </c>
      <c r="S515">
        <v>3</v>
      </c>
      <c r="T515" s="14">
        <v>0</v>
      </c>
      <c r="U515" s="13">
        <v>1.7901</v>
      </c>
      <c r="V515">
        <f t="shared" si="112"/>
        <v>2017</v>
      </c>
      <c r="W515" t="str">
        <f t="shared" si="113"/>
        <v>Dec</v>
      </c>
      <c r="X515" t="str">
        <f t="shared" si="114"/>
        <v>Q4</v>
      </c>
      <c r="Y515" t="str">
        <f t="shared" si="115"/>
        <v>Thu</v>
      </c>
      <c r="Z515" s="16">
        <f t="shared" si="116"/>
        <v>4</v>
      </c>
      <c r="AA515" s="13">
        <f t="shared" si="117"/>
        <v>2.21</v>
      </c>
      <c r="AB515" s="14">
        <f t="shared" si="118"/>
        <v>0.27</v>
      </c>
      <c r="AC515" t="str">
        <f t="shared" si="119"/>
        <v>No Discount</v>
      </c>
      <c r="AD515" t="str">
        <f t="shared" si="120"/>
        <v>Low (&lt;$50)</v>
      </c>
      <c r="AE515" t="str">
        <f t="shared" si="121"/>
        <v>Medium (3-5 units)</v>
      </c>
      <c r="AF515" t="str">
        <f t="shared" si="122"/>
        <v>Profitable</v>
      </c>
      <c r="AG515" t="str">
        <f t="shared" si="123"/>
        <v>High Margin</v>
      </c>
      <c r="AH515" t="str">
        <f t="shared" si="124"/>
        <v>Repeat Customer</v>
      </c>
      <c r="AI515" t="str">
        <f t="shared" si="125"/>
        <v>Standard (3-5 days)</v>
      </c>
    </row>
    <row r="516" spans="1:35" ht="15" customHeight="1" x14ac:dyDescent="0.3">
      <c r="A516">
        <v>515</v>
      </c>
      <c r="B516" t="s">
        <v>1941</v>
      </c>
      <c r="C516" s="12">
        <v>43090</v>
      </c>
      <c r="D516" s="12">
        <v>43094</v>
      </c>
      <c r="E516" t="s">
        <v>233</v>
      </c>
      <c r="F516" t="s">
        <v>1942</v>
      </c>
      <c r="G516" t="s">
        <v>1943</v>
      </c>
      <c r="H516" t="s">
        <v>209</v>
      </c>
      <c r="I516" t="s">
        <v>210</v>
      </c>
      <c r="J516" t="s">
        <v>225</v>
      </c>
      <c r="K516" t="s">
        <v>226</v>
      </c>
      <c r="L516">
        <v>90049</v>
      </c>
      <c r="M516" t="s">
        <v>227</v>
      </c>
      <c r="N516" t="s">
        <v>1946</v>
      </c>
      <c r="O516" t="s">
        <v>229</v>
      </c>
      <c r="P516" t="s">
        <v>251</v>
      </c>
      <c r="Q516" t="s">
        <v>1947</v>
      </c>
      <c r="R516" s="13">
        <v>5.88</v>
      </c>
      <c r="S516">
        <v>2</v>
      </c>
      <c r="T516" s="14">
        <v>0</v>
      </c>
      <c r="U516" s="13">
        <v>1.7052</v>
      </c>
      <c r="V516">
        <f t="shared" si="112"/>
        <v>2017</v>
      </c>
      <c r="W516" t="str">
        <f t="shared" si="113"/>
        <v>Dec</v>
      </c>
      <c r="X516" t="str">
        <f t="shared" si="114"/>
        <v>Q4</v>
      </c>
      <c r="Y516" t="str">
        <f t="shared" si="115"/>
        <v>Thu</v>
      </c>
      <c r="Z516" s="16">
        <f t="shared" si="116"/>
        <v>4</v>
      </c>
      <c r="AA516" s="13">
        <f t="shared" si="117"/>
        <v>2.94</v>
      </c>
      <c r="AB516" s="14">
        <f t="shared" si="118"/>
        <v>0.29000000000000004</v>
      </c>
      <c r="AC516" t="str">
        <f t="shared" si="119"/>
        <v>No Discount</v>
      </c>
      <c r="AD516" t="str">
        <f t="shared" si="120"/>
        <v>Low (&lt;$50)</v>
      </c>
      <c r="AE516" t="str">
        <f t="shared" si="121"/>
        <v>Small (1-2 units)</v>
      </c>
      <c r="AF516" t="str">
        <f t="shared" si="122"/>
        <v>Profitable</v>
      </c>
      <c r="AG516" t="str">
        <f t="shared" si="123"/>
        <v>High Margin</v>
      </c>
      <c r="AH516" t="str">
        <f t="shared" si="124"/>
        <v>Repeat Customer</v>
      </c>
      <c r="AI516" t="str">
        <f t="shared" si="125"/>
        <v>Standard (3-5 days)</v>
      </c>
    </row>
    <row r="517" spans="1:35" ht="15" customHeight="1" x14ac:dyDescent="0.3">
      <c r="A517">
        <v>516</v>
      </c>
      <c r="B517" t="s">
        <v>1948</v>
      </c>
      <c r="C517" s="12">
        <v>42757</v>
      </c>
      <c r="D517" s="12">
        <v>42762</v>
      </c>
      <c r="E517" t="s">
        <v>233</v>
      </c>
      <c r="F517" t="s">
        <v>714</v>
      </c>
      <c r="G517" t="s">
        <v>715</v>
      </c>
      <c r="H517" t="s">
        <v>285</v>
      </c>
      <c r="I517" t="s">
        <v>210</v>
      </c>
      <c r="J517" t="s">
        <v>1949</v>
      </c>
      <c r="K517" t="s">
        <v>1950</v>
      </c>
      <c r="L517">
        <v>59405</v>
      </c>
      <c r="M517" t="s">
        <v>227</v>
      </c>
      <c r="N517" t="s">
        <v>1951</v>
      </c>
      <c r="O517" t="s">
        <v>254</v>
      </c>
      <c r="P517" t="s">
        <v>1402</v>
      </c>
      <c r="Q517" t="s">
        <v>1952</v>
      </c>
      <c r="R517" s="13">
        <v>2999.95</v>
      </c>
      <c r="S517">
        <v>5</v>
      </c>
      <c r="T517" s="14">
        <v>0</v>
      </c>
      <c r="U517" s="13">
        <v>1379.9770000000001</v>
      </c>
      <c r="V517">
        <f t="shared" si="112"/>
        <v>2017</v>
      </c>
      <c r="W517" t="str">
        <f t="shared" si="113"/>
        <v>Jan</v>
      </c>
      <c r="X517" t="str">
        <f t="shared" si="114"/>
        <v>Q1</v>
      </c>
      <c r="Y517" t="str">
        <f t="shared" si="115"/>
        <v>Sun</v>
      </c>
      <c r="Z517" s="16">
        <f t="shared" si="116"/>
        <v>5</v>
      </c>
      <c r="AA517" s="13">
        <f t="shared" si="117"/>
        <v>599.99</v>
      </c>
      <c r="AB517" s="14">
        <f t="shared" si="118"/>
        <v>0.46000000000000008</v>
      </c>
      <c r="AC517" t="str">
        <f t="shared" si="119"/>
        <v>No Discount</v>
      </c>
      <c r="AD517" t="str">
        <f t="shared" si="120"/>
        <v>Premium ($500+)</v>
      </c>
      <c r="AE517" t="str">
        <f t="shared" si="121"/>
        <v>Medium (3-5 units)</v>
      </c>
      <c r="AF517" t="str">
        <f t="shared" si="122"/>
        <v>Profitable</v>
      </c>
      <c r="AG517" t="str">
        <f t="shared" si="123"/>
        <v>High Margin</v>
      </c>
      <c r="AH517" t="str">
        <f t="shared" si="124"/>
        <v>Repeat Customer</v>
      </c>
      <c r="AI517" t="str">
        <f t="shared" si="125"/>
        <v>Standard (3-5 days)</v>
      </c>
    </row>
    <row r="518" spans="1:35" ht="15" customHeight="1" x14ac:dyDescent="0.3">
      <c r="A518">
        <v>517</v>
      </c>
      <c r="B518" t="s">
        <v>1948</v>
      </c>
      <c r="C518" s="12">
        <v>42757</v>
      </c>
      <c r="D518" s="12">
        <v>42762</v>
      </c>
      <c r="E518" t="s">
        <v>233</v>
      </c>
      <c r="F518" t="s">
        <v>714</v>
      </c>
      <c r="G518" t="s">
        <v>715</v>
      </c>
      <c r="H518" t="s">
        <v>285</v>
      </c>
      <c r="I518" t="s">
        <v>210</v>
      </c>
      <c r="J518" t="s">
        <v>1949</v>
      </c>
      <c r="K518" t="s">
        <v>1950</v>
      </c>
      <c r="L518">
        <v>59405</v>
      </c>
      <c r="M518" t="s">
        <v>227</v>
      </c>
      <c r="N518" t="s">
        <v>1953</v>
      </c>
      <c r="O518" t="s">
        <v>229</v>
      </c>
      <c r="P518" t="s">
        <v>242</v>
      </c>
      <c r="Q518" t="s">
        <v>1954</v>
      </c>
      <c r="R518" s="13">
        <v>51.45</v>
      </c>
      <c r="S518">
        <v>3</v>
      </c>
      <c r="T518" s="14">
        <v>0</v>
      </c>
      <c r="U518" s="13">
        <v>13.891500000000001</v>
      </c>
      <c r="V518">
        <f t="shared" si="112"/>
        <v>2017</v>
      </c>
      <c r="W518" t="str">
        <f t="shared" si="113"/>
        <v>Jan</v>
      </c>
      <c r="X518" t="str">
        <f t="shared" si="114"/>
        <v>Q1</v>
      </c>
      <c r="Y518" t="str">
        <f t="shared" si="115"/>
        <v>Sun</v>
      </c>
      <c r="Z518" s="16">
        <f t="shared" si="116"/>
        <v>5</v>
      </c>
      <c r="AA518" s="13">
        <f t="shared" si="117"/>
        <v>17.150000000000002</v>
      </c>
      <c r="AB518" s="14">
        <f t="shared" si="118"/>
        <v>0.27</v>
      </c>
      <c r="AC518" t="str">
        <f t="shared" si="119"/>
        <v>No Discount</v>
      </c>
      <c r="AD518" t="str">
        <f t="shared" si="120"/>
        <v>Medium ($50-$200)</v>
      </c>
      <c r="AE518" t="str">
        <f t="shared" si="121"/>
        <v>Medium (3-5 units)</v>
      </c>
      <c r="AF518" t="str">
        <f t="shared" si="122"/>
        <v>Profitable</v>
      </c>
      <c r="AG518" t="str">
        <f t="shared" si="123"/>
        <v>High Margin</v>
      </c>
      <c r="AH518" t="str">
        <f t="shared" si="124"/>
        <v>Repeat Customer</v>
      </c>
      <c r="AI518" t="str">
        <f t="shared" si="125"/>
        <v>Standard (3-5 days)</v>
      </c>
    </row>
    <row r="519" spans="1:35" ht="15" customHeight="1" x14ac:dyDescent="0.3">
      <c r="A519">
        <v>518</v>
      </c>
      <c r="B519" t="s">
        <v>1948</v>
      </c>
      <c r="C519" s="12">
        <v>42757</v>
      </c>
      <c r="D519" s="12">
        <v>42762</v>
      </c>
      <c r="E519" t="s">
        <v>233</v>
      </c>
      <c r="F519" t="s">
        <v>714</v>
      </c>
      <c r="G519" t="s">
        <v>715</v>
      </c>
      <c r="H519" t="s">
        <v>285</v>
      </c>
      <c r="I519" t="s">
        <v>210</v>
      </c>
      <c r="J519" t="s">
        <v>1949</v>
      </c>
      <c r="K519" t="s">
        <v>1950</v>
      </c>
      <c r="L519">
        <v>59405</v>
      </c>
      <c r="M519" t="s">
        <v>227</v>
      </c>
      <c r="N519" t="s">
        <v>1955</v>
      </c>
      <c r="O519" t="s">
        <v>229</v>
      </c>
      <c r="P519" t="s">
        <v>273</v>
      </c>
      <c r="Q519" t="s">
        <v>1956</v>
      </c>
      <c r="R519" s="13">
        <v>11.96</v>
      </c>
      <c r="S519">
        <v>2</v>
      </c>
      <c r="T519" s="14">
        <v>0</v>
      </c>
      <c r="U519" s="13">
        <v>5.3819999999999997</v>
      </c>
      <c r="V519">
        <f t="shared" si="112"/>
        <v>2017</v>
      </c>
      <c r="W519" t="str">
        <f t="shared" si="113"/>
        <v>Jan</v>
      </c>
      <c r="X519" t="str">
        <f t="shared" si="114"/>
        <v>Q1</v>
      </c>
      <c r="Y519" t="str">
        <f t="shared" si="115"/>
        <v>Sun</v>
      </c>
      <c r="Z519" s="16">
        <f t="shared" si="116"/>
        <v>5</v>
      </c>
      <c r="AA519" s="13">
        <f t="shared" si="117"/>
        <v>5.98</v>
      </c>
      <c r="AB519" s="14">
        <f t="shared" si="118"/>
        <v>0.44999999999999996</v>
      </c>
      <c r="AC519" t="str">
        <f t="shared" si="119"/>
        <v>No Discount</v>
      </c>
      <c r="AD519" t="str">
        <f t="shared" si="120"/>
        <v>Low (&lt;$50)</v>
      </c>
      <c r="AE519" t="str">
        <f t="shared" si="121"/>
        <v>Small (1-2 units)</v>
      </c>
      <c r="AF519" t="str">
        <f t="shared" si="122"/>
        <v>Profitable</v>
      </c>
      <c r="AG519" t="str">
        <f t="shared" si="123"/>
        <v>High Margin</v>
      </c>
      <c r="AH519" t="str">
        <f t="shared" si="124"/>
        <v>Repeat Customer</v>
      </c>
      <c r="AI519" t="str">
        <f t="shared" si="125"/>
        <v>Standard (3-5 days)</v>
      </c>
    </row>
    <row r="520" spans="1:35" ht="15" customHeight="1" x14ac:dyDescent="0.3">
      <c r="A520">
        <v>519</v>
      </c>
      <c r="B520" t="s">
        <v>1948</v>
      </c>
      <c r="C520" s="12">
        <v>42757</v>
      </c>
      <c r="D520" s="12">
        <v>42762</v>
      </c>
      <c r="E520" t="s">
        <v>233</v>
      </c>
      <c r="F520" t="s">
        <v>714</v>
      </c>
      <c r="G520" t="s">
        <v>715</v>
      </c>
      <c r="H520" t="s">
        <v>285</v>
      </c>
      <c r="I520" t="s">
        <v>210</v>
      </c>
      <c r="J520" t="s">
        <v>1949</v>
      </c>
      <c r="K520" t="s">
        <v>1950</v>
      </c>
      <c r="L520">
        <v>59405</v>
      </c>
      <c r="M520" t="s">
        <v>227</v>
      </c>
      <c r="N520" t="s">
        <v>1957</v>
      </c>
      <c r="O520" t="s">
        <v>229</v>
      </c>
      <c r="P520" t="s">
        <v>242</v>
      </c>
      <c r="Q520" t="s">
        <v>1958</v>
      </c>
      <c r="R520" s="13">
        <v>1126.02</v>
      </c>
      <c r="S520">
        <v>3</v>
      </c>
      <c r="T520" s="14">
        <v>0</v>
      </c>
      <c r="U520" s="13">
        <v>56.301000000000002</v>
      </c>
      <c r="V520">
        <f t="shared" si="112"/>
        <v>2017</v>
      </c>
      <c r="W520" t="str">
        <f t="shared" si="113"/>
        <v>Jan</v>
      </c>
      <c r="X520" t="str">
        <f t="shared" si="114"/>
        <v>Q1</v>
      </c>
      <c r="Y520" t="str">
        <f t="shared" si="115"/>
        <v>Sun</v>
      </c>
      <c r="Z520" s="16">
        <f t="shared" si="116"/>
        <v>5</v>
      </c>
      <c r="AA520" s="13">
        <f t="shared" si="117"/>
        <v>375.34</v>
      </c>
      <c r="AB520" s="14">
        <f t="shared" si="118"/>
        <v>0.05</v>
      </c>
      <c r="AC520" t="str">
        <f t="shared" si="119"/>
        <v>No Discount</v>
      </c>
      <c r="AD520" t="str">
        <f t="shared" si="120"/>
        <v>Premium ($500+)</v>
      </c>
      <c r="AE520" t="str">
        <f t="shared" si="121"/>
        <v>Medium (3-5 units)</v>
      </c>
      <c r="AF520" t="str">
        <f t="shared" si="122"/>
        <v>Profitable</v>
      </c>
      <c r="AG520" t="str">
        <f t="shared" si="123"/>
        <v>Low Margin</v>
      </c>
      <c r="AH520" t="str">
        <f t="shared" si="124"/>
        <v>Repeat Customer</v>
      </c>
      <c r="AI520" t="str">
        <f t="shared" si="125"/>
        <v>Standard (3-5 days)</v>
      </c>
    </row>
    <row r="521" spans="1:35" ht="15" customHeight="1" x14ac:dyDescent="0.3">
      <c r="A521">
        <v>520</v>
      </c>
      <c r="B521" t="s">
        <v>1959</v>
      </c>
      <c r="C521" s="12">
        <v>42085</v>
      </c>
      <c r="D521" s="12">
        <v>42089</v>
      </c>
      <c r="E521" t="s">
        <v>233</v>
      </c>
      <c r="F521" t="s">
        <v>1960</v>
      </c>
      <c r="G521" t="s">
        <v>1961</v>
      </c>
      <c r="H521" t="s">
        <v>209</v>
      </c>
      <c r="I521" t="s">
        <v>210</v>
      </c>
      <c r="J521" t="s">
        <v>367</v>
      </c>
      <c r="K521" t="s">
        <v>287</v>
      </c>
      <c r="L521">
        <v>77041</v>
      </c>
      <c r="M521" t="s">
        <v>288</v>
      </c>
      <c r="N521" t="s">
        <v>413</v>
      </c>
      <c r="O521" t="s">
        <v>254</v>
      </c>
      <c r="P521" t="s">
        <v>344</v>
      </c>
      <c r="Q521" t="s">
        <v>414</v>
      </c>
      <c r="R521" s="13">
        <v>18.391999999999999</v>
      </c>
      <c r="S521">
        <v>1</v>
      </c>
      <c r="T521" s="14">
        <v>0.2</v>
      </c>
      <c r="U521" s="13">
        <v>5.2877000000000001</v>
      </c>
      <c r="V521">
        <f t="shared" si="112"/>
        <v>2015</v>
      </c>
      <c r="W521" t="str">
        <f t="shared" si="113"/>
        <v>Mar</v>
      </c>
      <c r="X521" t="str">
        <f t="shared" si="114"/>
        <v>Q1</v>
      </c>
      <c r="Y521" t="str">
        <f t="shared" si="115"/>
        <v>Sun</v>
      </c>
      <c r="Z521" s="16">
        <f t="shared" si="116"/>
        <v>4</v>
      </c>
      <c r="AA521" s="13">
        <f t="shared" si="117"/>
        <v>18.391999999999999</v>
      </c>
      <c r="AB521" s="14">
        <f t="shared" si="118"/>
        <v>0.28750000000000003</v>
      </c>
      <c r="AC521" t="str">
        <f t="shared" si="119"/>
        <v>Low (1-20%)</v>
      </c>
      <c r="AD521" t="str">
        <f t="shared" si="120"/>
        <v>Low (&lt;$50)</v>
      </c>
      <c r="AE521" t="str">
        <f t="shared" si="121"/>
        <v>Small (1-2 units)</v>
      </c>
      <c r="AF521" t="str">
        <f t="shared" si="122"/>
        <v>Profitable</v>
      </c>
      <c r="AG521" t="str">
        <f t="shared" si="123"/>
        <v>High Margin</v>
      </c>
      <c r="AH521" t="str">
        <f t="shared" si="124"/>
        <v>Repeat Customer</v>
      </c>
      <c r="AI521" t="str">
        <f t="shared" si="125"/>
        <v>Standard (3-5 days)</v>
      </c>
    </row>
    <row r="522" spans="1:35" ht="15" customHeight="1" x14ac:dyDescent="0.3">
      <c r="A522">
        <v>521</v>
      </c>
      <c r="B522" t="s">
        <v>1959</v>
      </c>
      <c r="C522" s="12">
        <v>42085</v>
      </c>
      <c r="D522" s="12">
        <v>42089</v>
      </c>
      <c r="E522" t="s">
        <v>233</v>
      </c>
      <c r="F522" t="s">
        <v>1960</v>
      </c>
      <c r="G522" t="s">
        <v>1961</v>
      </c>
      <c r="H522" t="s">
        <v>209</v>
      </c>
      <c r="I522" t="s">
        <v>210</v>
      </c>
      <c r="J522" t="s">
        <v>367</v>
      </c>
      <c r="K522" t="s">
        <v>287</v>
      </c>
      <c r="L522">
        <v>77041</v>
      </c>
      <c r="M522" t="s">
        <v>288</v>
      </c>
      <c r="N522" t="s">
        <v>1962</v>
      </c>
      <c r="O522" t="s">
        <v>229</v>
      </c>
      <c r="P522" t="s">
        <v>242</v>
      </c>
      <c r="Q522" t="s">
        <v>1963</v>
      </c>
      <c r="R522" s="13">
        <v>129.56800000000001</v>
      </c>
      <c r="S522">
        <v>2</v>
      </c>
      <c r="T522" s="14">
        <v>0.2</v>
      </c>
      <c r="U522" s="13">
        <v>-25.913599999999999</v>
      </c>
      <c r="V522">
        <f t="shared" si="112"/>
        <v>2015</v>
      </c>
      <c r="W522" t="str">
        <f t="shared" si="113"/>
        <v>Mar</v>
      </c>
      <c r="X522" t="str">
        <f t="shared" si="114"/>
        <v>Q1</v>
      </c>
      <c r="Y522" t="str">
        <f t="shared" si="115"/>
        <v>Sun</v>
      </c>
      <c r="Z522" s="16">
        <f t="shared" si="116"/>
        <v>4</v>
      </c>
      <c r="AA522" s="13">
        <f t="shared" si="117"/>
        <v>64.784000000000006</v>
      </c>
      <c r="AB522" s="14">
        <f t="shared" si="118"/>
        <v>-0.19999999999999998</v>
      </c>
      <c r="AC522" t="str">
        <f t="shared" si="119"/>
        <v>Low (1-20%)</v>
      </c>
      <c r="AD522" t="str">
        <f t="shared" si="120"/>
        <v>Medium ($50-$200)</v>
      </c>
      <c r="AE522" t="str">
        <f t="shared" si="121"/>
        <v>Small (1-2 units)</v>
      </c>
      <c r="AF522" t="str">
        <f t="shared" si="122"/>
        <v>Loss-Making</v>
      </c>
      <c r="AG522" t="str">
        <f t="shared" si="123"/>
        <v>Underperforming</v>
      </c>
      <c r="AH522" t="str">
        <f t="shared" si="124"/>
        <v>Repeat Customer</v>
      </c>
      <c r="AI522" t="str">
        <f t="shared" si="125"/>
        <v>Standard (3-5 days)</v>
      </c>
    </row>
    <row r="523" spans="1:35" ht="15" customHeight="1" x14ac:dyDescent="0.3">
      <c r="A523">
        <v>522</v>
      </c>
      <c r="B523" t="s">
        <v>1959</v>
      </c>
      <c r="C523" s="12">
        <v>42085</v>
      </c>
      <c r="D523" s="12">
        <v>42089</v>
      </c>
      <c r="E523" t="s">
        <v>233</v>
      </c>
      <c r="F523" t="s">
        <v>1960</v>
      </c>
      <c r="G523" t="s">
        <v>1961</v>
      </c>
      <c r="H523" t="s">
        <v>209</v>
      </c>
      <c r="I523" t="s">
        <v>210</v>
      </c>
      <c r="J523" t="s">
        <v>367</v>
      </c>
      <c r="K523" t="s">
        <v>287</v>
      </c>
      <c r="L523">
        <v>77041</v>
      </c>
      <c r="M523" t="s">
        <v>288</v>
      </c>
      <c r="N523" t="s">
        <v>1964</v>
      </c>
      <c r="O523" t="s">
        <v>229</v>
      </c>
      <c r="P523" t="s">
        <v>258</v>
      </c>
      <c r="Q523" t="s">
        <v>1965</v>
      </c>
      <c r="R523" s="13">
        <v>14.112</v>
      </c>
      <c r="S523">
        <v>9</v>
      </c>
      <c r="T523" s="14">
        <v>0.8</v>
      </c>
      <c r="U523" s="13">
        <v>-21.167999999999999</v>
      </c>
      <c r="V523">
        <f t="shared" si="112"/>
        <v>2015</v>
      </c>
      <c r="W523" t="str">
        <f t="shared" si="113"/>
        <v>Mar</v>
      </c>
      <c r="X523" t="str">
        <f t="shared" si="114"/>
        <v>Q1</v>
      </c>
      <c r="Y523" t="str">
        <f t="shared" si="115"/>
        <v>Sun</v>
      </c>
      <c r="Z523" s="16">
        <f t="shared" si="116"/>
        <v>4</v>
      </c>
      <c r="AA523" s="13">
        <f t="shared" si="117"/>
        <v>1.5680000000000001</v>
      </c>
      <c r="AB523" s="14">
        <f t="shared" si="118"/>
        <v>-1.5</v>
      </c>
      <c r="AC523" t="str">
        <f t="shared" si="119"/>
        <v>High (40%+)</v>
      </c>
      <c r="AD523" t="str">
        <f t="shared" si="120"/>
        <v>Low (&lt;$50)</v>
      </c>
      <c r="AE523" t="str">
        <f t="shared" si="121"/>
        <v>Large (6+ units)</v>
      </c>
      <c r="AF523" t="str">
        <f t="shared" si="122"/>
        <v>Loss-Making</v>
      </c>
      <c r="AG523" t="str">
        <f t="shared" si="123"/>
        <v>Underperforming</v>
      </c>
      <c r="AH523" t="str">
        <f t="shared" si="124"/>
        <v>Repeat Customer</v>
      </c>
      <c r="AI523" t="str">
        <f t="shared" si="125"/>
        <v>Standard (3-5 days)</v>
      </c>
    </row>
    <row r="524" spans="1:35" ht="15" customHeight="1" x14ac:dyDescent="0.3">
      <c r="A524">
        <v>523</v>
      </c>
      <c r="B524" t="s">
        <v>1966</v>
      </c>
      <c r="C524" s="12">
        <v>42758</v>
      </c>
      <c r="D524" s="12">
        <v>42760</v>
      </c>
      <c r="E524" t="s">
        <v>371</v>
      </c>
      <c r="F524" t="s">
        <v>1967</v>
      </c>
      <c r="G524" t="s">
        <v>1968</v>
      </c>
      <c r="H524" t="s">
        <v>224</v>
      </c>
      <c r="I524" t="s">
        <v>210</v>
      </c>
      <c r="J524" t="s">
        <v>1065</v>
      </c>
      <c r="K524" t="s">
        <v>421</v>
      </c>
      <c r="L524">
        <v>48234</v>
      </c>
      <c r="M524" t="s">
        <v>288</v>
      </c>
      <c r="N524" t="s">
        <v>1889</v>
      </c>
      <c r="O524" t="s">
        <v>215</v>
      </c>
      <c r="P524" t="s">
        <v>239</v>
      </c>
      <c r="Q524" t="s">
        <v>1890</v>
      </c>
      <c r="R524" s="13">
        <v>210.98</v>
      </c>
      <c r="S524">
        <v>2</v>
      </c>
      <c r="T524" s="14">
        <v>0</v>
      </c>
      <c r="U524" s="13">
        <v>21.097999999999999</v>
      </c>
      <c r="V524">
        <f t="shared" si="112"/>
        <v>2017</v>
      </c>
      <c r="W524" t="str">
        <f t="shared" si="113"/>
        <v>Jan</v>
      </c>
      <c r="X524" t="str">
        <f t="shared" si="114"/>
        <v>Q1</v>
      </c>
      <c r="Y524" t="str">
        <f t="shared" si="115"/>
        <v>Mon</v>
      </c>
      <c r="Z524" s="16">
        <f t="shared" si="116"/>
        <v>2</v>
      </c>
      <c r="AA524" s="13">
        <f t="shared" si="117"/>
        <v>105.49</v>
      </c>
      <c r="AB524" s="14">
        <f t="shared" si="118"/>
        <v>0.1</v>
      </c>
      <c r="AC524" t="str">
        <f t="shared" si="119"/>
        <v>No Discount</v>
      </c>
      <c r="AD524" t="str">
        <f t="shared" si="120"/>
        <v>High ($200-$500)</v>
      </c>
      <c r="AE524" t="str">
        <f t="shared" si="121"/>
        <v>Small (1-2 units)</v>
      </c>
      <c r="AF524" t="str">
        <f t="shared" si="122"/>
        <v>Profitable</v>
      </c>
      <c r="AG524" t="str">
        <f t="shared" si="123"/>
        <v>Healthy Margin</v>
      </c>
      <c r="AH524" t="str">
        <f t="shared" si="124"/>
        <v>Single Purchase</v>
      </c>
      <c r="AI524" t="str">
        <f t="shared" si="125"/>
        <v>Fast (&lt;=2 days)</v>
      </c>
    </row>
    <row r="525" spans="1:35" ht="15" customHeight="1" x14ac:dyDescent="0.3">
      <c r="A525">
        <v>524</v>
      </c>
      <c r="B525" t="s">
        <v>1969</v>
      </c>
      <c r="C525" s="12">
        <v>42511</v>
      </c>
      <c r="D525" s="12">
        <v>42513</v>
      </c>
      <c r="E525" t="s">
        <v>371</v>
      </c>
      <c r="F525" t="s">
        <v>1126</v>
      </c>
      <c r="G525" t="s">
        <v>1127</v>
      </c>
      <c r="H525" t="s">
        <v>209</v>
      </c>
      <c r="I525" t="s">
        <v>210</v>
      </c>
      <c r="J525" t="s">
        <v>225</v>
      </c>
      <c r="K525" t="s">
        <v>226</v>
      </c>
      <c r="L525">
        <v>90032</v>
      </c>
      <c r="M525" t="s">
        <v>227</v>
      </c>
      <c r="N525" t="s">
        <v>1970</v>
      </c>
      <c r="O525" t="s">
        <v>254</v>
      </c>
      <c r="P525" t="s">
        <v>255</v>
      </c>
      <c r="Q525" t="s">
        <v>1971</v>
      </c>
      <c r="R525" s="13">
        <v>55.176000000000002</v>
      </c>
      <c r="S525">
        <v>3</v>
      </c>
      <c r="T525" s="14">
        <v>0.2</v>
      </c>
      <c r="U525" s="13">
        <v>-12.4146</v>
      </c>
      <c r="V525">
        <f t="shared" si="112"/>
        <v>2016</v>
      </c>
      <c r="W525" t="str">
        <f t="shared" si="113"/>
        <v>May</v>
      </c>
      <c r="X525" t="str">
        <f t="shared" si="114"/>
        <v>Q2</v>
      </c>
      <c r="Y525" t="str">
        <f t="shared" si="115"/>
        <v>Sat</v>
      </c>
      <c r="Z525" s="16">
        <f t="shared" si="116"/>
        <v>2</v>
      </c>
      <c r="AA525" s="13">
        <f t="shared" si="117"/>
        <v>18.391999999999999</v>
      </c>
      <c r="AB525" s="14">
        <f t="shared" si="118"/>
        <v>-0.22500000000000001</v>
      </c>
      <c r="AC525" t="str">
        <f t="shared" si="119"/>
        <v>Low (1-20%)</v>
      </c>
      <c r="AD525" t="str">
        <f t="shared" si="120"/>
        <v>Medium ($50-$200)</v>
      </c>
      <c r="AE525" t="str">
        <f t="shared" si="121"/>
        <v>Medium (3-5 units)</v>
      </c>
      <c r="AF525" t="str">
        <f t="shared" si="122"/>
        <v>Loss-Making</v>
      </c>
      <c r="AG525" t="str">
        <f t="shared" si="123"/>
        <v>Underperforming</v>
      </c>
      <c r="AH525" t="str">
        <f t="shared" si="124"/>
        <v>Repeat Customer</v>
      </c>
      <c r="AI525" t="str">
        <f t="shared" si="125"/>
        <v>Fast (&lt;=2 days)</v>
      </c>
    </row>
    <row r="526" spans="1:35" ht="15" customHeight="1" x14ac:dyDescent="0.3">
      <c r="A526">
        <v>525</v>
      </c>
      <c r="B526" t="s">
        <v>1969</v>
      </c>
      <c r="C526" s="12">
        <v>42511</v>
      </c>
      <c r="D526" s="12">
        <v>42513</v>
      </c>
      <c r="E526" t="s">
        <v>371</v>
      </c>
      <c r="F526" t="s">
        <v>1126</v>
      </c>
      <c r="G526" t="s">
        <v>1127</v>
      </c>
      <c r="H526" t="s">
        <v>209</v>
      </c>
      <c r="I526" t="s">
        <v>210</v>
      </c>
      <c r="J526" t="s">
        <v>225</v>
      </c>
      <c r="K526" t="s">
        <v>226</v>
      </c>
      <c r="L526">
        <v>90032</v>
      </c>
      <c r="M526" t="s">
        <v>227</v>
      </c>
      <c r="N526" t="s">
        <v>1092</v>
      </c>
      <c r="O526" t="s">
        <v>254</v>
      </c>
      <c r="P526" t="s">
        <v>344</v>
      </c>
      <c r="Q526" t="s">
        <v>1972</v>
      </c>
      <c r="R526" s="13">
        <v>66.260000000000005</v>
      </c>
      <c r="S526">
        <v>2</v>
      </c>
      <c r="T526" s="14">
        <v>0</v>
      </c>
      <c r="U526" s="13">
        <v>27.166599999999999</v>
      </c>
      <c r="V526">
        <f t="shared" si="112"/>
        <v>2016</v>
      </c>
      <c r="W526" t="str">
        <f t="shared" si="113"/>
        <v>May</v>
      </c>
      <c r="X526" t="str">
        <f t="shared" si="114"/>
        <v>Q2</v>
      </c>
      <c r="Y526" t="str">
        <f t="shared" si="115"/>
        <v>Sat</v>
      </c>
      <c r="Z526" s="16">
        <f t="shared" si="116"/>
        <v>2</v>
      </c>
      <c r="AA526" s="13">
        <f t="shared" si="117"/>
        <v>33.130000000000003</v>
      </c>
      <c r="AB526" s="14">
        <f t="shared" si="118"/>
        <v>0.41</v>
      </c>
      <c r="AC526" t="str">
        <f t="shared" si="119"/>
        <v>No Discount</v>
      </c>
      <c r="AD526" t="str">
        <f t="shared" si="120"/>
        <v>Medium ($50-$200)</v>
      </c>
      <c r="AE526" t="str">
        <f t="shared" si="121"/>
        <v>Small (1-2 units)</v>
      </c>
      <c r="AF526" t="str">
        <f t="shared" si="122"/>
        <v>Profitable</v>
      </c>
      <c r="AG526" t="str">
        <f t="shared" si="123"/>
        <v>High Margin</v>
      </c>
      <c r="AH526" t="str">
        <f t="shared" si="124"/>
        <v>Repeat Customer</v>
      </c>
      <c r="AI526" t="str">
        <f t="shared" si="125"/>
        <v>Fast (&lt;=2 days)</v>
      </c>
    </row>
    <row r="527" spans="1:35" ht="15" customHeight="1" x14ac:dyDescent="0.3">
      <c r="A527">
        <v>526</v>
      </c>
      <c r="B527" t="s">
        <v>1973</v>
      </c>
      <c r="C527" s="12">
        <v>42364</v>
      </c>
      <c r="D527" s="12">
        <v>42371</v>
      </c>
      <c r="E527" t="s">
        <v>233</v>
      </c>
      <c r="F527" t="s">
        <v>1974</v>
      </c>
      <c r="G527" t="s">
        <v>1975</v>
      </c>
      <c r="H527" t="s">
        <v>209</v>
      </c>
      <c r="I527" t="s">
        <v>210</v>
      </c>
      <c r="J527" t="s">
        <v>1667</v>
      </c>
      <c r="K527" t="s">
        <v>1431</v>
      </c>
      <c r="L527">
        <v>1841</v>
      </c>
      <c r="M527" t="s">
        <v>331</v>
      </c>
      <c r="N527" t="s">
        <v>1976</v>
      </c>
      <c r="O527" t="s">
        <v>229</v>
      </c>
      <c r="P527" t="s">
        <v>452</v>
      </c>
      <c r="Q527" t="s">
        <v>746</v>
      </c>
      <c r="R527" s="13">
        <v>22.2</v>
      </c>
      <c r="S527">
        <v>5</v>
      </c>
      <c r="T527" s="14">
        <v>0</v>
      </c>
      <c r="U527" s="13">
        <v>10.433999999999999</v>
      </c>
      <c r="V527">
        <f t="shared" si="112"/>
        <v>2015</v>
      </c>
      <c r="W527" t="str">
        <f t="shared" si="113"/>
        <v>Dec</v>
      </c>
      <c r="X527" t="str">
        <f t="shared" si="114"/>
        <v>Q4</v>
      </c>
      <c r="Y527" t="str">
        <f t="shared" si="115"/>
        <v>Sat</v>
      </c>
      <c r="Z527" s="16">
        <f t="shared" si="116"/>
        <v>7</v>
      </c>
      <c r="AA527" s="13">
        <f t="shared" si="117"/>
        <v>4.4399999999999995</v>
      </c>
      <c r="AB527" s="14">
        <f t="shared" si="118"/>
        <v>0.47</v>
      </c>
      <c r="AC527" t="str">
        <f t="shared" si="119"/>
        <v>No Discount</v>
      </c>
      <c r="AD527" t="str">
        <f t="shared" si="120"/>
        <v>Low (&lt;$50)</v>
      </c>
      <c r="AE527" t="str">
        <f t="shared" si="121"/>
        <v>Medium (3-5 units)</v>
      </c>
      <c r="AF527" t="str">
        <f t="shared" si="122"/>
        <v>Profitable</v>
      </c>
      <c r="AG527" t="str">
        <f t="shared" si="123"/>
        <v>High Margin</v>
      </c>
      <c r="AH527" t="str">
        <f t="shared" si="124"/>
        <v>Repeat Customer</v>
      </c>
      <c r="AI527" t="str">
        <f t="shared" si="125"/>
        <v>Slow (6+ days)</v>
      </c>
    </row>
    <row r="528" spans="1:35" ht="15" customHeight="1" x14ac:dyDescent="0.3">
      <c r="A528">
        <v>527</v>
      </c>
      <c r="B528" t="s">
        <v>1977</v>
      </c>
      <c r="C528" s="12">
        <v>43029</v>
      </c>
      <c r="D528" s="12">
        <v>43034</v>
      </c>
      <c r="E528" t="s">
        <v>233</v>
      </c>
      <c r="F528" t="s">
        <v>1978</v>
      </c>
      <c r="G528" t="s">
        <v>1979</v>
      </c>
      <c r="H528" t="s">
        <v>285</v>
      </c>
      <c r="I528" t="s">
        <v>210</v>
      </c>
      <c r="J528" t="s">
        <v>1980</v>
      </c>
      <c r="K528" t="s">
        <v>237</v>
      </c>
      <c r="L528">
        <v>33801</v>
      </c>
      <c r="M528" t="s">
        <v>213</v>
      </c>
      <c r="N528" t="s">
        <v>1981</v>
      </c>
      <c r="O528" t="s">
        <v>215</v>
      </c>
      <c r="P528" t="s">
        <v>219</v>
      </c>
      <c r="Q528" t="s">
        <v>1982</v>
      </c>
      <c r="R528" s="13">
        <v>683.952</v>
      </c>
      <c r="S528">
        <v>3</v>
      </c>
      <c r="T528" s="14">
        <v>0.2</v>
      </c>
      <c r="U528" s="13">
        <v>42.747</v>
      </c>
      <c r="V528">
        <f t="shared" si="112"/>
        <v>2017</v>
      </c>
      <c r="W528" t="str">
        <f t="shared" si="113"/>
        <v>Oct</v>
      </c>
      <c r="X528" t="str">
        <f t="shared" si="114"/>
        <v>Q4</v>
      </c>
      <c r="Y528" t="str">
        <f t="shared" si="115"/>
        <v>Sat</v>
      </c>
      <c r="Z528" s="16">
        <f t="shared" si="116"/>
        <v>5</v>
      </c>
      <c r="AA528" s="13">
        <f t="shared" si="117"/>
        <v>227.98400000000001</v>
      </c>
      <c r="AB528" s="14">
        <f t="shared" si="118"/>
        <v>6.25E-2</v>
      </c>
      <c r="AC528" t="str">
        <f t="shared" si="119"/>
        <v>Low (1-20%)</v>
      </c>
      <c r="AD528" t="str">
        <f t="shared" si="120"/>
        <v>Premium ($500+)</v>
      </c>
      <c r="AE528" t="str">
        <f t="shared" si="121"/>
        <v>Medium (3-5 units)</v>
      </c>
      <c r="AF528" t="str">
        <f t="shared" si="122"/>
        <v>Profitable</v>
      </c>
      <c r="AG528" t="str">
        <f t="shared" si="123"/>
        <v>Low Margin</v>
      </c>
      <c r="AH528" t="str">
        <f t="shared" si="124"/>
        <v>Repeat Customer</v>
      </c>
      <c r="AI528" t="str">
        <f t="shared" si="125"/>
        <v>Standard (3-5 days)</v>
      </c>
    </row>
    <row r="529" spans="1:35" ht="15" customHeight="1" x14ac:dyDescent="0.3">
      <c r="A529">
        <v>528</v>
      </c>
      <c r="B529" t="s">
        <v>1977</v>
      </c>
      <c r="C529" s="12">
        <v>43029</v>
      </c>
      <c r="D529" s="12">
        <v>43034</v>
      </c>
      <c r="E529" t="s">
        <v>233</v>
      </c>
      <c r="F529" t="s">
        <v>1978</v>
      </c>
      <c r="G529" t="s">
        <v>1979</v>
      </c>
      <c r="H529" t="s">
        <v>285</v>
      </c>
      <c r="I529" t="s">
        <v>210</v>
      </c>
      <c r="J529" t="s">
        <v>1980</v>
      </c>
      <c r="K529" t="s">
        <v>237</v>
      </c>
      <c r="L529">
        <v>33801</v>
      </c>
      <c r="M529" t="s">
        <v>213</v>
      </c>
      <c r="N529" t="s">
        <v>1324</v>
      </c>
      <c r="O529" t="s">
        <v>215</v>
      </c>
      <c r="P529" t="s">
        <v>248</v>
      </c>
      <c r="Q529" t="s">
        <v>1325</v>
      </c>
      <c r="R529" s="13">
        <v>45.695999999999998</v>
      </c>
      <c r="S529">
        <v>3</v>
      </c>
      <c r="T529" s="14">
        <v>0.2</v>
      </c>
      <c r="U529" s="13">
        <v>5.1407999999999898</v>
      </c>
      <c r="V529">
        <f t="shared" si="112"/>
        <v>2017</v>
      </c>
      <c r="W529" t="str">
        <f t="shared" si="113"/>
        <v>Oct</v>
      </c>
      <c r="X529" t="str">
        <f t="shared" si="114"/>
        <v>Q4</v>
      </c>
      <c r="Y529" t="str">
        <f t="shared" si="115"/>
        <v>Sat</v>
      </c>
      <c r="Z529" s="16">
        <f t="shared" si="116"/>
        <v>5</v>
      </c>
      <c r="AA529" s="13">
        <f t="shared" si="117"/>
        <v>15.231999999999999</v>
      </c>
      <c r="AB529" s="14">
        <f t="shared" si="118"/>
        <v>0.11249999999999978</v>
      </c>
      <c r="AC529" t="str">
        <f t="shared" si="119"/>
        <v>Low (1-20%)</v>
      </c>
      <c r="AD529" t="str">
        <f t="shared" si="120"/>
        <v>Low (&lt;$50)</v>
      </c>
      <c r="AE529" t="str">
        <f t="shared" si="121"/>
        <v>Medium (3-5 units)</v>
      </c>
      <c r="AF529" t="str">
        <f t="shared" si="122"/>
        <v>Profitable</v>
      </c>
      <c r="AG529" t="str">
        <f t="shared" si="123"/>
        <v>Healthy Margin</v>
      </c>
      <c r="AH529" t="str">
        <f t="shared" si="124"/>
        <v>Repeat Customer</v>
      </c>
      <c r="AI529" t="str">
        <f t="shared" si="125"/>
        <v>Standard (3-5 days)</v>
      </c>
    </row>
    <row r="530" spans="1:35" ht="15" customHeight="1" x14ac:dyDescent="0.3">
      <c r="A530">
        <v>529</v>
      </c>
      <c r="B530" t="s">
        <v>1983</v>
      </c>
      <c r="C530" s="12">
        <v>42250</v>
      </c>
      <c r="D530" s="12">
        <v>42254</v>
      </c>
      <c r="E530" t="s">
        <v>233</v>
      </c>
      <c r="F530" t="s">
        <v>1984</v>
      </c>
      <c r="G530" t="s">
        <v>1985</v>
      </c>
      <c r="H530" t="s">
        <v>209</v>
      </c>
      <c r="I530" t="s">
        <v>210</v>
      </c>
      <c r="J530" t="s">
        <v>329</v>
      </c>
      <c r="K530" t="s">
        <v>330</v>
      </c>
      <c r="L530">
        <v>19134</v>
      </c>
      <c r="M530" t="s">
        <v>331</v>
      </c>
      <c r="N530" t="s">
        <v>1986</v>
      </c>
      <c r="O530" t="s">
        <v>229</v>
      </c>
      <c r="P530" t="s">
        <v>242</v>
      </c>
      <c r="Q530" t="s">
        <v>1987</v>
      </c>
      <c r="R530" s="13">
        <v>36.335999999999999</v>
      </c>
      <c r="S530">
        <v>3</v>
      </c>
      <c r="T530" s="14">
        <v>0.2</v>
      </c>
      <c r="U530" s="13">
        <v>-7.2671999999999999</v>
      </c>
      <c r="V530">
        <f t="shared" si="112"/>
        <v>2015</v>
      </c>
      <c r="W530" t="str">
        <f t="shared" si="113"/>
        <v>Sep</v>
      </c>
      <c r="X530" t="str">
        <f t="shared" si="114"/>
        <v>Q3</v>
      </c>
      <c r="Y530" t="str">
        <f t="shared" si="115"/>
        <v>Thu</v>
      </c>
      <c r="Z530" s="16">
        <f t="shared" si="116"/>
        <v>4</v>
      </c>
      <c r="AA530" s="13">
        <f t="shared" si="117"/>
        <v>12.112</v>
      </c>
      <c r="AB530" s="14">
        <f t="shared" si="118"/>
        <v>-0.2</v>
      </c>
      <c r="AC530" t="str">
        <f t="shared" si="119"/>
        <v>Low (1-20%)</v>
      </c>
      <c r="AD530" t="str">
        <f t="shared" si="120"/>
        <v>Low (&lt;$50)</v>
      </c>
      <c r="AE530" t="str">
        <f t="shared" si="121"/>
        <v>Medium (3-5 units)</v>
      </c>
      <c r="AF530" t="str">
        <f t="shared" si="122"/>
        <v>Loss-Making</v>
      </c>
      <c r="AG530" t="str">
        <f t="shared" si="123"/>
        <v>Underperforming</v>
      </c>
      <c r="AH530" t="str">
        <f t="shared" si="124"/>
        <v>Repeat Customer</v>
      </c>
      <c r="AI530" t="str">
        <f t="shared" si="125"/>
        <v>Standard (3-5 days)</v>
      </c>
    </row>
    <row r="531" spans="1:35" ht="15" customHeight="1" x14ac:dyDescent="0.3">
      <c r="A531">
        <v>530</v>
      </c>
      <c r="B531" t="s">
        <v>1983</v>
      </c>
      <c r="C531" s="12">
        <v>42250</v>
      </c>
      <c r="D531" s="12">
        <v>42254</v>
      </c>
      <c r="E531" t="s">
        <v>233</v>
      </c>
      <c r="F531" t="s">
        <v>1984</v>
      </c>
      <c r="G531" t="s">
        <v>1985</v>
      </c>
      <c r="H531" t="s">
        <v>209</v>
      </c>
      <c r="I531" t="s">
        <v>210</v>
      </c>
      <c r="J531" t="s">
        <v>329</v>
      </c>
      <c r="K531" t="s">
        <v>330</v>
      </c>
      <c r="L531">
        <v>19134</v>
      </c>
      <c r="M531" t="s">
        <v>331</v>
      </c>
      <c r="N531" t="s">
        <v>1988</v>
      </c>
      <c r="O531" t="s">
        <v>229</v>
      </c>
      <c r="P531" t="s">
        <v>762</v>
      </c>
      <c r="Q531" t="s">
        <v>1989</v>
      </c>
      <c r="R531" s="13">
        <v>666.24800000000005</v>
      </c>
      <c r="S531">
        <v>1</v>
      </c>
      <c r="T531" s="14">
        <v>0.2</v>
      </c>
      <c r="U531" s="13">
        <v>-149.9058</v>
      </c>
      <c r="V531">
        <f t="shared" si="112"/>
        <v>2015</v>
      </c>
      <c r="W531" t="str">
        <f t="shared" si="113"/>
        <v>Sep</v>
      </c>
      <c r="X531" t="str">
        <f t="shared" si="114"/>
        <v>Q3</v>
      </c>
      <c r="Y531" t="str">
        <f t="shared" si="115"/>
        <v>Thu</v>
      </c>
      <c r="Z531" s="16">
        <f t="shared" si="116"/>
        <v>4</v>
      </c>
      <c r="AA531" s="13">
        <f t="shared" si="117"/>
        <v>666.24800000000005</v>
      </c>
      <c r="AB531" s="14">
        <f t="shared" si="118"/>
        <v>-0.22499999999999998</v>
      </c>
      <c r="AC531" t="str">
        <f t="shared" si="119"/>
        <v>Low (1-20%)</v>
      </c>
      <c r="AD531" t="str">
        <f t="shared" si="120"/>
        <v>Premium ($500+)</v>
      </c>
      <c r="AE531" t="str">
        <f t="shared" si="121"/>
        <v>Small (1-2 units)</v>
      </c>
      <c r="AF531" t="str">
        <f t="shared" si="122"/>
        <v>Loss-Making</v>
      </c>
      <c r="AG531" t="str">
        <f t="shared" si="123"/>
        <v>Underperforming</v>
      </c>
      <c r="AH531" t="str">
        <f t="shared" si="124"/>
        <v>Repeat Customer</v>
      </c>
      <c r="AI531" t="str">
        <f t="shared" si="125"/>
        <v>Standard (3-5 days)</v>
      </c>
    </row>
    <row r="532" spans="1:35" ht="15" customHeight="1" x14ac:dyDescent="0.3">
      <c r="A532">
        <v>531</v>
      </c>
      <c r="B532" t="s">
        <v>1983</v>
      </c>
      <c r="C532" s="12">
        <v>42250</v>
      </c>
      <c r="D532" s="12">
        <v>42254</v>
      </c>
      <c r="E532" t="s">
        <v>233</v>
      </c>
      <c r="F532" t="s">
        <v>1984</v>
      </c>
      <c r="G532" t="s">
        <v>1985</v>
      </c>
      <c r="H532" t="s">
        <v>209</v>
      </c>
      <c r="I532" t="s">
        <v>210</v>
      </c>
      <c r="J532" t="s">
        <v>329</v>
      </c>
      <c r="K532" t="s">
        <v>330</v>
      </c>
      <c r="L532">
        <v>19134</v>
      </c>
      <c r="M532" t="s">
        <v>331</v>
      </c>
      <c r="N532" t="s">
        <v>1990</v>
      </c>
      <c r="O532" t="s">
        <v>229</v>
      </c>
      <c r="P532" t="s">
        <v>356</v>
      </c>
      <c r="Q532" t="s">
        <v>1991</v>
      </c>
      <c r="R532" s="13">
        <v>52.512</v>
      </c>
      <c r="S532">
        <v>6</v>
      </c>
      <c r="T532" s="14">
        <v>0.2</v>
      </c>
      <c r="U532" s="13">
        <v>19.692</v>
      </c>
      <c r="V532">
        <f t="shared" si="112"/>
        <v>2015</v>
      </c>
      <c r="W532" t="str">
        <f t="shared" si="113"/>
        <v>Sep</v>
      </c>
      <c r="X532" t="str">
        <f t="shared" si="114"/>
        <v>Q3</v>
      </c>
      <c r="Y532" t="str">
        <f t="shared" si="115"/>
        <v>Thu</v>
      </c>
      <c r="Z532" s="16">
        <f t="shared" si="116"/>
        <v>4</v>
      </c>
      <c r="AA532" s="13">
        <f t="shared" si="117"/>
        <v>8.7520000000000007</v>
      </c>
      <c r="AB532" s="14">
        <f t="shared" si="118"/>
        <v>0.375</v>
      </c>
      <c r="AC532" t="str">
        <f t="shared" si="119"/>
        <v>Low (1-20%)</v>
      </c>
      <c r="AD532" t="str">
        <f t="shared" si="120"/>
        <v>Medium ($50-$200)</v>
      </c>
      <c r="AE532" t="str">
        <f t="shared" si="121"/>
        <v>Large (6+ units)</v>
      </c>
      <c r="AF532" t="str">
        <f t="shared" si="122"/>
        <v>Profitable</v>
      </c>
      <c r="AG532" t="str">
        <f t="shared" si="123"/>
        <v>High Margin</v>
      </c>
      <c r="AH532" t="str">
        <f t="shared" si="124"/>
        <v>Repeat Customer</v>
      </c>
      <c r="AI532" t="str">
        <f t="shared" si="125"/>
        <v>Standard (3-5 days)</v>
      </c>
    </row>
    <row r="533" spans="1:35" ht="15" customHeight="1" x14ac:dyDescent="0.3">
      <c r="A533">
        <v>532</v>
      </c>
      <c r="B533" t="s">
        <v>1992</v>
      </c>
      <c r="C533" s="12">
        <v>42315</v>
      </c>
      <c r="D533" s="12">
        <v>42317</v>
      </c>
      <c r="E533" t="s">
        <v>206</v>
      </c>
      <c r="F533" t="s">
        <v>1993</v>
      </c>
      <c r="G533" t="s">
        <v>1994</v>
      </c>
      <c r="H533" t="s">
        <v>224</v>
      </c>
      <c r="I533" t="s">
        <v>210</v>
      </c>
      <c r="J533" t="s">
        <v>225</v>
      </c>
      <c r="K533" t="s">
        <v>226</v>
      </c>
      <c r="L533">
        <v>90036</v>
      </c>
      <c r="M533" t="s">
        <v>227</v>
      </c>
      <c r="N533" t="s">
        <v>1995</v>
      </c>
      <c r="O533" t="s">
        <v>215</v>
      </c>
      <c r="P533" t="s">
        <v>219</v>
      </c>
      <c r="Q533" t="s">
        <v>1996</v>
      </c>
      <c r="R533" s="13">
        <v>190.72</v>
      </c>
      <c r="S533">
        <v>1</v>
      </c>
      <c r="T533" s="14">
        <v>0.2</v>
      </c>
      <c r="U533" s="13">
        <v>11.92</v>
      </c>
      <c r="V533">
        <f t="shared" si="112"/>
        <v>2015</v>
      </c>
      <c r="W533" t="str">
        <f t="shared" si="113"/>
        <v>Nov</v>
      </c>
      <c r="X533" t="str">
        <f t="shared" si="114"/>
        <v>Q4</v>
      </c>
      <c r="Y533" t="str">
        <f t="shared" si="115"/>
        <v>Sat</v>
      </c>
      <c r="Z533" s="16">
        <f t="shared" si="116"/>
        <v>2</v>
      </c>
      <c r="AA533" s="13">
        <f t="shared" si="117"/>
        <v>190.72</v>
      </c>
      <c r="AB533" s="14">
        <f t="shared" si="118"/>
        <v>6.25E-2</v>
      </c>
      <c r="AC533" t="str">
        <f t="shared" si="119"/>
        <v>Low (1-20%)</v>
      </c>
      <c r="AD533" t="str">
        <f t="shared" si="120"/>
        <v>Medium ($50-$200)</v>
      </c>
      <c r="AE533" t="str">
        <f t="shared" si="121"/>
        <v>Small (1-2 units)</v>
      </c>
      <c r="AF533" t="str">
        <f t="shared" si="122"/>
        <v>Profitable</v>
      </c>
      <c r="AG533" t="str">
        <f t="shared" si="123"/>
        <v>Low Margin</v>
      </c>
      <c r="AH533" t="str">
        <f t="shared" si="124"/>
        <v>Single Purchase</v>
      </c>
      <c r="AI533" t="str">
        <f t="shared" si="125"/>
        <v>Fast (&lt;=2 days)</v>
      </c>
    </row>
    <row r="534" spans="1:35" ht="15" customHeight="1" x14ac:dyDescent="0.3">
      <c r="A534">
        <v>533</v>
      </c>
      <c r="B534" t="s">
        <v>1997</v>
      </c>
      <c r="C534" s="12">
        <v>42985</v>
      </c>
      <c r="D534" s="12">
        <v>42989</v>
      </c>
      <c r="E534" t="s">
        <v>233</v>
      </c>
      <c r="F534" t="s">
        <v>1998</v>
      </c>
      <c r="G534" t="s">
        <v>1999</v>
      </c>
      <c r="H534" t="s">
        <v>209</v>
      </c>
      <c r="I534" t="s">
        <v>210</v>
      </c>
      <c r="J534" t="s">
        <v>225</v>
      </c>
      <c r="K534" t="s">
        <v>226</v>
      </c>
      <c r="L534">
        <v>90032</v>
      </c>
      <c r="M534" t="s">
        <v>227</v>
      </c>
      <c r="N534" t="s">
        <v>2000</v>
      </c>
      <c r="O534" t="s">
        <v>215</v>
      </c>
      <c r="P534" t="s">
        <v>248</v>
      </c>
      <c r="Q534" t="s">
        <v>2001</v>
      </c>
      <c r="R534" s="13">
        <v>47.94</v>
      </c>
      <c r="S534">
        <v>3</v>
      </c>
      <c r="T534" s="14">
        <v>0</v>
      </c>
      <c r="U534" s="13">
        <v>2.3969999999999998</v>
      </c>
      <c r="V534">
        <f t="shared" si="112"/>
        <v>2017</v>
      </c>
      <c r="W534" t="str">
        <f t="shared" si="113"/>
        <v>Sep</v>
      </c>
      <c r="X534" t="str">
        <f t="shared" si="114"/>
        <v>Q3</v>
      </c>
      <c r="Y534" t="str">
        <f t="shared" si="115"/>
        <v>Thu</v>
      </c>
      <c r="Z534" s="16">
        <f t="shared" si="116"/>
        <v>4</v>
      </c>
      <c r="AA534" s="13">
        <f t="shared" si="117"/>
        <v>15.979999999999999</v>
      </c>
      <c r="AB534" s="14">
        <f t="shared" si="118"/>
        <v>4.9999999999999996E-2</v>
      </c>
      <c r="AC534" t="str">
        <f t="shared" si="119"/>
        <v>No Discount</v>
      </c>
      <c r="AD534" t="str">
        <f t="shared" si="120"/>
        <v>Low (&lt;$50)</v>
      </c>
      <c r="AE534" t="str">
        <f t="shared" si="121"/>
        <v>Medium (3-5 units)</v>
      </c>
      <c r="AF534" t="str">
        <f t="shared" si="122"/>
        <v>Profitable</v>
      </c>
      <c r="AG534" t="str">
        <f t="shared" si="123"/>
        <v>Low Margin</v>
      </c>
      <c r="AH534" t="str">
        <f t="shared" si="124"/>
        <v>Single Purchase</v>
      </c>
      <c r="AI534" t="str">
        <f t="shared" si="125"/>
        <v>Standard (3-5 days)</v>
      </c>
    </row>
    <row r="535" spans="1:35" ht="15" customHeight="1" x14ac:dyDescent="0.3">
      <c r="A535">
        <v>534</v>
      </c>
      <c r="B535" t="s">
        <v>2002</v>
      </c>
      <c r="C535" s="12">
        <v>42519</v>
      </c>
      <c r="D535" s="12">
        <v>42522</v>
      </c>
      <c r="E535" t="s">
        <v>206</v>
      </c>
      <c r="F535" t="s">
        <v>2003</v>
      </c>
      <c r="G535" t="s">
        <v>2004</v>
      </c>
      <c r="H535" t="s">
        <v>209</v>
      </c>
      <c r="I535" t="s">
        <v>210</v>
      </c>
      <c r="J535" t="s">
        <v>2005</v>
      </c>
      <c r="K535" t="s">
        <v>541</v>
      </c>
      <c r="L535">
        <v>36116</v>
      </c>
      <c r="M535" t="s">
        <v>213</v>
      </c>
      <c r="N535" t="s">
        <v>2006</v>
      </c>
      <c r="O535" t="s">
        <v>254</v>
      </c>
      <c r="P535" t="s">
        <v>255</v>
      </c>
      <c r="Q535" t="s">
        <v>2007</v>
      </c>
      <c r="R535" s="13">
        <v>979.95</v>
      </c>
      <c r="S535">
        <v>5</v>
      </c>
      <c r="T535" s="14">
        <v>0</v>
      </c>
      <c r="U535" s="13">
        <v>274.38600000000002</v>
      </c>
      <c r="V535">
        <f t="shared" si="112"/>
        <v>2016</v>
      </c>
      <c r="W535" t="str">
        <f t="shared" si="113"/>
        <v>May</v>
      </c>
      <c r="X535" t="str">
        <f t="shared" si="114"/>
        <v>Q2</v>
      </c>
      <c r="Y535" t="str">
        <f t="shared" si="115"/>
        <v>Sun</v>
      </c>
      <c r="Z535" s="16">
        <f t="shared" si="116"/>
        <v>3</v>
      </c>
      <c r="AA535" s="13">
        <f t="shared" si="117"/>
        <v>195.99</v>
      </c>
      <c r="AB535" s="14">
        <f t="shared" si="118"/>
        <v>0.28000000000000003</v>
      </c>
      <c r="AC535" t="str">
        <f t="shared" si="119"/>
        <v>No Discount</v>
      </c>
      <c r="AD535" t="str">
        <f t="shared" si="120"/>
        <v>Premium ($500+)</v>
      </c>
      <c r="AE535" t="str">
        <f t="shared" si="121"/>
        <v>Medium (3-5 units)</v>
      </c>
      <c r="AF535" t="str">
        <f t="shared" si="122"/>
        <v>Profitable</v>
      </c>
      <c r="AG535" t="str">
        <f t="shared" si="123"/>
        <v>High Margin</v>
      </c>
      <c r="AH535" t="str">
        <f t="shared" si="124"/>
        <v>Repeat Customer</v>
      </c>
      <c r="AI535" t="str">
        <f t="shared" si="125"/>
        <v>Standard (3-5 days)</v>
      </c>
    </row>
    <row r="536" spans="1:35" ht="15" customHeight="1" x14ac:dyDescent="0.3">
      <c r="A536">
        <v>535</v>
      </c>
      <c r="B536" t="s">
        <v>2002</v>
      </c>
      <c r="C536" s="12">
        <v>42519</v>
      </c>
      <c r="D536" s="12">
        <v>42522</v>
      </c>
      <c r="E536" t="s">
        <v>206</v>
      </c>
      <c r="F536" t="s">
        <v>2003</v>
      </c>
      <c r="G536" t="s">
        <v>2004</v>
      </c>
      <c r="H536" t="s">
        <v>209</v>
      </c>
      <c r="I536" t="s">
        <v>210</v>
      </c>
      <c r="J536" t="s">
        <v>2005</v>
      </c>
      <c r="K536" t="s">
        <v>541</v>
      </c>
      <c r="L536">
        <v>36116</v>
      </c>
      <c r="M536" t="s">
        <v>213</v>
      </c>
      <c r="N536" t="s">
        <v>1208</v>
      </c>
      <c r="O536" t="s">
        <v>229</v>
      </c>
      <c r="P536" t="s">
        <v>258</v>
      </c>
      <c r="Q536" t="s">
        <v>1209</v>
      </c>
      <c r="R536" s="13">
        <v>22.75</v>
      </c>
      <c r="S536">
        <v>5</v>
      </c>
      <c r="T536" s="14">
        <v>0</v>
      </c>
      <c r="U536" s="13">
        <v>11.375</v>
      </c>
      <c r="V536">
        <f t="shared" si="112"/>
        <v>2016</v>
      </c>
      <c r="W536" t="str">
        <f t="shared" si="113"/>
        <v>May</v>
      </c>
      <c r="X536" t="str">
        <f t="shared" si="114"/>
        <v>Q2</v>
      </c>
      <c r="Y536" t="str">
        <f t="shared" si="115"/>
        <v>Sun</v>
      </c>
      <c r="Z536" s="16">
        <f t="shared" si="116"/>
        <v>3</v>
      </c>
      <c r="AA536" s="13">
        <f t="shared" si="117"/>
        <v>4.55</v>
      </c>
      <c r="AB536" s="14">
        <f t="shared" si="118"/>
        <v>0.5</v>
      </c>
      <c r="AC536" t="str">
        <f t="shared" si="119"/>
        <v>No Discount</v>
      </c>
      <c r="AD536" t="str">
        <f t="shared" si="120"/>
        <v>Low (&lt;$50)</v>
      </c>
      <c r="AE536" t="str">
        <f t="shared" si="121"/>
        <v>Medium (3-5 units)</v>
      </c>
      <c r="AF536" t="str">
        <f t="shared" si="122"/>
        <v>Profitable</v>
      </c>
      <c r="AG536" t="str">
        <f t="shared" si="123"/>
        <v>High Margin</v>
      </c>
      <c r="AH536" t="str">
        <f t="shared" si="124"/>
        <v>Repeat Customer</v>
      </c>
      <c r="AI536" t="str">
        <f t="shared" si="125"/>
        <v>Standard (3-5 days)</v>
      </c>
    </row>
    <row r="537" spans="1:35" ht="15" customHeight="1" x14ac:dyDescent="0.3">
      <c r="A537">
        <v>536</v>
      </c>
      <c r="B537" t="s">
        <v>2008</v>
      </c>
      <c r="C537" s="12">
        <v>42561</v>
      </c>
      <c r="D537" s="12">
        <v>42567</v>
      </c>
      <c r="E537" t="s">
        <v>233</v>
      </c>
      <c r="F537" t="s">
        <v>2009</v>
      </c>
      <c r="G537" t="s">
        <v>2010</v>
      </c>
      <c r="H537" t="s">
        <v>209</v>
      </c>
      <c r="I537" t="s">
        <v>210</v>
      </c>
      <c r="J537" t="s">
        <v>2011</v>
      </c>
      <c r="K537" t="s">
        <v>493</v>
      </c>
      <c r="L537">
        <v>85204</v>
      </c>
      <c r="M537" t="s">
        <v>227</v>
      </c>
      <c r="N537" t="s">
        <v>2012</v>
      </c>
      <c r="O537" t="s">
        <v>229</v>
      </c>
      <c r="P537" t="s">
        <v>242</v>
      </c>
      <c r="Q537" t="s">
        <v>2013</v>
      </c>
      <c r="R537" s="13">
        <v>16.768000000000001</v>
      </c>
      <c r="S537">
        <v>2</v>
      </c>
      <c r="T537" s="14">
        <v>0.2</v>
      </c>
      <c r="U537" s="13">
        <v>1.4672000000000001</v>
      </c>
      <c r="V537">
        <f t="shared" si="112"/>
        <v>2016</v>
      </c>
      <c r="W537" t="str">
        <f t="shared" si="113"/>
        <v>Jul</v>
      </c>
      <c r="X537" t="str">
        <f t="shared" si="114"/>
        <v>Q3</v>
      </c>
      <c r="Y537" t="str">
        <f t="shared" si="115"/>
        <v>Sun</v>
      </c>
      <c r="Z537" s="16">
        <f t="shared" si="116"/>
        <v>6</v>
      </c>
      <c r="AA537" s="13">
        <f t="shared" si="117"/>
        <v>8.3840000000000003</v>
      </c>
      <c r="AB537" s="14">
        <f t="shared" si="118"/>
        <v>8.7499999999999994E-2</v>
      </c>
      <c r="AC537" t="str">
        <f t="shared" si="119"/>
        <v>Low (1-20%)</v>
      </c>
      <c r="AD537" t="str">
        <f t="shared" si="120"/>
        <v>Low (&lt;$50)</v>
      </c>
      <c r="AE537" t="str">
        <f t="shared" si="121"/>
        <v>Small (1-2 units)</v>
      </c>
      <c r="AF537" t="str">
        <f t="shared" si="122"/>
        <v>Profitable</v>
      </c>
      <c r="AG537" t="str">
        <f t="shared" si="123"/>
        <v>Low Margin</v>
      </c>
      <c r="AH537" t="str">
        <f t="shared" si="124"/>
        <v>Repeat Customer</v>
      </c>
      <c r="AI537" t="str">
        <f t="shared" si="125"/>
        <v>Slow (6+ days)</v>
      </c>
    </row>
    <row r="538" spans="1:35" ht="15" customHeight="1" x14ac:dyDescent="0.3">
      <c r="A538">
        <v>537</v>
      </c>
      <c r="B538" t="s">
        <v>2014</v>
      </c>
      <c r="C538" s="12">
        <v>42981</v>
      </c>
      <c r="D538" s="12">
        <v>42986</v>
      </c>
      <c r="E538" t="s">
        <v>206</v>
      </c>
      <c r="F538" t="s">
        <v>2015</v>
      </c>
      <c r="G538" t="s">
        <v>2016</v>
      </c>
      <c r="H538" t="s">
        <v>209</v>
      </c>
      <c r="I538" t="s">
        <v>210</v>
      </c>
      <c r="J538" t="s">
        <v>486</v>
      </c>
      <c r="K538" t="s">
        <v>394</v>
      </c>
      <c r="L538">
        <v>60653</v>
      </c>
      <c r="M538" t="s">
        <v>288</v>
      </c>
      <c r="N538" t="s">
        <v>2017</v>
      </c>
      <c r="O538" t="s">
        <v>229</v>
      </c>
      <c r="P538" t="s">
        <v>258</v>
      </c>
      <c r="Q538" t="s">
        <v>2018</v>
      </c>
      <c r="R538" s="13">
        <v>42.616</v>
      </c>
      <c r="S538">
        <v>7</v>
      </c>
      <c r="T538" s="14">
        <v>0.8</v>
      </c>
      <c r="U538" s="13">
        <v>-68.185599999999994</v>
      </c>
      <c r="V538">
        <f t="shared" si="112"/>
        <v>2017</v>
      </c>
      <c r="W538" t="str">
        <f t="shared" si="113"/>
        <v>Sep</v>
      </c>
      <c r="X538" t="str">
        <f t="shared" si="114"/>
        <v>Q3</v>
      </c>
      <c r="Y538" t="str">
        <f t="shared" si="115"/>
        <v>Sun</v>
      </c>
      <c r="Z538" s="16">
        <f t="shared" si="116"/>
        <v>5</v>
      </c>
      <c r="AA538" s="13">
        <f t="shared" si="117"/>
        <v>6.0880000000000001</v>
      </c>
      <c r="AB538" s="14">
        <f t="shared" si="118"/>
        <v>-1.5999999999999999</v>
      </c>
      <c r="AC538" t="str">
        <f t="shared" si="119"/>
        <v>High (40%+)</v>
      </c>
      <c r="AD538" t="str">
        <f t="shared" si="120"/>
        <v>Low (&lt;$50)</v>
      </c>
      <c r="AE538" t="str">
        <f t="shared" si="121"/>
        <v>Large (6+ units)</v>
      </c>
      <c r="AF538" t="str">
        <f t="shared" si="122"/>
        <v>Loss-Making</v>
      </c>
      <c r="AG538" t="str">
        <f t="shared" si="123"/>
        <v>Underperforming</v>
      </c>
      <c r="AH538" t="str">
        <f t="shared" si="124"/>
        <v>Single Purchase</v>
      </c>
      <c r="AI538" t="str">
        <f t="shared" si="125"/>
        <v>Standard (3-5 days)</v>
      </c>
    </row>
    <row r="539" spans="1:35" ht="15" customHeight="1" x14ac:dyDescent="0.3">
      <c r="A539">
        <v>538</v>
      </c>
      <c r="B539" t="s">
        <v>2019</v>
      </c>
      <c r="C539" s="12">
        <v>42341</v>
      </c>
      <c r="D539" s="12">
        <v>42346</v>
      </c>
      <c r="E539" t="s">
        <v>233</v>
      </c>
      <c r="F539" t="s">
        <v>947</v>
      </c>
      <c r="G539" t="s">
        <v>948</v>
      </c>
      <c r="H539" t="s">
        <v>285</v>
      </c>
      <c r="I539" t="s">
        <v>210</v>
      </c>
      <c r="J539" t="s">
        <v>449</v>
      </c>
      <c r="K539" t="s">
        <v>450</v>
      </c>
      <c r="L539">
        <v>10009</v>
      </c>
      <c r="M539" t="s">
        <v>331</v>
      </c>
      <c r="N539" t="s">
        <v>2020</v>
      </c>
      <c r="O539" t="s">
        <v>229</v>
      </c>
      <c r="P539" t="s">
        <v>258</v>
      </c>
      <c r="Q539" t="s">
        <v>2021</v>
      </c>
      <c r="R539" s="13">
        <v>10.752000000000001</v>
      </c>
      <c r="S539">
        <v>4</v>
      </c>
      <c r="T539" s="14">
        <v>0.2</v>
      </c>
      <c r="U539" s="13">
        <v>3.36</v>
      </c>
      <c r="V539">
        <f t="shared" si="112"/>
        <v>2015</v>
      </c>
      <c r="W539" t="str">
        <f t="shared" si="113"/>
        <v>Dec</v>
      </c>
      <c r="X539" t="str">
        <f t="shared" si="114"/>
        <v>Q4</v>
      </c>
      <c r="Y539" t="str">
        <f t="shared" si="115"/>
        <v>Thu</v>
      </c>
      <c r="Z539" s="16">
        <f t="shared" si="116"/>
        <v>5</v>
      </c>
      <c r="AA539" s="13">
        <f t="shared" si="117"/>
        <v>2.6880000000000002</v>
      </c>
      <c r="AB539" s="14">
        <f t="shared" si="118"/>
        <v>0.31249999999999994</v>
      </c>
      <c r="AC539" t="str">
        <f t="shared" si="119"/>
        <v>Low (1-20%)</v>
      </c>
      <c r="AD539" t="str">
        <f t="shared" si="120"/>
        <v>Low (&lt;$50)</v>
      </c>
      <c r="AE539" t="str">
        <f t="shared" si="121"/>
        <v>Medium (3-5 units)</v>
      </c>
      <c r="AF539" t="str">
        <f t="shared" si="122"/>
        <v>Profitable</v>
      </c>
      <c r="AG539" t="str">
        <f t="shared" si="123"/>
        <v>High Margin</v>
      </c>
      <c r="AH539" t="str">
        <f t="shared" si="124"/>
        <v>Repeat Customer</v>
      </c>
      <c r="AI539" t="str">
        <f t="shared" si="125"/>
        <v>Standard (3-5 days)</v>
      </c>
    </row>
    <row r="540" spans="1:35" ht="15" customHeight="1" x14ac:dyDescent="0.3">
      <c r="A540">
        <v>539</v>
      </c>
      <c r="B540" t="s">
        <v>2022</v>
      </c>
      <c r="C540" s="12">
        <v>42345</v>
      </c>
      <c r="D540" s="12">
        <v>42349</v>
      </c>
      <c r="E540" t="s">
        <v>233</v>
      </c>
      <c r="F540" t="s">
        <v>2023</v>
      </c>
      <c r="G540" t="s">
        <v>2024</v>
      </c>
      <c r="H540" t="s">
        <v>209</v>
      </c>
      <c r="I540" t="s">
        <v>210</v>
      </c>
      <c r="J540" t="s">
        <v>211</v>
      </c>
      <c r="K540" t="s">
        <v>212</v>
      </c>
      <c r="L540">
        <v>42420</v>
      </c>
      <c r="M540" t="s">
        <v>213</v>
      </c>
      <c r="N540" t="s">
        <v>2025</v>
      </c>
      <c r="O540" t="s">
        <v>229</v>
      </c>
      <c r="P540" t="s">
        <v>261</v>
      </c>
      <c r="Q540" t="s">
        <v>2026</v>
      </c>
      <c r="R540" s="13">
        <v>152.94</v>
      </c>
      <c r="S540">
        <v>3</v>
      </c>
      <c r="T540" s="14">
        <v>0</v>
      </c>
      <c r="U540" s="13">
        <v>41.293799999999997</v>
      </c>
      <c r="V540">
        <f t="shared" si="112"/>
        <v>2015</v>
      </c>
      <c r="W540" t="str">
        <f t="shared" si="113"/>
        <v>Dec</v>
      </c>
      <c r="X540" t="str">
        <f t="shared" si="114"/>
        <v>Q4</v>
      </c>
      <c r="Y540" t="str">
        <f t="shared" si="115"/>
        <v>Mon</v>
      </c>
      <c r="Z540" s="16">
        <f t="shared" si="116"/>
        <v>4</v>
      </c>
      <c r="AA540" s="13">
        <f t="shared" si="117"/>
        <v>50.98</v>
      </c>
      <c r="AB540" s="14">
        <f t="shared" si="118"/>
        <v>0.26999999999999996</v>
      </c>
      <c r="AC540" t="str">
        <f t="shared" si="119"/>
        <v>No Discount</v>
      </c>
      <c r="AD540" t="str">
        <f t="shared" si="120"/>
        <v>Medium ($50-$200)</v>
      </c>
      <c r="AE540" t="str">
        <f t="shared" si="121"/>
        <v>Medium (3-5 units)</v>
      </c>
      <c r="AF540" t="str">
        <f t="shared" si="122"/>
        <v>Profitable</v>
      </c>
      <c r="AG540" t="str">
        <f t="shared" si="123"/>
        <v>High Margin</v>
      </c>
      <c r="AH540" t="str">
        <f t="shared" si="124"/>
        <v>Repeat Customer</v>
      </c>
      <c r="AI540" t="str">
        <f t="shared" si="125"/>
        <v>Standard (3-5 days)</v>
      </c>
    </row>
    <row r="541" spans="1:35" ht="15" customHeight="1" x14ac:dyDescent="0.3">
      <c r="A541">
        <v>540</v>
      </c>
      <c r="B541" t="s">
        <v>2022</v>
      </c>
      <c r="C541" s="12">
        <v>42345</v>
      </c>
      <c r="D541" s="12">
        <v>42349</v>
      </c>
      <c r="E541" t="s">
        <v>233</v>
      </c>
      <c r="F541" t="s">
        <v>2023</v>
      </c>
      <c r="G541" t="s">
        <v>2024</v>
      </c>
      <c r="H541" t="s">
        <v>209</v>
      </c>
      <c r="I541" t="s">
        <v>210</v>
      </c>
      <c r="J541" t="s">
        <v>211</v>
      </c>
      <c r="K541" t="s">
        <v>212</v>
      </c>
      <c r="L541">
        <v>42420</v>
      </c>
      <c r="M541" t="s">
        <v>213</v>
      </c>
      <c r="N541" t="s">
        <v>2027</v>
      </c>
      <c r="O541" t="s">
        <v>215</v>
      </c>
      <c r="P541" t="s">
        <v>219</v>
      </c>
      <c r="Q541" t="s">
        <v>2028</v>
      </c>
      <c r="R541" s="13">
        <v>283.92</v>
      </c>
      <c r="S541">
        <v>4</v>
      </c>
      <c r="T541" s="14">
        <v>0</v>
      </c>
      <c r="U541" s="13">
        <v>70.98</v>
      </c>
      <c r="V541">
        <f t="shared" si="112"/>
        <v>2015</v>
      </c>
      <c r="W541" t="str">
        <f t="shared" si="113"/>
        <v>Dec</v>
      </c>
      <c r="X541" t="str">
        <f t="shared" si="114"/>
        <v>Q4</v>
      </c>
      <c r="Y541" t="str">
        <f t="shared" si="115"/>
        <v>Mon</v>
      </c>
      <c r="Z541" s="16">
        <f t="shared" si="116"/>
        <v>4</v>
      </c>
      <c r="AA541" s="13">
        <f t="shared" si="117"/>
        <v>70.98</v>
      </c>
      <c r="AB541" s="14">
        <f t="shared" si="118"/>
        <v>0.25</v>
      </c>
      <c r="AC541" t="str">
        <f t="shared" si="119"/>
        <v>No Discount</v>
      </c>
      <c r="AD541" t="str">
        <f t="shared" si="120"/>
        <v>High ($200-$500)</v>
      </c>
      <c r="AE541" t="str">
        <f t="shared" si="121"/>
        <v>Medium (3-5 units)</v>
      </c>
      <c r="AF541" t="str">
        <f t="shared" si="122"/>
        <v>Profitable</v>
      </c>
      <c r="AG541" t="str">
        <f t="shared" si="123"/>
        <v>High Margin</v>
      </c>
      <c r="AH541" t="str">
        <f t="shared" si="124"/>
        <v>Repeat Customer</v>
      </c>
      <c r="AI541" t="str">
        <f t="shared" si="125"/>
        <v>Standard (3-5 days)</v>
      </c>
    </row>
    <row r="542" spans="1:35" ht="15" customHeight="1" x14ac:dyDescent="0.3">
      <c r="A542">
        <v>541</v>
      </c>
      <c r="B542" t="s">
        <v>2029</v>
      </c>
      <c r="C542" s="12">
        <v>41671</v>
      </c>
      <c r="D542" s="12">
        <v>41673</v>
      </c>
      <c r="E542" t="s">
        <v>371</v>
      </c>
      <c r="F542" t="s">
        <v>2030</v>
      </c>
      <c r="G542" t="s">
        <v>2031</v>
      </c>
      <c r="H542" t="s">
        <v>209</v>
      </c>
      <c r="I542" t="s">
        <v>210</v>
      </c>
      <c r="J542" t="s">
        <v>2032</v>
      </c>
      <c r="K542" t="s">
        <v>297</v>
      </c>
      <c r="L542">
        <v>54302</v>
      </c>
      <c r="M542" t="s">
        <v>288</v>
      </c>
      <c r="N542" t="s">
        <v>2033</v>
      </c>
      <c r="O542" t="s">
        <v>254</v>
      </c>
      <c r="P542" t="s">
        <v>344</v>
      </c>
      <c r="Q542" t="s">
        <v>2034</v>
      </c>
      <c r="R542" s="13">
        <v>468.9</v>
      </c>
      <c r="S542">
        <v>6</v>
      </c>
      <c r="T542" s="14">
        <v>0</v>
      </c>
      <c r="U542" s="13">
        <v>206.316</v>
      </c>
      <c r="V542">
        <f t="shared" si="112"/>
        <v>2014</v>
      </c>
      <c r="W542" t="str">
        <f t="shared" si="113"/>
        <v>Feb</v>
      </c>
      <c r="X542" t="str">
        <f t="shared" si="114"/>
        <v>Q1</v>
      </c>
      <c r="Y542" t="str">
        <f t="shared" si="115"/>
        <v>Sat</v>
      </c>
      <c r="Z542" s="16">
        <f t="shared" si="116"/>
        <v>2</v>
      </c>
      <c r="AA542" s="13">
        <f t="shared" si="117"/>
        <v>78.149999999999991</v>
      </c>
      <c r="AB542" s="14">
        <f t="shared" si="118"/>
        <v>0.44</v>
      </c>
      <c r="AC542" t="str">
        <f t="shared" si="119"/>
        <v>No Discount</v>
      </c>
      <c r="AD542" t="str">
        <f t="shared" si="120"/>
        <v>High ($200-$500)</v>
      </c>
      <c r="AE542" t="str">
        <f t="shared" si="121"/>
        <v>Large (6+ units)</v>
      </c>
      <c r="AF542" t="str">
        <f t="shared" si="122"/>
        <v>Profitable</v>
      </c>
      <c r="AG542" t="str">
        <f t="shared" si="123"/>
        <v>High Margin</v>
      </c>
      <c r="AH542" t="str">
        <f t="shared" si="124"/>
        <v>Single Purchase</v>
      </c>
      <c r="AI542" t="str">
        <f t="shared" si="125"/>
        <v>Fast (&lt;=2 days)</v>
      </c>
    </row>
    <row r="543" spans="1:35" ht="15" customHeight="1" x14ac:dyDescent="0.3">
      <c r="A543">
        <v>542</v>
      </c>
      <c r="B543" t="s">
        <v>2035</v>
      </c>
      <c r="C543" s="12">
        <v>42565</v>
      </c>
      <c r="D543" s="12">
        <v>42568</v>
      </c>
      <c r="E543" t="s">
        <v>371</v>
      </c>
      <c r="F543" t="s">
        <v>403</v>
      </c>
      <c r="G543" t="s">
        <v>404</v>
      </c>
      <c r="H543" t="s">
        <v>224</v>
      </c>
      <c r="I543" t="s">
        <v>210</v>
      </c>
      <c r="J543" t="s">
        <v>1497</v>
      </c>
      <c r="K543" t="s">
        <v>493</v>
      </c>
      <c r="L543">
        <v>85705</v>
      </c>
      <c r="M543" t="s">
        <v>227</v>
      </c>
      <c r="N543" t="s">
        <v>2036</v>
      </c>
      <c r="O543" t="s">
        <v>254</v>
      </c>
      <c r="P543" t="s">
        <v>255</v>
      </c>
      <c r="Q543" t="s">
        <v>2037</v>
      </c>
      <c r="R543" s="13">
        <v>380.86399999999998</v>
      </c>
      <c r="S543">
        <v>8</v>
      </c>
      <c r="T543" s="14">
        <v>0.2</v>
      </c>
      <c r="U543" s="13">
        <v>38.086399999999998</v>
      </c>
      <c r="V543">
        <f t="shared" si="112"/>
        <v>2016</v>
      </c>
      <c r="W543" t="str">
        <f t="shared" si="113"/>
        <v>Jul</v>
      </c>
      <c r="X543" t="str">
        <f t="shared" si="114"/>
        <v>Q3</v>
      </c>
      <c r="Y543" t="str">
        <f t="shared" si="115"/>
        <v>Thu</v>
      </c>
      <c r="Z543" s="16">
        <f t="shared" si="116"/>
        <v>3</v>
      </c>
      <c r="AA543" s="13">
        <f t="shared" si="117"/>
        <v>47.607999999999997</v>
      </c>
      <c r="AB543" s="14">
        <f t="shared" si="118"/>
        <v>0.1</v>
      </c>
      <c r="AC543" t="str">
        <f t="shared" si="119"/>
        <v>Low (1-20%)</v>
      </c>
      <c r="AD543" t="str">
        <f t="shared" si="120"/>
        <v>High ($200-$500)</v>
      </c>
      <c r="AE543" t="str">
        <f t="shared" si="121"/>
        <v>Large (6+ units)</v>
      </c>
      <c r="AF543" t="str">
        <f t="shared" si="122"/>
        <v>Profitable</v>
      </c>
      <c r="AG543" t="str">
        <f t="shared" si="123"/>
        <v>Healthy Margin</v>
      </c>
      <c r="AH543" t="str">
        <f t="shared" si="124"/>
        <v>Repeat Customer</v>
      </c>
      <c r="AI543" t="str">
        <f t="shared" si="125"/>
        <v>Standard (3-5 days)</v>
      </c>
    </row>
    <row r="544" spans="1:35" ht="15" customHeight="1" x14ac:dyDescent="0.3">
      <c r="A544">
        <v>543</v>
      </c>
      <c r="B544" t="s">
        <v>2038</v>
      </c>
      <c r="C544" s="12">
        <v>42356</v>
      </c>
      <c r="D544" s="12">
        <v>42361</v>
      </c>
      <c r="E544" t="s">
        <v>233</v>
      </c>
      <c r="F544" t="s">
        <v>2039</v>
      </c>
      <c r="G544" t="s">
        <v>2040</v>
      </c>
      <c r="H544" t="s">
        <v>209</v>
      </c>
      <c r="I544" t="s">
        <v>210</v>
      </c>
      <c r="J544" t="s">
        <v>501</v>
      </c>
      <c r="K544" t="s">
        <v>681</v>
      </c>
      <c r="L544">
        <v>45503</v>
      </c>
      <c r="M544" t="s">
        <v>331</v>
      </c>
      <c r="N544" t="s">
        <v>1877</v>
      </c>
      <c r="O544" t="s">
        <v>229</v>
      </c>
      <c r="P544" t="s">
        <v>242</v>
      </c>
      <c r="Q544" t="s">
        <v>1878</v>
      </c>
      <c r="R544" s="13">
        <v>646.77599999999995</v>
      </c>
      <c r="S544">
        <v>9</v>
      </c>
      <c r="T544" s="14">
        <v>0.2</v>
      </c>
      <c r="U544" s="13">
        <v>-145.52459999999999</v>
      </c>
      <c r="V544">
        <f t="shared" si="112"/>
        <v>2015</v>
      </c>
      <c r="W544" t="str">
        <f t="shared" si="113"/>
        <v>Dec</v>
      </c>
      <c r="X544" t="str">
        <f t="shared" si="114"/>
        <v>Q4</v>
      </c>
      <c r="Y544" t="str">
        <f t="shared" si="115"/>
        <v>Fri</v>
      </c>
      <c r="Z544" s="16">
        <f t="shared" si="116"/>
        <v>5</v>
      </c>
      <c r="AA544" s="13">
        <f t="shared" si="117"/>
        <v>71.86399999999999</v>
      </c>
      <c r="AB544" s="14">
        <f t="shared" si="118"/>
        <v>-0.22500000000000001</v>
      </c>
      <c r="AC544" t="str">
        <f t="shared" si="119"/>
        <v>Low (1-20%)</v>
      </c>
      <c r="AD544" t="str">
        <f t="shared" si="120"/>
        <v>Premium ($500+)</v>
      </c>
      <c r="AE544" t="str">
        <f t="shared" si="121"/>
        <v>Large (6+ units)</v>
      </c>
      <c r="AF544" t="str">
        <f t="shared" si="122"/>
        <v>Loss-Making</v>
      </c>
      <c r="AG544" t="str">
        <f t="shared" si="123"/>
        <v>Underperforming</v>
      </c>
      <c r="AH544" t="str">
        <f t="shared" si="124"/>
        <v>Single Purchase</v>
      </c>
      <c r="AI544" t="str">
        <f t="shared" si="125"/>
        <v>Standard (3-5 days)</v>
      </c>
    </row>
    <row r="545" spans="1:35" ht="15" customHeight="1" x14ac:dyDescent="0.3">
      <c r="A545">
        <v>544</v>
      </c>
      <c r="B545" t="s">
        <v>2041</v>
      </c>
      <c r="C545" s="12">
        <v>41770</v>
      </c>
      <c r="D545" s="12">
        <v>41775</v>
      </c>
      <c r="E545" t="s">
        <v>233</v>
      </c>
      <c r="F545" t="s">
        <v>570</v>
      </c>
      <c r="G545" t="s">
        <v>571</v>
      </c>
      <c r="H545" t="s">
        <v>209</v>
      </c>
      <c r="I545" t="s">
        <v>210</v>
      </c>
      <c r="J545" t="s">
        <v>286</v>
      </c>
      <c r="K545" t="s">
        <v>287</v>
      </c>
      <c r="L545">
        <v>76106</v>
      </c>
      <c r="M545" t="s">
        <v>288</v>
      </c>
      <c r="N545" t="s">
        <v>2042</v>
      </c>
      <c r="O545" t="s">
        <v>254</v>
      </c>
      <c r="P545" t="s">
        <v>344</v>
      </c>
      <c r="Q545" t="s">
        <v>2043</v>
      </c>
      <c r="R545" s="13">
        <v>58.112000000000002</v>
      </c>
      <c r="S545">
        <v>2</v>
      </c>
      <c r="T545" s="14">
        <v>0.2</v>
      </c>
      <c r="U545" s="13">
        <v>7.2639999999999896</v>
      </c>
      <c r="V545">
        <f t="shared" si="112"/>
        <v>2014</v>
      </c>
      <c r="W545" t="str">
        <f t="shared" si="113"/>
        <v>May</v>
      </c>
      <c r="X545" t="str">
        <f t="shared" si="114"/>
        <v>Q2</v>
      </c>
      <c r="Y545" t="str">
        <f t="shared" si="115"/>
        <v>Sun</v>
      </c>
      <c r="Z545" s="16">
        <f t="shared" si="116"/>
        <v>5</v>
      </c>
      <c r="AA545" s="13">
        <f t="shared" si="117"/>
        <v>29.056000000000001</v>
      </c>
      <c r="AB545" s="14">
        <f t="shared" si="118"/>
        <v>0.12499999999999982</v>
      </c>
      <c r="AC545" t="str">
        <f t="shared" si="119"/>
        <v>Low (1-20%)</v>
      </c>
      <c r="AD545" t="str">
        <f t="shared" si="120"/>
        <v>Medium ($50-$200)</v>
      </c>
      <c r="AE545" t="str">
        <f t="shared" si="121"/>
        <v>Small (1-2 units)</v>
      </c>
      <c r="AF545" t="str">
        <f t="shared" si="122"/>
        <v>Profitable</v>
      </c>
      <c r="AG545" t="str">
        <f t="shared" si="123"/>
        <v>Healthy Margin</v>
      </c>
      <c r="AH545" t="str">
        <f t="shared" si="124"/>
        <v>Repeat Customer</v>
      </c>
      <c r="AI545" t="str">
        <f t="shared" si="125"/>
        <v>Standard (3-5 days)</v>
      </c>
    </row>
    <row r="546" spans="1:35" ht="15" customHeight="1" x14ac:dyDescent="0.3">
      <c r="A546">
        <v>545</v>
      </c>
      <c r="B546" t="s">
        <v>2041</v>
      </c>
      <c r="C546" s="12">
        <v>41770</v>
      </c>
      <c r="D546" s="12">
        <v>41775</v>
      </c>
      <c r="E546" t="s">
        <v>233</v>
      </c>
      <c r="F546" t="s">
        <v>570</v>
      </c>
      <c r="G546" t="s">
        <v>571</v>
      </c>
      <c r="H546" t="s">
        <v>209</v>
      </c>
      <c r="I546" t="s">
        <v>210</v>
      </c>
      <c r="J546" t="s">
        <v>286</v>
      </c>
      <c r="K546" t="s">
        <v>287</v>
      </c>
      <c r="L546">
        <v>76106</v>
      </c>
      <c r="M546" t="s">
        <v>288</v>
      </c>
      <c r="N546" t="s">
        <v>2044</v>
      </c>
      <c r="O546" t="s">
        <v>254</v>
      </c>
      <c r="P546" t="s">
        <v>255</v>
      </c>
      <c r="Q546" t="s">
        <v>2045</v>
      </c>
      <c r="R546" s="13">
        <v>100.792</v>
      </c>
      <c r="S546">
        <v>1</v>
      </c>
      <c r="T546" s="14">
        <v>0.2</v>
      </c>
      <c r="U546" s="13">
        <v>6.2995000000000001</v>
      </c>
      <c r="V546">
        <f t="shared" si="112"/>
        <v>2014</v>
      </c>
      <c r="W546" t="str">
        <f t="shared" si="113"/>
        <v>May</v>
      </c>
      <c r="X546" t="str">
        <f t="shared" si="114"/>
        <v>Q2</v>
      </c>
      <c r="Y546" t="str">
        <f t="shared" si="115"/>
        <v>Sun</v>
      </c>
      <c r="Z546" s="16">
        <f t="shared" si="116"/>
        <v>5</v>
      </c>
      <c r="AA546" s="13">
        <f t="shared" si="117"/>
        <v>100.792</v>
      </c>
      <c r="AB546" s="14">
        <f t="shared" si="118"/>
        <v>6.25E-2</v>
      </c>
      <c r="AC546" t="str">
        <f t="shared" si="119"/>
        <v>Low (1-20%)</v>
      </c>
      <c r="AD546" t="str">
        <f t="shared" si="120"/>
        <v>Medium ($50-$200)</v>
      </c>
      <c r="AE546" t="str">
        <f t="shared" si="121"/>
        <v>Small (1-2 units)</v>
      </c>
      <c r="AF546" t="str">
        <f t="shared" si="122"/>
        <v>Profitable</v>
      </c>
      <c r="AG546" t="str">
        <f t="shared" si="123"/>
        <v>Low Margin</v>
      </c>
      <c r="AH546" t="str">
        <f t="shared" si="124"/>
        <v>Repeat Customer</v>
      </c>
      <c r="AI546" t="str">
        <f t="shared" si="125"/>
        <v>Standard (3-5 days)</v>
      </c>
    </row>
    <row r="547" spans="1:35" ht="15" customHeight="1" x14ac:dyDescent="0.3">
      <c r="A547">
        <v>546</v>
      </c>
      <c r="B547" t="s">
        <v>2041</v>
      </c>
      <c r="C547" s="12">
        <v>41770</v>
      </c>
      <c r="D547" s="12">
        <v>41775</v>
      </c>
      <c r="E547" t="s">
        <v>233</v>
      </c>
      <c r="F547" t="s">
        <v>570</v>
      </c>
      <c r="G547" t="s">
        <v>571</v>
      </c>
      <c r="H547" t="s">
        <v>209</v>
      </c>
      <c r="I547" t="s">
        <v>210</v>
      </c>
      <c r="J547" t="s">
        <v>286</v>
      </c>
      <c r="K547" t="s">
        <v>287</v>
      </c>
      <c r="L547">
        <v>76106</v>
      </c>
      <c r="M547" t="s">
        <v>288</v>
      </c>
      <c r="N547" t="s">
        <v>2046</v>
      </c>
      <c r="O547" t="s">
        <v>215</v>
      </c>
      <c r="P547" t="s">
        <v>248</v>
      </c>
      <c r="Q547" t="s">
        <v>2047</v>
      </c>
      <c r="R547" s="13">
        <v>66.111999999999995</v>
      </c>
      <c r="S547">
        <v>4</v>
      </c>
      <c r="T547" s="14">
        <v>0.6</v>
      </c>
      <c r="U547" s="13">
        <v>-84.2928</v>
      </c>
      <c r="V547">
        <f t="shared" si="112"/>
        <v>2014</v>
      </c>
      <c r="W547" t="str">
        <f t="shared" si="113"/>
        <v>May</v>
      </c>
      <c r="X547" t="str">
        <f t="shared" si="114"/>
        <v>Q2</v>
      </c>
      <c r="Y547" t="str">
        <f t="shared" si="115"/>
        <v>Sun</v>
      </c>
      <c r="Z547" s="16">
        <f t="shared" si="116"/>
        <v>5</v>
      </c>
      <c r="AA547" s="13">
        <f t="shared" si="117"/>
        <v>16.527999999999999</v>
      </c>
      <c r="AB547" s="14">
        <f t="shared" si="118"/>
        <v>-1.2750000000000001</v>
      </c>
      <c r="AC547" t="str">
        <f t="shared" si="119"/>
        <v>High (40%+)</v>
      </c>
      <c r="AD547" t="str">
        <f t="shared" si="120"/>
        <v>Medium ($50-$200)</v>
      </c>
      <c r="AE547" t="str">
        <f t="shared" si="121"/>
        <v>Medium (3-5 units)</v>
      </c>
      <c r="AF547" t="str">
        <f t="shared" si="122"/>
        <v>Loss-Making</v>
      </c>
      <c r="AG547" t="str">
        <f t="shared" si="123"/>
        <v>Underperforming</v>
      </c>
      <c r="AH547" t="str">
        <f t="shared" si="124"/>
        <v>Repeat Customer</v>
      </c>
      <c r="AI547" t="str">
        <f t="shared" si="125"/>
        <v>Standard (3-5 days)</v>
      </c>
    </row>
    <row r="548" spans="1:35" ht="15" customHeight="1" x14ac:dyDescent="0.3">
      <c r="A548">
        <v>547</v>
      </c>
      <c r="B548" t="s">
        <v>2048</v>
      </c>
      <c r="C548" s="12">
        <v>43058</v>
      </c>
      <c r="D548" s="12">
        <v>43061</v>
      </c>
      <c r="E548" t="s">
        <v>371</v>
      </c>
      <c r="F548" t="s">
        <v>2049</v>
      </c>
      <c r="G548" t="s">
        <v>2050</v>
      </c>
      <c r="H548" t="s">
        <v>285</v>
      </c>
      <c r="I548" t="s">
        <v>210</v>
      </c>
      <c r="J548" t="s">
        <v>449</v>
      </c>
      <c r="K548" t="s">
        <v>450</v>
      </c>
      <c r="L548">
        <v>10035</v>
      </c>
      <c r="M548" t="s">
        <v>331</v>
      </c>
      <c r="N548" t="s">
        <v>2051</v>
      </c>
      <c r="O548" t="s">
        <v>229</v>
      </c>
      <c r="P548" t="s">
        <v>258</v>
      </c>
      <c r="Q548" t="s">
        <v>2052</v>
      </c>
      <c r="R548" s="13">
        <v>41.28</v>
      </c>
      <c r="S548">
        <v>6</v>
      </c>
      <c r="T548" s="14">
        <v>0.2</v>
      </c>
      <c r="U548" s="13">
        <v>13.932</v>
      </c>
      <c r="V548">
        <f t="shared" si="112"/>
        <v>2017</v>
      </c>
      <c r="W548" t="str">
        <f t="shared" si="113"/>
        <v>Nov</v>
      </c>
      <c r="X548" t="str">
        <f t="shared" si="114"/>
        <v>Q4</v>
      </c>
      <c r="Y548" t="str">
        <f t="shared" si="115"/>
        <v>Sun</v>
      </c>
      <c r="Z548" s="16">
        <f t="shared" si="116"/>
        <v>3</v>
      </c>
      <c r="AA548" s="13">
        <f t="shared" si="117"/>
        <v>6.88</v>
      </c>
      <c r="AB548" s="14">
        <f t="shared" si="118"/>
        <v>0.33750000000000002</v>
      </c>
      <c r="AC548" t="str">
        <f t="shared" si="119"/>
        <v>Low (1-20%)</v>
      </c>
      <c r="AD548" t="str">
        <f t="shared" si="120"/>
        <v>Low (&lt;$50)</v>
      </c>
      <c r="AE548" t="str">
        <f t="shared" si="121"/>
        <v>Large (6+ units)</v>
      </c>
      <c r="AF548" t="str">
        <f t="shared" si="122"/>
        <v>Profitable</v>
      </c>
      <c r="AG548" t="str">
        <f t="shared" si="123"/>
        <v>High Margin</v>
      </c>
      <c r="AH548" t="str">
        <f t="shared" si="124"/>
        <v>Repeat Customer</v>
      </c>
      <c r="AI548" t="str">
        <f t="shared" si="125"/>
        <v>Standard (3-5 days)</v>
      </c>
    </row>
    <row r="549" spans="1:35" ht="15" customHeight="1" x14ac:dyDescent="0.3">
      <c r="A549">
        <v>548</v>
      </c>
      <c r="B549" t="s">
        <v>2048</v>
      </c>
      <c r="C549" s="12">
        <v>43058</v>
      </c>
      <c r="D549" s="12">
        <v>43061</v>
      </c>
      <c r="E549" t="s">
        <v>371</v>
      </c>
      <c r="F549" t="s">
        <v>2049</v>
      </c>
      <c r="G549" t="s">
        <v>2050</v>
      </c>
      <c r="H549" t="s">
        <v>285</v>
      </c>
      <c r="I549" t="s">
        <v>210</v>
      </c>
      <c r="J549" t="s">
        <v>449</v>
      </c>
      <c r="K549" t="s">
        <v>450</v>
      </c>
      <c r="L549">
        <v>10035</v>
      </c>
      <c r="M549" t="s">
        <v>331</v>
      </c>
      <c r="N549" t="s">
        <v>2053</v>
      </c>
      <c r="O549" t="s">
        <v>229</v>
      </c>
      <c r="P549" t="s">
        <v>273</v>
      </c>
      <c r="Q549" t="s">
        <v>2054</v>
      </c>
      <c r="R549" s="13">
        <v>13.36</v>
      </c>
      <c r="S549">
        <v>2</v>
      </c>
      <c r="T549" s="14">
        <v>0</v>
      </c>
      <c r="U549" s="13">
        <v>6.4127999999999998</v>
      </c>
      <c r="V549">
        <f t="shared" si="112"/>
        <v>2017</v>
      </c>
      <c r="W549" t="str">
        <f t="shared" si="113"/>
        <v>Nov</v>
      </c>
      <c r="X549" t="str">
        <f t="shared" si="114"/>
        <v>Q4</v>
      </c>
      <c r="Y549" t="str">
        <f t="shared" si="115"/>
        <v>Sun</v>
      </c>
      <c r="Z549" s="16">
        <f t="shared" si="116"/>
        <v>3</v>
      </c>
      <c r="AA549" s="13">
        <f t="shared" si="117"/>
        <v>6.68</v>
      </c>
      <c r="AB549" s="14">
        <f t="shared" si="118"/>
        <v>0.48</v>
      </c>
      <c r="AC549" t="str">
        <f t="shared" si="119"/>
        <v>No Discount</v>
      </c>
      <c r="AD549" t="str">
        <f t="shared" si="120"/>
        <v>Low (&lt;$50)</v>
      </c>
      <c r="AE549" t="str">
        <f t="shared" si="121"/>
        <v>Small (1-2 units)</v>
      </c>
      <c r="AF549" t="str">
        <f t="shared" si="122"/>
        <v>Profitable</v>
      </c>
      <c r="AG549" t="str">
        <f t="shared" si="123"/>
        <v>High Margin</v>
      </c>
      <c r="AH549" t="str">
        <f t="shared" si="124"/>
        <v>Repeat Customer</v>
      </c>
      <c r="AI549" t="str">
        <f t="shared" si="125"/>
        <v>Standard (3-5 days)</v>
      </c>
    </row>
    <row r="550" spans="1:35" ht="15" customHeight="1" x14ac:dyDescent="0.3">
      <c r="A550">
        <v>549</v>
      </c>
      <c r="B550" t="s">
        <v>2055</v>
      </c>
      <c r="C550" s="12">
        <v>42323</v>
      </c>
      <c r="D550" s="12">
        <v>42325</v>
      </c>
      <c r="E550" t="s">
        <v>206</v>
      </c>
      <c r="F550" t="s">
        <v>1545</v>
      </c>
      <c r="G550" t="s">
        <v>1546</v>
      </c>
      <c r="H550" t="s">
        <v>224</v>
      </c>
      <c r="I550" t="s">
        <v>210</v>
      </c>
      <c r="J550" t="s">
        <v>486</v>
      </c>
      <c r="K550" t="s">
        <v>394</v>
      </c>
      <c r="L550">
        <v>60653</v>
      </c>
      <c r="M550" t="s">
        <v>288</v>
      </c>
      <c r="N550" t="s">
        <v>460</v>
      </c>
      <c r="O550" t="s">
        <v>229</v>
      </c>
      <c r="P550" t="s">
        <v>242</v>
      </c>
      <c r="Q550" t="s">
        <v>461</v>
      </c>
      <c r="R550" s="13">
        <v>250.27199999999999</v>
      </c>
      <c r="S550">
        <v>9</v>
      </c>
      <c r="T550" s="14">
        <v>0.2</v>
      </c>
      <c r="U550" s="13">
        <v>15.641999999999999</v>
      </c>
      <c r="V550">
        <f t="shared" si="112"/>
        <v>2015</v>
      </c>
      <c r="W550" t="str">
        <f t="shared" si="113"/>
        <v>Nov</v>
      </c>
      <c r="X550" t="str">
        <f t="shared" si="114"/>
        <v>Q4</v>
      </c>
      <c r="Y550" t="str">
        <f t="shared" si="115"/>
        <v>Sun</v>
      </c>
      <c r="Z550" s="16">
        <f t="shared" si="116"/>
        <v>2</v>
      </c>
      <c r="AA550" s="13">
        <f t="shared" si="117"/>
        <v>27.808</v>
      </c>
      <c r="AB550" s="14">
        <f t="shared" si="118"/>
        <v>6.25E-2</v>
      </c>
      <c r="AC550" t="str">
        <f t="shared" si="119"/>
        <v>Low (1-20%)</v>
      </c>
      <c r="AD550" t="str">
        <f t="shared" si="120"/>
        <v>High ($200-$500)</v>
      </c>
      <c r="AE550" t="str">
        <f t="shared" si="121"/>
        <v>Large (6+ units)</v>
      </c>
      <c r="AF550" t="str">
        <f t="shared" si="122"/>
        <v>Profitable</v>
      </c>
      <c r="AG550" t="str">
        <f t="shared" si="123"/>
        <v>Low Margin</v>
      </c>
      <c r="AH550" t="str">
        <f t="shared" si="124"/>
        <v>Repeat Customer</v>
      </c>
      <c r="AI550" t="str">
        <f t="shared" si="125"/>
        <v>Fast (&lt;=2 days)</v>
      </c>
    </row>
    <row r="551" spans="1:35" ht="15" customHeight="1" x14ac:dyDescent="0.3">
      <c r="A551">
        <v>550</v>
      </c>
      <c r="B551" t="s">
        <v>2055</v>
      </c>
      <c r="C551" s="12">
        <v>42323</v>
      </c>
      <c r="D551" s="12">
        <v>42325</v>
      </c>
      <c r="E551" t="s">
        <v>206</v>
      </c>
      <c r="F551" t="s">
        <v>1545</v>
      </c>
      <c r="G551" t="s">
        <v>1546</v>
      </c>
      <c r="H551" t="s">
        <v>224</v>
      </c>
      <c r="I551" t="s">
        <v>210</v>
      </c>
      <c r="J551" t="s">
        <v>486</v>
      </c>
      <c r="K551" t="s">
        <v>394</v>
      </c>
      <c r="L551">
        <v>60653</v>
      </c>
      <c r="M551" t="s">
        <v>288</v>
      </c>
      <c r="N551" t="s">
        <v>604</v>
      </c>
      <c r="O551" t="s">
        <v>229</v>
      </c>
      <c r="P551" t="s">
        <v>258</v>
      </c>
      <c r="Q551" t="s">
        <v>605</v>
      </c>
      <c r="R551" s="13">
        <v>11.364000000000001</v>
      </c>
      <c r="S551">
        <v>3</v>
      </c>
      <c r="T551" s="14">
        <v>0.8</v>
      </c>
      <c r="U551" s="13">
        <v>-17.045999999999999</v>
      </c>
      <c r="V551">
        <f t="shared" si="112"/>
        <v>2015</v>
      </c>
      <c r="W551" t="str">
        <f t="shared" si="113"/>
        <v>Nov</v>
      </c>
      <c r="X551" t="str">
        <f t="shared" si="114"/>
        <v>Q4</v>
      </c>
      <c r="Y551" t="str">
        <f t="shared" si="115"/>
        <v>Sun</v>
      </c>
      <c r="Z551" s="16">
        <f t="shared" si="116"/>
        <v>2</v>
      </c>
      <c r="AA551" s="13">
        <f t="shared" si="117"/>
        <v>3.7880000000000003</v>
      </c>
      <c r="AB551" s="14">
        <f t="shared" si="118"/>
        <v>-1.4999999999999998</v>
      </c>
      <c r="AC551" t="str">
        <f t="shared" si="119"/>
        <v>High (40%+)</v>
      </c>
      <c r="AD551" t="str">
        <f t="shared" si="120"/>
        <v>Low (&lt;$50)</v>
      </c>
      <c r="AE551" t="str">
        <f t="shared" si="121"/>
        <v>Medium (3-5 units)</v>
      </c>
      <c r="AF551" t="str">
        <f t="shared" si="122"/>
        <v>Loss-Making</v>
      </c>
      <c r="AG551" t="str">
        <f t="shared" si="123"/>
        <v>Underperforming</v>
      </c>
      <c r="AH551" t="str">
        <f t="shared" si="124"/>
        <v>Repeat Customer</v>
      </c>
      <c r="AI551" t="str">
        <f t="shared" si="125"/>
        <v>Fast (&lt;=2 days)</v>
      </c>
    </row>
    <row r="552" spans="1:35" ht="15" customHeight="1" x14ac:dyDescent="0.3">
      <c r="A552">
        <v>551</v>
      </c>
      <c r="B552" t="s">
        <v>2055</v>
      </c>
      <c r="C552" s="12">
        <v>42323</v>
      </c>
      <c r="D552" s="12">
        <v>42325</v>
      </c>
      <c r="E552" t="s">
        <v>206</v>
      </c>
      <c r="F552" t="s">
        <v>1545</v>
      </c>
      <c r="G552" t="s">
        <v>1546</v>
      </c>
      <c r="H552" t="s">
        <v>224</v>
      </c>
      <c r="I552" t="s">
        <v>210</v>
      </c>
      <c r="J552" t="s">
        <v>486</v>
      </c>
      <c r="K552" t="s">
        <v>394</v>
      </c>
      <c r="L552">
        <v>60653</v>
      </c>
      <c r="M552" t="s">
        <v>288</v>
      </c>
      <c r="N552" t="s">
        <v>2056</v>
      </c>
      <c r="O552" t="s">
        <v>229</v>
      </c>
      <c r="P552" t="s">
        <v>762</v>
      </c>
      <c r="Q552" t="s">
        <v>1483</v>
      </c>
      <c r="R552" s="13">
        <v>8.7200000000000006</v>
      </c>
      <c r="S552">
        <v>5</v>
      </c>
      <c r="T552" s="14">
        <v>0.2</v>
      </c>
      <c r="U552" s="13">
        <v>-1.744</v>
      </c>
      <c r="V552">
        <f t="shared" si="112"/>
        <v>2015</v>
      </c>
      <c r="W552" t="str">
        <f t="shared" si="113"/>
        <v>Nov</v>
      </c>
      <c r="X552" t="str">
        <f t="shared" si="114"/>
        <v>Q4</v>
      </c>
      <c r="Y552" t="str">
        <f t="shared" si="115"/>
        <v>Sun</v>
      </c>
      <c r="Z552" s="16">
        <f t="shared" si="116"/>
        <v>2</v>
      </c>
      <c r="AA552" s="13">
        <f t="shared" si="117"/>
        <v>1.7440000000000002</v>
      </c>
      <c r="AB552" s="14">
        <f t="shared" si="118"/>
        <v>-0.19999999999999998</v>
      </c>
      <c r="AC552" t="str">
        <f t="shared" si="119"/>
        <v>Low (1-20%)</v>
      </c>
      <c r="AD552" t="str">
        <f t="shared" si="120"/>
        <v>Low (&lt;$50)</v>
      </c>
      <c r="AE552" t="str">
        <f t="shared" si="121"/>
        <v>Medium (3-5 units)</v>
      </c>
      <c r="AF552" t="str">
        <f t="shared" si="122"/>
        <v>Loss-Making</v>
      </c>
      <c r="AG552" t="str">
        <f t="shared" si="123"/>
        <v>Underperforming</v>
      </c>
      <c r="AH552" t="str">
        <f t="shared" si="124"/>
        <v>Repeat Customer</v>
      </c>
      <c r="AI552" t="str">
        <f t="shared" si="125"/>
        <v>Fast (&lt;=2 days)</v>
      </c>
    </row>
    <row r="553" spans="1:35" ht="15" customHeight="1" x14ac:dyDescent="0.3">
      <c r="A553">
        <v>552</v>
      </c>
      <c r="B553" t="s">
        <v>2057</v>
      </c>
      <c r="C553" s="12">
        <v>42475</v>
      </c>
      <c r="D553" s="12">
        <v>42477</v>
      </c>
      <c r="E553" t="s">
        <v>206</v>
      </c>
      <c r="F553" t="s">
        <v>2058</v>
      </c>
      <c r="G553" t="s">
        <v>2059</v>
      </c>
      <c r="H553" t="s">
        <v>209</v>
      </c>
      <c r="I553" t="s">
        <v>210</v>
      </c>
      <c r="J553" t="s">
        <v>310</v>
      </c>
      <c r="K553" t="s">
        <v>226</v>
      </c>
      <c r="L553">
        <v>94110</v>
      </c>
      <c r="M553" t="s">
        <v>227</v>
      </c>
      <c r="N553" t="s">
        <v>2060</v>
      </c>
      <c r="O553" t="s">
        <v>215</v>
      </c>
      <c r="P553" t="s">
        <v>219</v>
      </c>
      <c r="Q553" t="s">
        <v>2061</v>
      </c>
      <c r="R553" s="13">
        <v>1121.568</v>
      </c>
      <c r="S553">
        <v>2</v>
      </c>
      <c r="T553" s="14">
        <v>0.2</v>
      </c>
      <c r="U553" s="13">
        <v>0</v>
      </c>
      <c r="V553">
        <f t="shared" si="112"/>
        <v>2016</v>
      </c>
      <c r="W553" t="str">
        <f t="shared" si="113"/>
        <v>Apr</v>
      </c>
      <c r="X553" t="str">
        <f t="shared" si="114"/>
        <v>Q2</v>
      </c>
      <c r="Y553" t="str">
        <f t="shared" si="115"/>
        <v>Fri</v>
      </c>
      <c r="Z553" s="16">
        <f t="shared" si="116"/>
        <v>2</v>
      </c>
      <c r="AA553" s="13">
        <f t="shared" si="117"/>
        <v>560.78399999999999</v>
      </c>
      <c r="AB553" s="14">
        <f t="shared" si="118"/>
        <v>0</v>
      </c>
      <c r="AC553" t="str">
        <f t="shared" si="119"/>
        <v>Low (1-20%)</v>
      </c>
      <c r="AD553" t="str">
        <f t="shared" si="120"/>
        <v>Premium ($500+)</v>
      </c>
      <c r="AE553" t="str">
        <f t="shared" si="121"/>
        <v>Small (1-2 units)</v>
      </c>
      <c r="AF553" t="str">
        <f t="shared" si="122"/>
        <v>Profitable</v>
      </c>
      <c r="AG553" t="str">
        <f t="shared" si="123"/>
        <v>Low Margin</v>
      </c>
      <c r="AH553" t="str">
        <f t="shared" si="124"/>
        <v>Single Purchase</v>
      </c>
      <c r="AI553" t="str">
        <f t="shared" si="125"/>
        <v>Fast (&lt;=2 days)</v>
      </c>
    </row>
    <row r="554" spans="1:35" ht="15" customHeight="1" x14ac:dyDescent="0.3">
      <c r="A554">
        <v>553</v>
      </c>
      <c r="B554" t="s">
        <v>2062</v>
      </c>
      <c r="C554" s="12">
        <v>42989</v>
      </c>
      <c r="D554" s="12">
        <v>42990</v>
      </c>
      <c r="E554" t="s">
        <v>371</v>
      </c>
      <c r="F554" t="s">
        <v>678</v>
      </c>
      <c r="G554" t="s">
        <v>679</v>
      </c>
      <c r="H554" t="s">
        <v>209</v>
      </c>
      <c r="I554" t="s">
        <v>210</v>
      </c>
      <c r="J554" t="s">
        <v>1709</v>
      </c>
      <c r="K554" t="s">
        <v>237</v>
      </c>
      <c r="L554">
        <v>32216</v>
      </c>
      <c r="M554" t="s">
        <v>213</v>
      </c>
      <c r="N554" t="s">
        <v>2063</v>
      </c>
      <c r="O554" t="s">
        <v>215</v>
      </c>
      <c r="P554" t="s">
        <v>248</v>
      </c>
      <c r="Q554" t="s">
        <v>2064</v>
      </c>
      <c r="R554" s="13">
        <v>34.503999999999998</v>
      </c>
      <c r="S554">
        <v>1</v>
      </c>
      <c r="T554" s="14">
        <v>0.2</v>
      </c>
      <c r="U554" s="13">
        <v>6.0381999999999998</v>
      </c>
      <c r="V554">
        <f t="shared" si="112"/>
        <v>2017</v>
      </c>
      <c r="W554" t="str">
        <f t="shared" si="113"/>
        <v>Sep</v>
      </c>
      <c r="X554" t="str">
        <f t="shared" si="114"/>
        <v>Q3</v>
      </c>
      <c r="Y554" t="str">
        <f t="shared" si="115"/>
        <v>Mon</v>
      </c>
      <c r="Z554" s="16">
        <f t="shared" si="116"/>
        <v>1</v>
      </c>
      <c r="AA554" s="13">
        <f t="shared" si="117"/>
        <v>34.503999999999998</v>
      </c>
      <c r="AB554" s="14">
        <f t="shared" si="118"/>
        <v>0.17500000000000002</v>
      </c>
      <c r="AC554" t="str">
        <f t="shared" si="119"/>
        <v>Low (1-20%)</v>
      </c>
      <c r="AD554" t="str">
        <f t="shared" si="120"/>
        <v>Low (&lt;$50)</v>
      </c>
      <c r="AE554" t="str">
        <f t="shared" si="121"/>
        <v>Small (1-2 units)</v>
      </c>
      <c r="AF554" t="str">
        <f t="shared" si="122"/>
        <v>Profitable</v>
      </c>
      <c r="AG554" t="str">
        <f t="shared" si="123"/>
        <v>Healthy Margin</v>
      </c>
      <c r="AH554" t="str">
        <f t="shared" si="124"/>
        <v>Repeat Customer</v>
      </c>
      <c r="AI554" t="str">
        <f t="shared" si="125"/>
        <v>Fast (&lt;=2 days)</v>
      </c>
    </row>
    <row r="555" spans="1:35" ht="15" customHeight="1" x14ac:dyDescent="0.3">
      <c r="A555">
        <v>554</v>
      </c>
      <c r="B555" t="s">
        <v>2065</v>
      </c>
      <c r="C555" s="12">
        <v>43063</v>
      </c>
      <c r="D555" s="12">
        <v>43067</v>
      </c>
      <c r="E555" t="s">
        <v>233</v>
      </c>
      <c r="F555" t="s">
        <v>2066</v>
      </c>
      <c r="G555" t="s">
        <v>2067</v>
      </c>
      <c r="H555" t="s">
        <v>209</v>
      </c>
      <c r="I555" t="s">
        <v>210</v>
      </c>
      <c r="J555" t="s">
        <v>367</v>
      </c>
      <c r="K555" t="s">
        <v>287</v>
      </c>
      <c r="L555">
        <v>77070</v>
      </c>
      <c r="M555" t="s">
        <v>288</v>
      </c>
      <c r="N555" t="s">
        <v>2068</v>
      </c>
      <c r="O555" t="s">
        <v>229</v>
      </c>
      <c r="P555" t="s">
        <v>452</v>
      </c>
      <c r="Q555" t="s">
        <v>2069</v>
      </c>
      <c r="R555" s="13">
        <v>10.824</v>
      </c>
      <c r="S555">
        <v>3</v>
      </c>
      <c r="T555" s="14">
        <v>0.2</v>
      </c>
      <c r="U555" s="13">
        <v>2.5707</v>
      </c>
      <c r="V555">
        <f t="shared" si="112"/>
        <v>2017</v>
      </c>
      <c r="W555" t="str">
        <f t="shared" si="113"/>
        <v>Nov</v>
      </c>
      <c r="X555" t="str">
        <f t="shared" si="114"/>
        <v>Q4</v>
      </c>
      <c r="Y555" t="str">
        <f t="shared" si="115"/>
        <v>Fri</v>
      </c>
      <c r="Z555" s="16">
        <f t="shared" si="116"/>
        <v>4</v>
      </c>
      <c r="AA555" s="13">
        <f t="shared" si="117"/>
        <v>3.6080000000000001</v>
      </c>
      <c r="AB555" s="14">
        <f t="shared" si="118"/>
        <v>0.23749999999999999</v>
      </c>
      <c r="AC555" t="str">
        <f t="shared" si="119"/>
        <v>Low (1-20%)</v>
      </c>
      <c r="AD555" t="str">
        <f t="shared" si="120"/>
        <v>Low (&lt;$50)</v>
      </c>
      <c r="AE555" t="str">
        <f t="shared" si="121"/>
        <v>Medium (3-5 units)</v>
      </c>
      <c r="AF555" t="str">
        <f t="shared" si="122"/>
        <v>Profitable</v>
      </c>
      <c r="AG555" t="str">
        <f t="shared" si="123"/>
        <v>Healthy Margin</v>
      </c>
      <c r="AH555" t="str">
        <f t="shared" si="124"/>
        <v>Repeat Customer</v>
      </c>
      <c r="AI555" t="str">
        <f t="shared" si="125"/>
        <v>Standard (3-5 days)</v>
      </c>
    </row>
    <row r="556" spans="1:35" ht="15" customHeight="1" x14ac:dyDescent="0.3">
      <c r="A556">
        <v>555</v>
      </c>
      <c r="B556" t="s">
        <v>2070</v>
      </c>
      <c r="C556" s="12">
        <v>42915</v>
      </c>
      <c r="D556" s="12">
        <v>42919</v>
      </c>
      <c r="E556" t="s">
        <v>206</v>
      </c>
      <c r="F556" t="s">
        <v>1545</v>
      </c>
      <c r="G556" t="s">
        <v>1546</v>
      </c>
      <c r="H556" t="s">
        <v>224</v>
      </c>
      <c r="I556" t="s">
        <v>210</v>
      </c>
      <c r="J556" t="s">
        <v>2071</v>
      </c>
      <c r="K556" t="s">
        <v>226</v>
      </c>
      <c r="L556">
        <v>92804</v>
      </c>
      <c r="M556" t="s">
        <v>227</v>
      </c>
      <c r="N556" t="s">
        <v>2072</v>
      </c>
      <c r="O556" t="s">
        <v>229</v>
      </c>
      <c r="P556" t="s">
        <v>242</v>
      </c>
      <c r="Q556" t="s">
        <v>2073</v>
      </c>
      <c r="R556" s="13">
        <v>1295.78</v>
      </c>
      <c r="S556">
        <v>2</v>
      </c>
      <c r="T556" s="14">
        <v>0</v>
      </c>
      <c r="U556" s="13">
        <v>310.98719999999997</v>
      </c>
      <c r="V556">
        <f t="shared" si="112"/>
        <v>2017</v>
      </c>
      <c r="W556" t="str">
        <f t="shared" si="113"/>
        <v>Jun</v>
      </c>
      <c r="X556" t="str">
        <f t="shared" si="114"/>
        <v>Q2</v>
      </c>
      <c r="Y556" t="str">
        <f t="shared" si="115"/>
        <v>Thu</v>
      </c>
      <c r="Z556" s="16">
        <f t="shared" si="116"/>
        <v>4</v>
      </c>
      <c r="AA556" s="13">
        <f t="shared" si="117"/>
        <v>647.89</v>
      </c>
      <c r="AB556" s="14">
        <f t="shared" si="118"/>
        <v>0.24</v>
      </c>
      <c r="AC556" t="str">
        <f t="shared" si="119"/>
        <v>No Discount</v>
      </c>
      <c r="AD556" t="str">
        <f t="shared" si="120"/>
        <v>Premium ($500+)</v>
      </c>
      <c r="AE556" t="str">
        <f t="shared" si="121"/>
        <v>Small (1-2 units)</v>
      </c>
      <c r="AF556" t="str">
        <f t="shared" si="122"/>
        <v>Profitable</v>
      </c>
      <c r="AG556" t="str">
        <f t="shared" si="123"/>
        <v>Healthy Margin</v>
      </c>
      <c r="AH556" t="str">
        <f t="shared" si="124"/>
        <v>Repeat Customer</v>
      </c>
      <c r="AI556" t="str">
        <f t="shared" si="125"/>
        <v>Standard (3-5 days)</v>
      </c>
    </row>
    <row r="557" spans="1:35" ht="15" customHeight="1" x14ac:dyDescent="0.3">
      <c r="A557">
        <v>556</v>
      </c>
      <c r="B557" t="s">
        <v>2074</v>
      </c>
      <c r="C557" s="12">
        <v>41701</v>
      </c>
      <c r="D557" s="12">
        <v>41705</v>
      </c>
      <c r="E557" t="s">
        <v>206</v>
      </c>
      <c r="F557" t="s">
        <v>2075</v>
      </c>
      <c r="G557" t="s">
        <v>2076</v>
      </c>
      <c r="H557" t="s">
        <v>209</v>
      </c>
      <c r="I557" t="s">
        <v>210</v>
      </c>
      <c r="J557" t="s">
        <v>704</v>
      </c>
      <c r="K557" t="s">
        <v>271</v>
      </c>
      <c r="L557">
        <v>28403</v>
      </c>
      <c r="M557" t="s">
        <v>213</v>
      </c>
      <c r="N557" t="s">
        <v>2077</v>
      </c>
      <c r="O557" t="s">
        <v>229</v>
      </c>
      <c r="P557" t="s">
        <v>251</v>
      </c>
      <c r="Q557" t="s">
        <v>2078</v>
      </c>
      <c r="R557" s="13">
        <v>19.456</v>
      </c>
      <c r="S557">
        <v>4</v>
      </c>
      <c r="T557" s="14">
        <v>0.2</v>
      </c>
      <c r="U557" s="13">
        <v>3.4047999999999998</v>
      </c>
      <c r="V557">
        <f t="shared" si="112"/>
        <v>2014</v>
      </c>
      <c r="W557" t="str">
        <f t="shared" si="113"/>
        <v>Mar</v>
      </c>
      <c r="X557" t="str">
        <f t="shared" si="114"/>
        <v>Q1</v>
      </c>
      <c r="Y557" t="str">
        <f t="shared" si="115"/>
        <v>Mon</v>
      </c>
      <c r="Z557" s="16">
        <f t="shared" si="116"/>
        <v>4</v>
      </c>
      <c r="AA557" s="13">
        <f t="shared" si="117"/>
        <v>4.8639999999999999</v>
      </c>
      <c r="AB557" s="14">
        <f t="shared" si="118"/>
        <v>0.17499999999999999</v>
      </c>
      <c r="AC557" t="str">
        <f t="shared" si="119"/>
        <v>Low (1-20%)</v>
      </c>
      <c r="AD557" t="str">
        <f t="shared" si="120"/>
        <v>Low (&lt;$50)</v>
      </c>
      <c r="AE557" t="str">
        <f t="shared" si="121"/>
        <v>Medium (3-5 units)</v>
      </c>
      <c r="AF557" t="str">
        <f t="shared" si="122"/>
        <v>Profitable</v>
      </c>
      <c r="AG557" t="str">
        <f t="shared" si="123"/>
        <v>Healthy Margin</v>
      </c>
      <c r="AH557" t="str">
        <f t="shared" si="124"/>
        <v>Single Purchase</v>
      </c>
      <c r="AI557" t="str">
        <f t="shared" si="125"/>
        <v>Standard (3-5 days)</v>
      </c>
    </row>
    <row r="558" spans="1:35" ht="15" customHeight="1" x14ac:dyDescent="0.3">
      <c r="A558">
        <v>557</v>
      </c>
      <c r="B558" t="s">
        <v>2079</v>
      </c>
      <c r="C558" s="12">
        <v>42531</v>
      </c>
      <c r="D558" s="12">
        <v>42536</v>
      </c>
      <c r="E558" t="s">
        <v>233</v>
      </c>
      <c r="F558" t="s">
        <v>2080</v>
      </c>
      <c r="G558" t="s">
        <v>2081</v>
      </c>
      <c r="H558" t="s">
        <v>209</v>
      </c>
      <c r="I558" t="s">
        <v>210</v>
      </c>
      <c r="J558" t="s">
        <v>225</v>
      </c>
      <c r="K558" t="s">
        <v>226</v>
      </c>
      <c r="L558">
        <v>90045</v>
      </c>
      <c r="M558" t="s">
        <v>227</v>
      </c>
      <c r="N558" t="s">
        <v>2082</v>
      </c>
      <c r="O558" t="s">
        <v>229</v>
      </c>
      <c r="P558" t="s">
        <v>230</v>
      </c>
      <c r="Q558" t="s">
        <v>2083</v>
      </c>
      <c r="R558" s="13">
        <v>20.7</v>
      </c>
      <c r="S558">
        <v>2</v>
      </c>
      <c r="T558" s="14">
        <v>0</v>
      </c>
      <c r="U558" s="13">
        <v>9.9359999999999999</v>
      </c>
      <c r="V558">
        <f t="shared" si="112"/>
        <v>2016</v>
      </c>
      <c r="W558" t="str">
        <f t="shared" si="113"/>
        <v>Jun</v>
      </c>
      <c r="X558" t="str">
        <f t="shared" si="114"/>
        <v>Q2</v>
      </c>
      <c r="Y558" t="str">
        <f t="shared" si="115"/>
        <v>Fri</v>
      </c>
      <c r="Z558" s="16">
        <f t="shared" si="116"/>
        <v>5</v>
      </c>
      <c r="AA558" s="13">
        <f t="shared" si="117"/>
        <v>10.35</v>
      </c>
      <c r="AB558" s="14">
        <f t="shared" si="118"/>
        <v>0.48000000000000004</v>
      </c>
      <c r="AC558" t="str">
        <f t="shared" si="119"/>
        <v>No Discount</v>
      </c>
      <c r="AD558" t="str">
        <f t="shared" si="120"/>
        <v>Low (&lt;$50)</v>
      </c>
      <c r="AE558" t="str">
        <f t="shared" si="121"/>
        <v>Small (1-2 units)</v>
      </c>
      <c r="AF558" t="str">
        <f t="shared" si="122"/>
        <v>Profitable</v>
      </c>
      <c r="AG558" t="str">
        <f t="shared" si="123"/>
        <v>High Margin</v>
      </c>
      <c r="AH558" t="str">
        <f t="shared" si="124"/>
        <v>Repeat Customer</v>
      </c>
      <c r="AI558" t="str">
        <f t="shared" si="125"/>
        <v>Standard (3-5 days)</v>
      </c>
    </row>
    <row r="559" spans="1:35" ht="15" customHeight="1" x14ac:dyDescent="0.3">
      <c r="A559">
        <v>558</v>
      </c>
      <c r="B559" t="s">
        <v>2079</v>
      </c>
      <c r="C559" s="12">
        <v>42531</v>
      </c>
      <c r="D559" s="12">
        <v>42536</v>
      </c>
      <c r="E559" t="s">
        <v>233</v>
      </c>
      <c r="F559" t="s">
        <v>2080</v>
      </c>
      <c r="G559" t="s">
        <v>2081</v>
      </c>
      <c r="H559" t="s">
        <v>209</v>
      </c>
      <c r="I559" t="s">
        <v>210</v>
      </c>
      <c r="J559" t="s">
        <v>225</v>
      </c>
      <c r="K559" t="s">
        <v>226</v>
      </c>
      <c r="L559">
        <v>90045</v>
      </c>
      <c r="M559" t="s">
        <v>227</v>
      </c>
      <c r="N559" t="s">
        <v>2084</v>
      </c>
      <c r="O559" t="s">
        <v>215</v>
      </c>
      <c r="P559" t="s">
        <v>239</v>
      </c>
      <c r="Q559" t="s">
        <v>2085</v>
      </c>
      <c r="R559" s="13">
        <v>1335.68</v>
      </c>
      <c r="S559">
        <v>4</v>
      </c>
      <c r="T559" s="14">
        <v>0.2</v>
      </c>
      <c r="U559" s="13">
        <v>-217.048</v>
      </c>
      <c r="V559">
        <f t="shared" si="112"/>
        <v>2016</v>
      </c>
      <c r="W559" t="str">
        <f t="shared" si="113"/>
        <v>Jun</v>
      </c>
      <c r="X559" t="str">
        <f t="shared" si="114"/>
        <v>Q2</v>
      </c>
      <c r="Y559" t="str">
        <f t="shared" si="115"/>
        <v>Fri</v>
      </c>
      <c r="Z559" s="16">
        <f t="shared" si="116"/>
        <v>5</v>
      </c>
      <c r="AA559" s="13">
        <f t="shared" si="117"/>
        <v>333.92</v>
      </c>
      <c r="AB559" s="14">
        <f t="shared" si="118"/>
        <v>-0.16250000000000001</v>
      </c>
      <c r="AC559" t="str">
        <f t="shared" si="119"/>
        <v>Low (1-20%)</v>
      </c>
      <c r="AD559" t="str">
        <f t="shared" si="120"/>
        <v>Premium ($500+)</v>
      </c>
      <c r="AE559" t="str">
        <f t="shared" si="121"/>
        <v>Medium (3-5 units)</v>
      </c>
      <c r="AF559" t="str">
        <f t="shared" si="122"/>
        <v>Loss-Making</v>
      </c>
      <c r="AG559" t="str">
        <f t="shared" si="123"/>
        <v>Underperforming</v>
      </c>
      <c r="AH559" t="str">
        <f t="shared" si="124"/>
        <v>Repeat Customer</v>
      </c>
      <c r="AI559" t="str">
        <f t="shared" si="125"/>
        <v>Standard (3-5 days)</v>
      </c>
    </row>
    <row r="560" spans="1:35" ht="15" customHeight="1" x14ac:dyDescent="0.3">
      <c r="A560">
        <v>559</v>
      </c>
      <c r="B560" t="s">
        <v>2079</v>
      </c>
      <c r="C560" s="12">
        <v>42531</v>
      </c>
      <c r="D560" s="12">
        <v>42536</v>
      </c>
      <c r="E560" t="s">
        <v>233</v>
      </c>
      <c r="F560" t="s">
        <v>2080</v>
      </c>
      <c r="G560" t="s">
        <v>2081</v>
      </c>
      <c r="H560" t="s">
        <v>209</v>
      </c>
      <c r="I560" t="s">
        <v>210</v>
      </c>
      <c r="J560" t="s">
        <v>225</v>
      </c>
      <c r="K560" t="s">
        <v>226</v>
      </c>
      <c r="L560">
        <v>90045</v>
      </c>
      <c r="M560" t="s">
        <v>227</v>
      </c>
      <c r="N560" t="s">
        <v>2086</v>
      </c>
      <c r="O560" t="s">
        <v>229</v>
      </c>
      <c r="P560" t="s">
        <v>273</v>
      </c>
      <c r="Q560" t="s">
        <v>2087</v>
      </c>
      <c r="R560" s="13">
        <v>32.4</v>
      </c>
      <c r="S560">
        <v>5</v>
      </c>
      <c r="T560" s="14">
        <v>0</v>
      </c>
      <c r="U560" s="13">
        <v>15.552</v>
      </c>
      <c r="V560">
        <f t="shared" si="112"/>
        <v>2016</v>
      </c>
      <c r="W560" t="str">
        <f t="shared" si="113"/>
        <v>Jun</v>
      </c>
      <c r="X560" t="str">
        <f t="shared" si="114"/>
        <v>Q2</v>
      </c>
      <c r="Y560" t="str">
        <f t="shared" si="115"/>
        <v>Fri</v>
      </c>
      <c r="Z560" s="16">
        <f t="shared" si="116"/>
        <v>5</v>
      </c>
      <c r="AA560" s="13">
        <f t="shared" si="117"/>
        <v>6.4799999999999995</v>
      </c>
      <c r="AB560" s="14">
        <f t="shared" si="118"/>
        <v>0.48</v>
      </c>
      <c r="AC560" t="str">
        <f t="shared" si="119"/>
        <v>No Discount</v>
      </c>
      <c r="AD560" t="str">
        <f t="shared" si="120"/>
        <v>Low (&lt;$50)</v>
      </c>
      <c r="AE560" t="str">
        <f t="shared" si="121"/>
        <v>Medium (3-5 units)</v>
      </c>
      <c r="AF560" t="str">
        <f t="shared" si="122"/>
        <v>Profitable</v>
      </c>
      <c r="AG560" t="str">
        <f t="shared" si="123"/>
        <v>High Margin</v>
      </c>
      <c r="AH560" t="str">
        <f t="shared" si="124"/>
        <v>Repeat Customer</v>
      </c>
      <c r="AI560" t="str">
        <f t="shared" si="125"/>
        <v>Standard (3-5 days)</v>
      </c>
    </row>
    <row r="561" spans="1:35" ht="15" customHeight="1" x14ac:dyDescent="0.3">
      <c r="A561">
        <v>560</v>
      </c>
      <c r="B561" t="s">
        <v>2088</v>
      </c>
      <c r="C561" s="12">
        <v>43059</v>
      </c>
      <c r="D561" s="12">
        <v>43061</v>
      </c>
      <c r="E561" t="s">
        <v>206</v>
      </c>
      <c r="F561" t="s">
        <v>2089</v>
      </c>
      <c r="G561" t="s">
        <v>2090</v>
      </c>
      <c r="H561" t="s">
        <v>209</v>
      </c>
      <c r="I561" t="s">
        <v>210</v>
      </c>
      <c r="J561" t="s">
        <v>310</v>
      </c>
      <c r="K561" t="s">
        <v>226</v>
      </c>
      <c r="L561">
        <v>94110</v>
      </c>
      <c r="M561" t="s">
        <v>227</v>
      </c>
      <c r="N561" t="s">
        <v>1680</v>
      </c>
      <c r="O561" t="s">
        <v>215</v>
      </c>
      <c r="P561" t="s">
        <v>248</v>
      </c>
      <c r="Q561" t="s">
        <v>1681</v>
      </c>
      <c r="R561" s="13">
        <v>42.6</v>
      </c>
      <c r="S561">
        <v>3</v>
      </c>
      <c r="T561" s="14">
        <v>0</v>
      </c>
      <c r="U561" s="13">
        <v>16.614000000000001</v>
      </c>
      <c r="V561">
        <f t="shared" si="112"/>
        <v>2017</v>
      </c>
      <c r="W561" t="str">
        <f t="shared" si="113"/>
        <v>Nov</v>
      </c>
      <c r="X561" t="str">
        <f t="shared" si="114"/>
        <v>Q4</v>
      </c>
      <c r="Y561" t="str">
        <f t="shared" si="115"/>
        <v>Mon</v>
      </c>
      <c r="Z561" s="16">
        <f t="shared" si="116"/>
        <v>2</v>
      </c>
      <c r="AA561" s="13">
        <f t="shared" si="117"/>
        <v>14.200000000000001</v>
      </c>
      <c r="AB561" s="14">
        <f t="shared" si="118"/>
        <v>0.39</v>
      </c>
      <c r="AC561" t="str">
        <f t="shared" si="119"/>
        <v>No Discount</v>
      </c>
      <c r="AD561" t="str">
        <f t="shared" si="120"/>
        <v>Low (&lt;$50)</v>
      </c>
      <c r="AE561" t="str">
        <f t="shared" si="121"/>
        <v>Medium (3-5 units)</v>
      </c>
      <c r="AF561" t="str">
        <f t="shared" si="122"/>
        <v>Profitable</v>
      </c>
      <c r="AG561" t="str">
        <f t="shared" si="123"/>
        <v>High Margin</v>
      </c>
      <c r="AH561" t="str">
        <f t="shared" si="124"/>
        <v>Repeat Customer</v>
      </c>
      <c r="AI561" t="str">
        <f t="shared" si="125"/>
        <v>Fast (&lt;=2 days)</v>
      </c>
    </row>
    <row r="562" spans="1:35" ht="15" customHeight="1" x14ac:dyDescent="0.3">
      <c r="A562">
        <v>561</v>
      </c>
      <c r="B562" t="s">
        <v>2088</v>
      </c>
      <c r="C562" s="12">
        <v>43059</v>
      </c>
      <c r="D562" s="12">
        <v>43061</v>
      </c>
      <c r="E562" t="s">
        <v>206</v>
      </c>
      <c r="F562" t="s">
        <v>2089</v>
      </c>
      <c r="G562" t="s">
        <v>2090</v>
      </c>
      <c r="H562" t="s">
        <v>209</v>
      </c>
      <c r="I562" t="s">
        <v>210</v>
      </c>
      <c r="J562" t="s">
        <v>310</v>
      </c>
      <c r="K562" t="s">
        <v>226</v>
      </c>
      <c r="L562">
        <v>94110</v>
      </c>
      <c r="M562" t="s">
        <v>227</v>
      </c>
      <c r="N562" t="s">
        <v>2091</v>
      </c>
      <c r="O562" t="s">
        <v>229</v>
      </c>
      <c r="P562" t="s">
        <v>258</v>
      </c>
      <c r="Q562" t="s">
        <v>2092</v>
      </c>
      <c r="R562" s="13">
        <v>84.055999999999997</v>
      </c>
      <c r="S562">
        <v>7</v>
      </c>
      <c r="T562" s="14">
        <v>0.2</v>
      </c>
      <c r="U562" s="13">
        <v>27.318200000000001</v>
      </c>
      <c r="V562">
        <f t="shared" si="112"/>
        <v>2017</v>
      </c>
      <c r="W562" t="str">
        <f t="shared" si="113"/>
        <v>Nov</v>
      </c>
      <c r="X562" t="str">
        <f t="shared" si="114"/>
        <v>Q4</v>
      </c>
      <c r="Y562" t="str">
        <f t="shared" si="115"/>
        <v>Mon</v>
      </c>
      <c r="Z562" s="16">
        <f t="shared" si="116"/>
        <v>2</v>
      </c>
      <c r="AA562" s="13">
        <f t="shared" si="117"/>
        <v>12.007999999999999</v>
      </c>
      <c r="AB562" s="14">
        <f t="shared" si="118"/>
        <v>0.32500000000000001</v>
      </c>
      <c r="AC562" t="str">
        <f t="shared" si="119"/>
        <v>Low (1-20%)</v>
      </c>
      <c r="AD562" t="str">
        <f t="shared" si="120"/>
        <v>Medium ($50-$200)</v>
      </c>
      <c r="AE562" t="str">
        <f t="shared" si="121"/>
        <v>Large (6+ units)</v>
      </c>
      <c r="AF562" t="str">
        <f t="shared" si="122"/>
        <v>Profitable</v>
      </c>
      <c r="AG562" t="str">
        <f t="shared" si="123"/>
        <v>High Margin</v>
      </c>
      <c r="AH562" t="str">
        <f t="shared" si="124"/>
        <v>Repeat Customer</v>
      </c>
      <c r="AI562" t="str">
        <f t="shared" si="125"/>
        <v>Fast (&lt;=2 days)</v>
      </c>
    </row>
    <row r="563" spans="1:35" ht="15" customHeight="1" x14ac:dyDescent="0.3">
      <c r="A563">
        <v>562</v>
      </c>
      <c r="B563" t="s">
        <v>2093</v>
      </c>
      <c r="C563" s="12">
        <v>41896</v>
      </c>
      <c r="D563" s="12">
        <v>41900</v>
      </c>
      <c r="E563" t="s">
        <v>206</v>
      </c>
      <c r="F563" t="s">
        <v>2094</v>
      </c>
      <c r="G563" t="s">
        <v>2095</v>
      </c>
      <c r="H563" t="s">
        <v>209</v>
      </c>
      <c r="I563" t="s">
        <v>210</v>
      </c>
      <c r="J563" t="s">
        <v>1085</v>
      </c>
      <c r="K563" t="s">
        <v>237</v>
      </c>
      <c r="L563">
        <v>33614</v>
      </c>
      <c r="M563" t="s">
        <v>213</v>
      </c>
      <c r="N563" t="s">
        <v>2096</v>
      </c>
      <c r="O563" t="s">
        <v>229</v>
      </c>
      <c r="P563" t="s">
        <v>261</v>
      </c>
      <c r="Q563" t="s">
        <v>2097</v>
      </c>
      <c r="R563" s="13">
        <v>13</v>
      </c>
      <c r="S563">
        <v>5</v>
      </c>
      <c r="T563" s="14">
        <v>0.2</v>
      </c>
      <c r="U563" s="13">
        <v>1.3</v>
      </c>
      <c r="V563">
        <f t="shared" si="112"/>
        <v>2014</v>
      </c>
      <c r="W563" t="str">
        <f t="shared" si="113"/>
        <v>Sep</v>
      </c>
      <c r="X563" t="str">
        <f t="shared" si="114"/>
        <v>Q3</v>
      </c>
      <c r="Y563" t="str">
        <f t="shared" si="115"/>
        <v>Sun</v>
      </c>
      <c r="Z563" s="16">
        <f t="shared" si="116"/>
        <v>4</v>
      </c>
      <c r="AA563" s="13">
        <f t="shared" si="117"/>
        <v>2.6</v>
      </c>
      <c r="AB563" s="14">
        <f t="shared" si="118"/>
        <v>0.1</v>
      </c>
      <c r="AC563" t="str">
        <f t="shared" si="119"/>
        <v>Low (1-20%)</v>
      </c>
      <c r="AD563" t="str">
        <f t="shared" si="120"/>
        <v>Low (&lt;$50)</v>
      </c>
      <c r="AE563" t="str">
        <f t="shared" si="121"/>
        <v>Medium (3-5 units)</v>
      </c>
      <c r="AF563" t="str">
        <f t="shared" si="122"/>
        <v>Profitable</v>
      </c>
      <c r="AG563" t="str">
        <f t="shared" si="123"/>
        <v>Healthy Margin</v>
      </c>
      <c r="AH563" t="str">
        <f t="shared" si="124"/>
        <v>Repeat Customer</v>
      </c>
      <c r="AI563" t="str">
        <f t="shared" si="125"/>
        <v>Standard (3-5 days)</v>
      </c>
    </row>
    <row r="564" spans="1:35" ht="15" customHeight="1" x14ac:dyDescent="0.3">
      <c r="A564">
        <v>563</v>
      </c>
      <c r="B564" t="s">
        <v>2093</v>
      </c>
      <c r="C564" s="12">
        <v>41896</v>
      </c>
      <c r="D564" s="12">
        <v>41900</v>
      </c>
      <c r="E564" t="s">
        <v>206</v>
      </c>
      <c r="F564" t="s">
        <v>2094</v>
      </c>
      <c r="G564" t="s">
        <v>2095</v>
      </c>
      <c r="H564" t="s">
        <v>209</v>
      </c>
      <c r="I564" t="s">
        <v>210</v>
      </c>
      <c r="J564" t="s">
        <v>1085</v>
      </c>
      <c r="K564" t="s">
        <v>237</v>
      </c>
      <c r="L564">
        <v>33614</v>
      </c>
      <c r="M564" t="s">
        <v>213</v>
      </c>
      <c r="N564" t="s">
        <v>2098</v>
      </c>
      <c r="O564" t="s">
        <v>215</v>
      </c>
      <c r="P564" t="s">
        <v>248</v>
      </c>
      <c r="Q564" t="s">
        <v>2099</v>
      </c>
      <c r="R564" s="13">
        <v>13.128</v>
      </c>
      <c r="S564">
        <v>3</v>
      </c>
      <c r="T564" s="14">
        <v>0.2</v>
      </c>
      <c r="U564" s="13">
        <v>3.7743000000000002</v>
      </c>
      <c r="V564">
        <f t="shared" si="112"/>
        <v>2014</v>
      </c>
      <c r="W564" t="str">
        <f t="shared" si="113"/>
        <v>Sep</v>
      </c>
      <c r="X564" t="str">
        <f t="shared" si="114"/>
        <v>Q3</v>
      </c>
      <c r="Y564" t="str">
        <f t="shared" si="115"/>
        <v>Sun</v>
      </c>
      <c r="Z564" s="16">
        <f t="shared" si="116"/>
        <v>4</v>
      </c>
      <c r="AA564" s="13">
        <f t="shared" si="117"/>
        <v>4.3760000000000003</v>
      </c>
      <c r="AB564" s="14">
        <f t="shared" si="118"/>
        <v>0.28750000000000003</v>
      </c>
      <c r="AC564" t="str">
        <f t="shared" si="119"/>
        <v>Low (1-20%)</v>
      </c>
      <c r="AD564" t="str">
        <f t="shared" si="120"/>
        <v>Low (&lt;$50)</v>
      </c>
      <c r="AE564" t="str">
        <f t="shared" si="121"/>
        <v>Medium (3-5 units)</v>
      </c>
      <c r="AF564" t="str">
        <f t="shared" si="122"/>
        <v>Profitable</v>
      </c>
      <c r="AG564" t="str">
        <f t="shared" si="123"/>
        <v>High Margin</v>
      </c>
      <c r="AH564" t="str">
        <f t="shared" si="124"/>
        <v>Repeat Customer</v>
      </c>
      <c r="AI564" t="str">
        <f t="shared" si="125"/>
        <v>Standard (3-5 days)</v>
      </c>
    </row>
    <row r="565" spans="1:35" ht="15" customHeight="1" x14ac:dyDescent="0.3">
      <c r="A565">
        <v>564</v>
      </c>
      <c r="B565" t="s">
        <v>2100</v>
      </c>
      <c r="C565" s="12">
        <v>42345</v>
      </c>
      <c r="D565" s="12">
        <v>42347</v>
      </c>
      <c r="E565" t="s">
        <v>371</v>
      </c>
      <c r="F565" t="s">
        <v>2101</v>
      </c>
      <c r="G565" t="s">
        <v>2102</v>
      </c>
      <c r="H565" t="s">
        <v>209</v>
      </c>
      <c r="I565" t="s">
        <v>210</v>
      </c>
      <c r="J565" t="s">
        <v>278</v>
      </c>
      <c r="K565" t="s">
        <v>279</v>
      </c>
      <c r="L565">
        <v>98105</v>
      </c>
      <c r="M565" t="s">
        <v>227</v>
      </c>
      <c r="N565" t="s">
        <v>2103</v>
      </c>
      <c r="O565" t="s">
        <v>229</v>
      </c>
      <c r="P565" t="s">
        <v>452</v>
      </c>
      <c r="Q565" t="s">
        <v>2104</v>
      </c>
      <c r="R565" s="13">
        <v>3.96</v>
      </c>
      <c r="S565">
        <v>2</v>
      </c>
      <c r="T565" s="14">
        <v>0</v>
      </c>
      <c r="U565" s="13">
        <v>0</v>
      </c>
      <c r="V565">
        <f t="shared" si="112"/>
        <v>2015</v>
      </c>
      <c r="W565" t="str">
        <f t="shared" si="113"/>
        <v>Dec</v>
      </c>
      <c r="X565" t="str">
        <f t="shared" si="114"/>
        <v>Q4</v>
      </c>
      <c r="Y565" t="str">
        <f t="shared" si="115"/>
        <v>Mon</v>
      </c>
      <c r="Z565" s="16">
        <f t="shared" si="116"/>
        <v>2</v>
      </c>
      <c r="AA565" s="13">
        <f t="shared" si="117"/>
        <v>1.98</v>
      </c>
      <c r="AB565" s="14">
        <f t="shared" si="118"/>
        <v>0</v>
      </c>
      <c r="AC565" t="str">
        <f t="shared" si="119"/>
        <v>No Discount</v>
      </c>
      <c r="AD565" t="str">
        <f t="shared" si="120"/>
        <v>Low (&lt;$50)</v>
      </c>
      <c r="AE565" t="str">
        <f t="shared" si="121"/>
        <v>Small (1-2 units)</v>
      </c>
      <c r="AF565" t="str">
        <f t="shared" si="122"/>
        <v>Profitable</v>
      </c>
      <c r="AG565" t="str">
        <f t="shared" si="123"/>
        <v>Low Margin</v>
      </c>
      <c r="AH565" t="str">
        <f t="shared" si="124"/>
        <v>Repeat Customer</v>
      </c>
      <c r="AI565" t="str">
        <f t="shared" si="125"/>
        <v>Fast (&lt;=2 days)</v>
      </c>
    </row>
    <row r="566" spans="1:35" ht="15" customHeight="1" x14ac:dyDescent="0.3">
      <c r="A566">
        <v>565</v>
      </c>
      <c r="B566" t="s">
        <v>2100</v>
      </c>
      <c r="C566" s="12">
        <v>42345</v>
      </c>
      <c r="D566" s="12">
        <v>42347</v>
      </c>
      <c r="E566" t="s">
        <v>371</v>
      </c>
      <c r="F566" t="s">
        <v>2101</v>
      </c>
      <c r="G566" t="s">
        <v>2102</v>
      </c>
      <c r="H566" t="s">
        <v>209</v>
      </c>
      <c r="I566" t="s">
        <v>210</v>
      </c>
      <c r="J566" t="s">
        <v>278</v>
      </c>
      <c r="K566" t="s">
        <v>279</v>
      </c>
      <c r="L566">
        <v>98105</v>
      </c>
      <c r="M566" t="s">
        <v>227</v>
      </c>
      <c r="N566" t="s">
        <v>1326</v>
      </c>
      <c r="O566" t="s">
        <v>229</v>
      </c>
      <c r="P566" t="s">
        <v>230</v>
      </c>
      <c r="Q566" t="s">
        <v>1327</v>
      </c>
      <c r="R566" s="13">
        <v>2.61</v>
      </c>
      <c r="S566">
        <v>1</v>
      </c>
      <c r="T566" s="14">
        <v>0</v>
      </c>
      <c r="U566" s="13">
        <v>1.2005999999999999</v>
      </c>
      <c r="V566">
        <f t="shared" si="112"/>
        <v>2015</v>
      </c>
      <c r="W566" t="str">
        <f t="shared" si="113"/>
        <v>Dec</v>
      </c>
      <c r="X566" t="str">
        <f t="shared" si="114"/>
        <v>Q4</v>
      </c>
      <c r="Y566" t="str">
        <f t="shared" si="115"/>
        <v>Mon</v>
      </c>
      <c r="Z566" s="16">
        <f t="shared" si="116"/>
        <v>2</v>
      </c>
      <c r="AA566" s="13">
        <f t="shared" si="117"/>
        <v>2.61</v>
      </c>
      <c r="AB566" s="14">
        <f t="shared" si="118"/>
        <v>0.45999999999999996</v>
      </c>
      <c r="AC566" t="str">
        <f t="shared" si="119"/>
        <v>No Discount</v>
      </c>
      <c r="AD566" t="str">
        <f t="shared" si="120"/>
        <v>Low (&lt;$50)</v>
      </c>
      <c r="AE566" t="str">
        <f t="shared" si="121"/>
        <v>Small (1-2 units)</v>
      </c>
      <c r="AF566" t="str">
        <f t="shared" si="122"/>
        <v>Profitable</v>
      </c>
      <c r="AG566" t="str">
        <f t="shared" si="123"/>
        <v>High Margin</v>
      </c>
      <c r="AH566" t="str">
        <f t="shared" si="124"/>
        <v>Repeat Customer</v>
      </c>
      <c r="AI566" t="str">
        <f t="shared" si="125"/>
        <v>Fast (&lt;=2 days)</v>
      </c>
    </row>
    <row r="567" spans="1:35" ht="15" customHeight="1" x14ac:dyDescent="0.3">
      <c r="A567">
        <v>566</v>
      </c>
      <c r="B567" t="s">
        <v>2105</v>
      </c>
      <c r="C567" s="12">
        <v>43076</v>
      </c>
      <c r="D567" s="12">
        <v>43079</v>
      </c>
      <c r="E567" t="s">
        <v>371</v>
      </c>
      <c r="F567" t="s">
        <v>2106</v>
      </c>
      <c r="G567" t="s">
        <v>2107</v>
      </c>
      <c r="H567" t="s">
        <v>209</v>
      </c>
      <c r="I567" t="s">
        <v>210</v>
      </c>
      <c r="J567" t="s">
        <v>225</v>
      </c>
      <c r="K567" t="s">
        <v>226</v>
      </c>
      <c r="L567">
        <v>90008</v>
      </c>
      <c r="M567" t="s">
        <v>227</v>
      </c>
      <c r="N567" t="s">
        <v>2108</v>
      </c>
      <c r="O567" t="s">
        <v>254</v>
      </c>
      <c r="P567" t="s">
        <v>255</v>
      </c>
      <c r="Q567" t="s">
        <v>2109</v>
      </c>
      <c r="R567" s="13">
        <v>374.37599999999998</v>
      </c>
      <c r="S567">
        <v>3</v>
      </c>
      <c r="T567" s="14">
        <v>0.2</v>
      </c>
      <c r="U567" s="13">
        <v>46.796999999999997</v>
      </c>
      <c r="V567">
        <f t="shared" si="112"/>
        <v>2017</v>
      </c>
      <c r="W567" t="str">
        <f t="shared" si="113"/>
        <v>Dec</v>
      </c>
      <c r="X567" t="str">
        <f t="shared" si="114"/>
        <v>Q4</v>
      </c>
      <c r="Y567" t="str">
        <f t="shared" si="115"/>
        <v>Thu</v>
      </c>
      <c r="Z567" s="16">
        <f t="shared" si="116"/>
        <v>3</v>
      </c>
      <c r="AA567" s="13">
        <f t="shared" si="117"/>
        <v>124.79199999999999</v>
      </c>
      <c r="AB567" s="14">
        <f t="shared" si="118"/>
        <v>0.125</v>
      </c>
      <c r="AC567" t="str">
        <f t="shared" si="119"/>
        <v>Low (1-20%)</v>
      </c>
      <c r="AD567" t="str">
        <f t="shared" si="120"/>
        <v>High ($200-$500)</v>
      </c>
      <c r="AE567" t="str">
        <f t="shared" si="121"/>
        <v>Medium (3-5 units)</v>
      </c>
      <c r="AF567" t="str">
        <f t="shared" si="122"/>
        <v>Profitable</v>
      </c>
      <c r="AG567" t="str">
        <f t="shared" si="123"/>
        <v>Healthy Margin</v>
      </c>
      <c r="AH567" t="str">
        <f t="shared" si="124"/>
        <v>Single Purchase</v>
      </c>
      <c r="AI567" t="str">
        <f t="shared" si="125"/>
        <v>Standard (3-5 days)</v>
      </c>
    </row>
    <row r="568" spans="1:35" ht="15" customHeight="1" x14ac:dyDescent="0.3">
      <c r="A568">
        <v>567</v>
      </c>
      <c r="B568" t="s">
        <v>2110</v>
      </c>
      <c r="C568" s="12">
        <v>43009</v>
      </c>
      <c r="D568" s="12">
        <v>43016</v>
      </c>
      <c r="E568" t="s">
        <v>233</v>
      </c>
      <c r="F568" t="s">
        <v>2111</v>
      </c>
      <c r="G568" t="s">
        <v>2112</v>
      </c>
      <c r="H568" t="s">
        <v>224</v>
      </c>
      <c r="I568" t="s">
        <v>210</v>
      </c>
      <c r="J568" t="s">
        <v>278</v>
      </c>
      <c r="K568" t="s">
        <v>279</v>
      </c>
      <c r="L568">
        <v>98105</v>
      </c>
      <c r="M568" t="s">
        <v>227</v>
      </c>
      <c r="N568" t="s">
        <v>2113</v>
      </c>
      <c r="O568" t="s">
        <v>229</v>
      </c>
      <c r="P568" t="s">
        <v>273</v>
      </c>
      <c r="Q568" t="s">
        <v>2114</v>
      </c>
      <c r="R568" s="13">
        <v>91.84</v>
      </c>
      <c r="S568">
        <v>8</v>
      </c>
      <c r="T568" s="14">
        <v>0</v>
      </c>
      <c r="U568" s="13">
        <v>45.001600000000003</v>
      </c>
      <c r="V568">
        <f t="shared" si="112"/>
        <v>2017</v>
      </c>
      <c r="W568" t="str">
        <f t="shared" si="113"/>
        <v>Oct</v>
      </c>
      <c r="X568" t="str">
        <f t="shared" si="114"/>
        <v>Q4</v>
      </c>
      <c r="Y568" t="str">
        <f t="shared" si="115"/>
        <v>Sun</v>
      </c>
      <c r="Z568" s="16">
        <f t="shared" si="116"/>
        <v>7</v>
      </c>
      <c r="AA568" s="13">
        <f t="shared" si="117"/>
        <v>11.48</v>
      </c>
      <c r="AB568" s="14">
        <f t="shared" si="118"/>
        <v>0.49</v>
      </c>
      <c r="AC568" t="str">
        <f t="shared" si="119"/>
        <v>No Discount</v>
      </c>
      <c r="AD568" t="str">
        <f t="shared" si="120"/>
        <v>Medium ($50-$200)</v>
      </c>
      <c r="AE568" t="str">
        <f t="shared" si="121"/>
        <v>Large (6+ units)</v>
      </c>
      <c r="AF568" t="str">
        <f t="shared" si="122"/>
        <v>Profitable</v>
      </c>
      <c r="AG568" t="str">
        <f t="shared" si="123"/>
        <v>High Margin</v>
      </c>
      <c r="AH568" t="str">
        <f t="shared" si="124"/>
        <v>Repeat Customer</v>
      </c>
      <c r="AI568" t="str">
        <f t="shared" si="125"/>
        <v>Slow (6+ days)</v>
      </c>
    </row>
    <row r="569" spans="1:35" ht="15" customHeight="1" x14ac:dyDescent="0.3">
      <c r="A569">
        <v>568</v>
      </c>
      <c r="B569" t="s">
        <v>2110</v>
      </c>
      <c r="C569" s="12">
        <v>43009</v>
      </c>
      <c r="D569" s="12">
        <v>43016</v>
      </c>
      <c r="E569" t="s">
        <v>233</v>
      </c>
      <c r="F569" t="s">
        <v>2111</v>
      </c>
      <c r="G569" t="s">
        <v>2112</v>
      </c>
      <c r="H569" t="s">
        <v>224</v>
      </c>
      <c r="I569" t="s">
        <v>210</v>
      </c>
      <c r="J569" t="s">
        <v>278</v>
      </c>
      <c r="K569" t="s">
        <v>279</v>
      </c>
      <c r="L569">
        <v>98105</v>
      </c>
      <c r="M569" t="s">
        <v>227</v>
      </c>
      <c r="N569" t="s">
        <v>2115</v>
      </c>
      <c r="O569" t="s">
        <v>229</v>
      </c>
      <c r="P569" t="s">
        <v>258</v>
      </c>
      <c r="Q569" t="s">
        <v>2116</v>
      </c>
      <c r="R569" s="13">
        <v>81.087999999999994</v>
      </c>
      <c r="S569">
        <v>7</v>
      </c>
      <c r="T569" s="14">
        <v>0.2</v>
      </c>
      <c r="U569" s="13">
        <v>27.3672</v>
      </c>
      <c r="V569">
        <f t="shared" si="112"/>
        <v>2017</v>
      </c>
      <c r="W569" t="str">
        <f t="shared" si="113"/>
        <v>Oct</v>
      </c>
      <c r="X569" t="str">
        <f t="shared" si="114"/>
        <v>Q4</v>
      </c>
      <c r="Y569" t="str">
        <f t="shared" si="115"/>
        <v>Sun</v>
      </c>
      <c r="Z569" s="16">
        <f t="shared" si="116"/>
        <v>7</v>
      </c>
      <c r="AA569" s="13">
        <f t="shared" si="117"/>
        <v>11.584</v>
      </c>
      <c r="AB569" s="14">
        <f t="shared" si="118"/>
        <v>0.33750000000000002</v>
      </c>
      <c r="AC569" t="str">
        <f t="shared" si="119"/>
        <v>Low (1-20%)</v>
      </c>
      <c r="AD569" t="str">
        <f t="shared" si="120"/>
        <v>Medium ($50-$200)</v>
      </c>
      <c r="AE569" t="str">
        <f t="shared" si="121"/>
        <v>Large (6+ units)</v>
      </c>
      <c r="AF569" t="str">
        <f t="shared" si="122"/>
        <v>Profitable</v>
      </c>
      <c r="AG569" t="str">
        <f t="shared" si="123"/>
        <v>High Margin</v>
      </c>
      <c r="AH569" t="str">
        <f t="shared" si="124"/>
        <v>Repeat Customer</v>
      </c>
      <c r="AI569" t="str">
        <f t="shared" si="125"/>
        <v>Slow (6+ days)</v>
      </c>
    </row>
    <row r="570" spans="1:35" ht="15" customHeight="1" x14ac:dyDescent="0.3">
      <c r="A570">
        <v>569</v>
      </c>
      <c r="B570" t="s">
        <v>2110</v>
      </c>
      <c r="C570" s="12">
        <v>43009</v>
      </c>
      <c r="D570" s="12">
        <v>43016</v>
      </c>
      <c r="E570" t="s">
        <v>233</v>
      </c>
      <c r="F570" t="s">
        <v>2111</v>
      </c>
      <c r="G570" t="s">
        <v>2112</v>
      </c>
      <c r="H570" t="s">
        <v>224</v>
      </c>
      <c r="I570" t="s">
        <v>210</v>
      </c>
      <c r="J570" t="s">
        <v>278</v>
      </c>
      <c r="K570" t="s">
        <v>279</v>
      </c>
      <c r="L570">
        <v>98105</v>
      </c>
      <c r="M570" t="s">
        <v>227</v>
      </c>
      <c r="N570" t="s">
        <v>2117</v>
      </c>
      <c r="O570" t="s">
        <v>229</v>
      </c>
      <c r="P570" t="s">
        <v>273</v>
      </c>
      <c r="Q570" t="s">
        <v>2118</v>
      </c>
      <c r="R570" s="13">
        <v>19.440000000000001</v>
      </c>
      <c r="S570">
        <v>3</v>
      </c>
      <c r="T570" s="14">
        <v>0</v>
      </c>
      <c r="U570" s="13">
        <v>9.3312000000000008</v>
      </c>
      <c r="V570">
        <f t="shared" si="112"/>
        <v>2017</v>
      </c>
      <c r="W570" t="str">
        <f t="shared" si="113"/>
        <v>Oct</v>
      </c>
      <c r="X570" t="str">
        <f t="shared" si="114"/>
        <v>Q4</v>
      </c>
      <c r="Y570" t="str">
        <f t="shared" si="115"/>
        <v>Sun</v>
      </c>
      <c r="Z570" s="16">
        <f t="shared" si="116"/>
        <v>7</v>
      </c>
      <c r="AA570" s="13">
        <f t="shared" si="117"/>
        <v>6.48</v>
      </c>
      <c r="AB570" s="14">
        <f t="shared" si="118"/>
        <v>0.48000000000000004</v>
      </c>
      <c r="AC570" t="str">
        <f t="shared" si="119"/>
        <v>No Discount</v>
      </c>
      <c r="AD570" t="str">
        <f t="shared" si="120"/>
        <v>Low (&lt;$50)</v>
      </c>
      <c r="AE570" t="str">
        <f t="shared" si="121"/>
        <v>Medium (3-5 units)</v>
      </c>
      <c r="AF570" t="str">
        <f t="shared" si="122"/>
        <v>Profitable</v>
      </c>
      <c r="AG570" t="str">
        <f t="shared" si="123"/>
        <v>High Margin</v>
      </c>
      <c r="AH570" t="str">
        <f t="shared" si="124"/>
        <v>Repeat Customer</v>
      </c>
      <c r="AI570" t="str">
        <f t="shared" si="125"/>
        <v>Slow (6+ days)</v>
      </c>
    </row>
    <row r="571" spans="1:35" ht="15" customHeight="1" x14ac:dyDescent="0.3">
      <c r="A571">
        <v>570</v>
      </c>
      <c r="B571" t="s">
        <v>2110</v>
      </c>
      <c r="C571" s="12">
        <v>43009</v>
      </c>
      <c r="D571" s="12">
        <v>43016</v>
      </c>
      <c r="E571" t="s">
        <v>233</v>
      </c>
      <c r="F571" t="s">
        <v>2111</v>
      </c>
      <c r="G571" t="s">
        <v>2112</v>
      </c>
      <c r="H571" t="s">
        <v>224</v>
      </c>
      <c r="I571" t="s">
        <v>210</v>
      </c>
      <c r="J571" t="s">
        <v>278</v>
      </c>
      <c r="K571" t="s">
        <v>279</v>
      </c>
      <c r="L571">
        <v>98105</v>
      </c>
      <c r="M571" t="s">
        <v>227</v>
      </c>
      <c r="N571" t="s">
        <v>2119</v>
      </c>
      <c r="O571" t="s">
        <v>215</v>
      </c>
      <c r="P571" t="s">
        <v>219</v>
      </c>
      <c r="Q571" t="s">
        <v>2120</v>
      </c>
      <c r="R571" s="13">
        <v>451.15199999999999</v>
      </c>
      <c r="S571">
        <v>3</v>
      </c>
      <c r="T571" s="14">
        <v>0.2</v>
      </c>
      <c r="U571" s="13">
        <v>0</v>
      </c>
      <c r="V571">
        <f t="shared" si="112"/>
        <v>2017</v>
      </c>
      <c r="W571" t="str">
        <f t="shared" si="113"/>
        <v>Oct</v>
      </c>
      <c r="X571" t="str">
        <f t="shared" si="114"/>
        <v>Q4</v>
      </c>
      <c r="Y571" t="str">
        <f t="shared" si="115"/>
        <v>Sun</v>
      </c>
      <c r="Z571" s="16">
        <f t="shared" si="116"/>
        <v>7</v>
      </c>
      <c r="AA571" s="13">
        <f t="shared" si="117"/>
        <v>150.38399999999999</v>
      </c>
      <c r="AB571" s="14">
        <f t="shared" si="118"/>
        <v>0</v>
      </c>
      <c r="AC571" t="str">
        <f t="shared" si="119"/>
        <v>Low (1-20%)</v>
      </c>
      <c r="AD571" t="str">
        <f t="shared" si="120"/>
        <v>High ($200-$500)</v>
      </c>
      <c r="AE571" t="str">
        <f t="shared" si="121"/>
        <v>Medium (3-5 units)</v>
      </c>
      <c r="AF571" t="str">
        <f t="shared" si="122"/>
        <v>Profitable</v>
      </c>
      <c r="AG571" t="str">
        <f t="shared" si="123"/>
        <v>Low Margin</v>
      </c>
      <c r="AH571" t="str">
        <f t="shared" si="124"/>
        <v>Repeat Customer</v>
      </c>
      <c r="AI571" t="str">
        <f t="shared" si="125"/>
        <v>Slow (6+ days)</v>
      </c>
    </row>
    <row r="572" spans="1:35" ht="15" customHeight="1" x14ac:dyDescent="0.3">
      <c r="A572">
        <v>571</v>
      </c>
      <c r="B572" t="s">
        <v>2121</v>
      </c>
      <c r="C572" s="12">
        <v>43097</v>
      </c>
      <c r="D572" s="12">
        <v>43104</v>
      </c>
      <c r="E572" t="s">
        <v>233</v>
      </c>
      <c r="F572" t="s">
        <v>2122</v>
      </c>
      <c r="G572" t="s">
        <v>2123</v>
      </c>
      <c r="H572" t="s">
        <v>209</v>
      </c>
      <c r="I572" t="s">
        <v>210</v>
      </c>
      <c r="J572" t="s">
        <v>449</v>
      </c>
      <c r="K572" t="s">
        <v>450</v>
      </c>
      <c r="L572">
        <v>10024</v>
      </c>
      <c r="M572" t="s">
        <v>331</v>
      </c>
      <c r="N572" t="s">
        <v>2082</v>
      </c>
      <c r="O572" t="s">
        <v>229</v>
      </c>
      <c r="P572" t="s">
        <v>230</v>
      </c>
      <c r="Q572" t="s">
        <v>2083</v>
      </c>
      <c r="R572" s="13">
        <v>72.45</v>
      </c>
      <c r="S572">
        <v>7</v>
      </c>
      <c r="T572" s="14">
        <v>0</v>
      </c>
      <c r="U572" s="13">
        <v>34.776000000000003</v>
      </c>
      <c r="V572">
        <f t="shared" si="112"/>
        <v>2017</v>
      </c>
      <c r="W572" t="str">
        <f t="shared" si="113"/>
        <v>Dec</v>
      </c>
      <c r="X572" t="str">
        <f t="shared" si="114"/>
        <v>Q4</v>
      </c>
      <c r="Y572" t="str">
        <f t="shared" si="115"/>
        <v>Thu</v>
      </c>
      <c r="Z572" s="16">
        <f t="shared" si="116"/>
        <v>7</v>
      </c>
      <c r="AA572" s="13">
        <f t="shared" si="117"/>
        <v>10.35</v>
      </c>
      <c r="AB572" s="14">
        <f t="shared" si="118"/>
        <v>0.48000000000000004</v>
      </c>
      <c r="AC572" t="str">
        <f t="shared" si="119"/>
        <v>No Discount</v>
      </c>
      <c r="AD572" t="str">
        <f t="shared" si="120"/>
        <v>Medium ($50-$200)</v>
      </c>
      <c r="AE572" t="str">
        <f t="shared" si="121"/>
        <v>Large (6+ units)</v>
      </c>
      <c r="AF572" t="str">
        <f t="shared" si="122"/>
        <v>Profitable</v>
      </c>
      <c r="AG572" t="str">
        <f t="shared" si="123"/>
        <v>High Margin</v>
      </c>
      <c r="AH572" t="str">
        <f t="shared" si="124"/>
        <v>Repeat Customer</v>
      </c>
      <c r="AI572" t="str">
        <f t="shared" si="125"/>
        <v>Slow (6+ days)</v>
      </c>
    </row>
    <row r="573" spans="1:35" ht="15" customHeight="1" x14ac:dyDescent="0.3">
      <c r="A573">
        <v>572</v>
      </c>
      <c r="B573" t="s">
        <v>2121</v>
      </c>
      <c r="C573" s="12">
        <v>43097</v>
      </c>
      <c r="D573" s="12">
        <v>43104</v>
      </c>
      <c r="E573" t="s">
        <v>233</v>
      </c>
      <c r="F573" t="s">
        <v>2122</v>
      </c>
      <c r="G573" t="s">
        <v>2123</v>
      </c>
      <c r="H573" t="s">
        <v>209</v>
      </c>
      <c r="I573" t="s">
        <v>210</v>
      </c>
      <c r="J573" t="s">
        <v>449</v>
      </c>
      <c r="K573" t="s">
        <v>450</v>
      </c>
      <c r="L573">
        <v>10024</v>
      </c>
      <c r="M573" t="s">
        <v>331</v>
      </c>
      <c r="N573" t="s">
        <v>1052</v>
      </c>
      <c r="O573" t="s">
        <v>229</v>
      </c>
      <c r="P573" t="s">
        <v>452</v>
      </c>
      <c r="Q573" t="s">
        <v>1053</v>
      </c>
      <c r="R573" s="13">
        <v>13.96</v>
      </c>
      <c r="S573">
        <v>4</v>
      </c>
      <c r="T573" s="14">
        <v>0</v>
      </c>
      <c r="U573" s="13">
        <v>6.4215999999999998</v>
      </c>
      <c r="V573">
        <f t="shared" si="112"/>
        <v>2017</v>
      </c>
      <c r="W573" t="str">
        <f t="shared" si="113"/>
        <v>Dec</v>
      </c>
      <c r="X573" t="str">
        <f t="shared" si="114"/>
        <v>Q4</v>
      </c>
      <c r="Y573" t="str">
        <f t="shared" si="115"/>
        <v>Thu</v>
      </c>
      <c r="Z573" s="16">
        <f t="shared" si="116"/>
        <v>7</v>
      </c>
      <c r="AA573" s="13">
        <f t="shared" si="117"/>
        <v>3.49</v>
      </c>
      <c r="AB573" s="14">
        <f t="shared" si="118"/>
        <v>0.45999999999999996</v>
      </c>
      <c r="AC573" t="str">
        <f t="shared" si="119"/>
        <v>No Discount</v>
      </c>
      <c r="AD573" t="str">
        <f t="shared" si="120"/>
        <v>Low (&lt;$50)</v>
      </c>
      <c r="AE573" t="str">
        <f t="shared" si="121"/>
        <v>Medium (3-5 units)</v>
      </c>
      <c r="AF573" t="str">
        <f t="shared" si="122"/>
        <v>Profitable</v>
      </c>
      <c r="AG573" t="str">
        <f t="shared" si="123"/>
        <v>High Margin</v>
      </c>
      <c r="AH573" t="str">
        <f t="shared" si="124"/>
        <v>Repeat Customer</v>
      </c>
      <c r="AI573" t="str">
        <f t="shared" si="125"/>
        <v>Slow (6+ days)</v>
      </c>
    </row>
    <row r="574" spans="1:35" ht="15" customHeight="1" x14ac:dyDescent="0.3">
      <c r="A574">
        <v>573</v>
      </c>
      <c r="B574" t="s">
        <v>2121</v>
      </c>
      <c r="C574" s="12">
        <v>43097</v>
      </c>
      <c r="D574" s="12">
        <v>43104</v>
      </c>
      <c r="E574" t="s">
        <v>233</v>
      </c>
      <c r="F574" t="s">
        <v>2122</v>
      </c>
      <c r="G574" t="s">
        <v>2123</v>
      </c>
      <c r="H574" t="s">
        <v>209</v>
      </c>
      <c r="I574" t="s">
        <v>210</v>
      </c>
      <c r="J574" t="s">
        <v>449</v>
      </c>
      <c r="K574" t="s">
        <v>450</v>
      </c>
      <c r="L574">
        <v>10024</v>
      </c>
      <c r="M574" t="s">
        <v>331</v>
      </c>
      <c r="N574" t="s">
        <v>1399</v>
      </c>
      <c r="O574" t="s">
        <v>229</v>
      </c>
      <c r="P574" t="s">
        <v>258</v>
      </c>
      <c r="Q574" t="s">
        <v>1400</v>
      </c>
      <c r="R574" s="13">
        <v>33.264000000000003</v>
      </c>
      <c r="S574">
        <v>7</v>
      </c>
      <c r="T574" s="14">
        <v>0.2</v>
      </c>
      <c r="U574" s="13">
        <v>11.226599999999999</v>
      </c>
      <c r="V574">
        <f t="shared" si="112"/>
        <v>2017</v>
      </c>
      <c r="W574" t="str">
        <f t="shared" si="113"/>
        <v>Dec</v>
      </c>
      <c r="X574" t="str">
        <f t="shared" si="114"/>
        <v>Q4</v>
      </c>
      <c r="Y574" t="str">
        <f t="shared" si="115"/>
        <v>Thu</v>
      </c>
      <c r="Z574" s="16">
        <f t="shared" si="116"/>
        <v>7</v>
      </c>
      <c r="AA574" s="13">
        <f t="shared" si="117"/>
        <v>4.7520000000000007</v>
      </c>
      <c r="AB574" s="14">
        <f t="shared" si="118"/>
        <v>0.33749999999999997</v>
      </c>
      <c r="AC574" t="str">
        <f t="shared" si="119"/>
        <v>Low (1-20%)</v>
      </c>
      <c r="AD574" t="str">
        <f t="shared" si="120"/>
        <v>Low (&lt;$50)</v>
      </c>
      <c r="AE574" t="str">
        <f t="shared" si="121"/>
        <v>Large (6+ units)</v>
      </c>
      <c r="AF574" t="str">
        <f t="shared" si="122"/>
        <v>Profitable</v>
      </c>
      <c r="AG574" t="str">
        <f t="shared" si="123"/>
        <v>High Margin</v>
      </c>
      <c r="AH574" t="str">
        <f t="shared" si="124"/>
        <v>Repeat Customer</v>
      </c>
      <c r="AI574" t="str">
        <f t="shared" si="125"/>
        <v>Slow (6+ days)</v>
      </c>
    </row>
    <row r="575" spans="1:35" ht="15" customHeight="1" x14ac:dyDescent="0.3">
      <c r="A575">
        <v>574</v>
      </c>
      <c r="B575" t="s">
        <v>2121</v>
      </c>
      <c r="C575" s="12">
        <v>43097</v>
      </c>
      <c r="D575" s="12">
        <v>43104</v>
      </c>
      <c r="E575" t="s">
        <v>233</v>
      </c>
      <c r="F575" t="s">
        <v>2122</v>
      </c>
      <c r="G575" t="s">
        <v>2123</v>
      </c>
      <c r="H575" t="s">
        <v>209</v>
      </c>
      <c r="I575" t="s">
        <v>210</v>
      </c>
      <c r="J575" t="s">
        <v>449</v>
      </c>
      <c r="K575" t="s">
        <v>450</v>
      </c>
      <c r="L575">
        <v>10024</v>
      </c>
      <c r="M575" t="s">
        <v>331</v>
      </c>
      <c r="N575" t="s">
        <v>2124</v>
      </c>
      <c r="O575" t="s">
        <v>254</v>
      </c>
      <c r="P575" t="s">
        <v>255</v>
      </c>
      <c r="Q575" t="s">
        <v>2125</v>
      </c>
      <c r="R575" s="13">
        <v>14.85</v>
      </c>
      <c r="S575">
        <v>3</v>
      </c>
      <c r="T575" s="14">
        <v>0</v>
      </c>
      <c r="U575" s="13">
        <v>4.0095000000000001</v>
      </c>
      <c r="V575">
        <f t="shared" si="112"/>
        <v>2017</v>
      </c>
      <c r="W575" t="str">
        <f t="shared" si="113"/>
        <v>Dec</v>
      </c>
      <c r="X575" t="str">
        <f t="shared" si="114"/>
        <v>Q4</v>
      </c>
      <c r="Y575" t="str">
        <f t="shared" si="115"/>
        <v>Thu</v>
      </c>
      <c r="Z575" s="16">
        <f t="shared" si="116"/>
        <v>7</v>
      </c>
      <c r="AA575" s="13">
        <f t="shared" si="117"/>
        <v>4.95</v>
      </c>
      <c r="AB575" s="14">
        <f t="shared" si="118"/>
        <v>0.27</v>
      </c>
      <c r="AC575" t="str">
        <f t="shared" si="119"/>
        <v>No Discount</v>
      </c>
      <c r="AD575" t="str">
        <f t="shared" si="120"/>
        <v>Low (&lt;$50)</v>
      </c>
      <c r="AE575" t="str">
        <f t="shared" si="121"/>
        <v>Medium (3-5 units)</v>
      </c>
      <c r="AF575" t="str">
        <f t="shared" si="122"/>
        <v>Profitable</v>
      </c>
      <c r="AG575" t="str">
        <f t="shared" si="123"/>
        <v>High Margin</v>
      </c>
      <c r="AH575" t="str">
        <f t="shared" si="124"/>
        <v>Repeat Customer</v>
      </c>
      <c r="AI575" t="str">
        <f t="shared" si="125"/>
        <v>Slow (6+ days)</v>
      </c>
    </row>
    <row r="576" spans="1:35" ht="15" customHeight="1" x14ac:dyDescent="0.3">
      <c r="A576">
        <v>575</v>
      </c>
      <c r="B576" t="s">
        <v>2126</v>
      </c>
      <c r="C576" s="12">
        <v>42677</v>
      </c>
      <c r="D576" s="12">
        <v>42681</v>
      </c>
      <c r="E576" t="s">
        <v>233</v>
      </c>
      <c r="F576" t="s">
        <v>2127</v>
      </c>
      <c r="G576" t="s">
        <v>2128</v>
      </c>
      <c r="H576" t="s">
        <v>209</v>
      </c>
      <c r="I576" t="s">
        <v>210</v>
      </c>
      <c r="J576" t="s">
        <v>2129</v>
      </c>
      <c r="K576" t="s">
        <v>279</v>
      </c>
      <c r="L576">
        <v>98270</v>
      </c>
      <c r="M576" t="s">
        <v>227</v>
      </c>
      <c r="N576" t="s">
        <v>2130</v>
      </c>
      <c r="O576" t="s">
        <v>229</v>
      </c>
      <c r="P576" t="s">
        <v>251</v>
      </c>
      <c r="Q576" t="s">
        <v>2131</v>
      </c>
      <c r="R576" s="13">
        <v>8.82</v>
      </c>
      <c r="S576">
        <v>3</v>
      </c>
      <c r="T576" s="14">
        <v>0</v>
      </c>
      <c r="U576" s="13">
        <v>2.3814000000000002</v>
      </c>
      <c r="V576">
        <f t="shared" si="112"/>
        <v>2016</v>
      </c>
      <c r="W576" t="str">
        <f t="shared" si="113"/>
        <v>Nov</v>
      </c>
      <c r="X576" t="str">
        <f t="shared" si="114"/>
        <v>Q4</v>
      </c>
      <c r="Y576" t="str">
        <f t="shared" si="115"/>
        <v>Thu</v>
      </c>
      <c r="Z576" s="16">
        <f t="shared" si="116"/>
        <v>4</v>
      </c>
      <c r="AA576" s="13">
        <f t="shared" si="117"/>
        <v>2.94</v>
      </c>
      <c r="AB576" s="14">
        <f t="shared" si="118"/>
        <v>0.27</v>
      </c>
      <c r="AC576" t="str">
        <f t="shared" si="119"/>
        <v>No Discount</v>
      </c>
      <c r="AD576" t="str">
        <f t="shared" si="120"/>
        <v>Low (&lt;$50)</v>
      </c>
      <c r="AE576" t="str">
        <f t="shared" si="121"/>
        <v>Medium (3-5 units)</v>
      </c>
      <c r="AF576" t="str">
        <f t="shared" si="122"/>
        <v>Profitable</v>
      </c>
      <c r="AG576" t="str">
        <f t="shared" si="123"/>
        <v>High Margin</v>
      </c>
      <c r="AH576" t="str">
        <f t="shared" si="124"/>
        <v>Single Purchase</v>
      </c>
      <c r="AI576" t="str">
        <f t="shared" si="125"/>
        <v>Standard (3-5 days)</v>
      </c>
    </row>
    <row r="577" spans="1:35" ht="15" customHeight="1" x14ac:dyDescent="0.3">
      <c r="A577">
        <v>576</v>
      </c>
      <c r="B577" t="s">
        <v>2132</v>
      </c>
      <c r="C577" s="12">
        <v>42265</v>
      </c>
      <c r="D577" s="12">
        <v>42269</v>
      </c>
      <c r="E577" t="s">
        <v>206</v>
      </c>
      <c r="F577" t="s">
        <v>2133</v>
      </c>
      <c r="G577" t="s">
        <v>2134</v>
      </c>
      <c r="H577" t="s">
        <v>209</v>
      </c>
      <c r="I577" t="s">
        <v>210</v>
      </c>
      <c r="J577" t="s">
        <v>1359</v>
      </c>
      <c r="K577" t="s">
        <v>226</v>
      </c>
      <c r="L577">
        <v>90805</v>
      </c>
      <c r="M577" t="s">
        <v>227</v>
      </c>
      <c r="N577" t="s">
        <v>2113</v>
      </c>
      <c r="O577" t="s">
        <v>229</v>
      </c>
      <c r="P577" t="s">
        <v>273</v>
      </c>
      <c r="Q577" t="s">
        <v>2114</v>
      </c>
      <c r="R577" s="13">
        <v>160.72</v>
      </c>
      <c r="S577">
        <v>14</v>
      </c>
      <c r="T577" s="14">
        <v>0</v>
      </c>
      <c r="U577" s="13">
        <v>78.752799999999993</v>
      </c>
      <c r="V577">
        <f t="shared" si="112"/>
        <v>2015</v>
      </c>
      <c r="W577" t="str">
        <f t="shared" si="113"/>
        <v>Sep</v>
      </c>
      <c r="X577" t="str">
        <f t="shared" si="114"/>
        <v>Q3</v>
      </c>
      <c r="Y577" t="str">
        <f t="shared" si="115"/>
        <v>Fri</v>
      </c>
      <c r="Z577" s="16">
        <f t="shared" si="116"/>
        <v>4</v>
      </c>
      <c r="AA577" s="13">
        <f t="shared" si="117"/>
        <v>11.48</v>
      </c>
      <c r="AB577" s="14">
        <f t="shared" si="118"/>
        <v>0.48999999999999994</v>
      </c>
      <c r="AC577" t="str">
        <f t="shared" si="119"/>
        <v>No Discount</v>
      </c>
      <c r="AD577" t="str">
        <f t="shared" si="120"/>
        <v>Medium ($50-$200)</v>
      </c>
      <c r="AE577" t="str">
        <f t="shared" si="121"/>
        <v>Large (6+ units)</v>
      </c>
      <c r="AF577" t="str">
        <f t="shared" si="122"/>
        <v>Profitable</v>
      </c>
      <c r="AG577" t="str">
        <f t="shared" si="123"/>
        <v>High Margin</v>
      </c>
      <c r="AH577" t="str">
        <f t="shared" si="124"/>
        <v>Repeat Customer</v>
      </c>
      <c r="AI577" t="str">
        <f t="shared" si="125"/>
        <v>Standard (3-5 days)</v>
      </c>
    </row>
    <row r="578" spans="1:35" ht="15" customHeight="1" x14ac:dyDescent="0.3">
      <c r="A578">
        <v>577</v>
      </c>
      <c r="B578" t="s">
        <v>2132</v>
      </c>
      <c r="C578" s="12">
        <v>42265</v>
      </c>
      <c r="D578" s="12">
        <v>42269</v>
      </c>
      <c r="E578" t="s">
        <v>206</v>
      </c>
      <c r="F578" t="s">
        <v>2133</v>
      </c>
      <c r="G578" t="s">
        <v>2134</v>
      </c>
      <c r="H578" t="s">
        <v>209</v>
      </c>
      <c r="I578" t="s">
        <v>210</v>
      </c>
      <c r="J578" t="s">
        <v>1359</v>
      </c>
      <c r="K578" t="s">
        <v>226</v>
      </c>
      <c r="L578">
        <v>90805</v>
      </c>
      <c r="M578" t="s">
        <v>227</v>
      </c>
      <c r="N578" t="s">
        <v>2135</v>
      </c>
      <c r="O578" t="s">
        <v>229</v>
      </c>
      <c r="P578" t="s">
        <v>273</v>
      </c>
      <c r="Q578" t="s">
        <v>2136</v>
      </c>
      <c r="R578" s="13">
        <v>19.920000000000002</v>
      </c>
      <c r="S578">
        <v>4</v>
      </c>
      <c r="T578" s="14">
        <v>0</v>
      </c>
      <c r="U578" s="13">
        <v>9.7607999999999997</v>
      </c>
      <c r="V578">
        <f t="shared" ref="V578:V641" si="126">YEAR(C578)</f>
        <v>2015</v>
      </c>
      <c r="W578" t="str">
        <f t="shared" ref="W578:W641" si="127">TEXT(C578,"mmm")</f>
        <v>Sep</v>
      </c>
      <c r="X578" t="str">
        <f t="shared" ref="X578:X641" si="128">"Q"&amp;ROUNDUP(MONTH(C578)/3,0)</f>
        <v>Q3</v>
      </c>
      <c r="Y578" t="str">
        <f t="shared" ref="Y578:Y641" si="129">TEXT(C578,"ddd")</f>
        <v>Fri</v>
      </c>
      <c r="Z578" s="16">
        <f t="shared" ref="Z578:Z641" si="130">D578-C578</f>
        <v>4</v>
      </c>
      <c r="AA578" s="13">
        <f t="shared" ref="AA578:AA641" si="131">IFERROR(R578/S578,0)</f>
        <v>4.9800000000000004</v>
      </c>
      <c r="AB578" s="14">
        <f t="shared" ref="AB578:AB641" si="132">IFERROR(U578/R578,0)</f>
        <v>0.48999999999999994</v>
      </c>
      <c r="AC578" t="str">
        <f t="shared" ref="AC578:AC641" si="133">IF(T578=0,"No Discount",IF(T578&lt;=0.2,"Low (1-20%)",IF(T578&lt;=0.4,"Medium (21-40%)","High (40%+)")))</f>
        <v>No Discount</v>
      </c>
      <c r="AD578" t="str">
        <f t="shared" ref="AD578:AD641" si="134">IF(R578&lt;50,"Low (&lt;$50)",IF(R578&lt;200,"Medium ($50-$200)",IF(R578&lt;500,"High ($200-$500)","Premium ($500+)")))</f>
        <v>Low (&lt;$50)</v>
      </c>
      <c r="AE578" t="str">
        <f t="shared" ref="AE578:AE641" si="135">IF(S578&lt;=2,"Small (1-2 units)",IF(S578&lt;=5,"Medium (3-5 units)","Large (6+ units)"))</f>
        <v>Medium (3-5 units)</v>
      </c>
      <c r="AF578" t="str">
        <f t="shared" ref="AF578:AF641" si="136">IF(U578&lt;0,"Loss-Making","Profitable")</f>
        <v>Profitable</v>
      </c>
      <c r="AG578" t="str">
        <f t="shared" ref="AG578:AG641" si="137">IF(AB578&lt;0,"Underperforming",IF(AB578&lt;0.1,"Low Margin",IF(AB578&lt;0.25,"Healthy Margin","High Margin")))</f>
        <v>High Margin</v>
      </c>
      <c r="AH578" t="str">
        <f t="shared" ref="AH578:AH641" si="138">IF(COUNTIF($F$2:$F$1001,F578)&gt;1,"Repeat Customer","Single Purchase")</f>
        <v>Repeat Customer</v>
      </c>
      <c r="AI578" t="str">
        <f t="shared" ref="AI578:AI641" si="139">IF(Z578&lt;=2,"Fast (&lt;=2 days)",IF(Z578&lt;=5,"Standard (3-5 days)","Slow (6+ days)"))</f>
        <v>Standard (3-5 days)</v>
      </c>
    </row>
    <row r="579" spans="1:35" ht="15" customHeight="1" x14ac:dyDescent="0.3">
      <c r="A579">
        <v>578</v>
      </c>
      <c r="B579" t="s">
        <v>2132</v>
      </c>
      <c r="C579" s="12">
        <v>42265</v>
      </c>
      <c r="D579" s="12">
        <v>42269</v>
      </c>
      <c r="E579" t="s">
        <v>206</v>
      </c>
      <c r="F579" t="s">
        <v>2133</v>
      </c>
      <c r="G579" t="s">
        <v>2134</v>
      </c>
      <c r="H579" t="s">
        <v>209</v>
      </c>
      <c r="I579" t="s">
        <v>210</v>
      </c>
      <c r="J579" t="s">
        <v>1359</v>
      </c>
      <c r="K579" t="s">
        <v>226</v>
      </c>
      <c r="L579">
        <v>90805</v>
      </c>
      <c r="M579" t="s">
        <v>227</v>
      </c>
      <c r="N579" t="s">
        <v>2137</v>
      </c>
      <c r="O579" t="s">
        <v>229</v>
      </c>
      <c r="P579" t="s">
        <v>762</v>
      </c>
      <c r="Q579" t="s">
        <v>2138</v>
      </c>
      <c r="R579" s="13">
        <v>7.3</v>
      </c>
      <c r="S579">
        <v>2</v>
      </c>
      <c r="T579" s="14">
        <v>0</v>
      </c>
      <c r="U579" s="13">
        <v>2.19</v>
      </c>
      <c r="V579">
        <f t="shared" si="126"/>
        <v>2015</v>
      </c>
      <c r="W579" t="str">
        <f t="shared" si="127"/>
        <v>Sep</v>
      </c>
      <c r="X579" t="str">
        <f t="shared" si="128"/>
        <v>Q3</v>
      </c>
      <c r="Y579" t="str">
        <f t="shared" si="129"/>
        <v>Fri</v>
      </c>
      <c r="Z579" s="16">
        <f t="shared" si="130"/>
        <v>4</v>
      </c>
      <c r="AA579" s="13">
        <f t="shared" si="131"/>
        <v>3.65</v>
      </c>
      <c r="AB579" s="14">
        <f t="shared" si="132"/>
        <v>0.3</v>
      </c>
      <c r="AC579" t="str">
        <f t="shared" si="133"/>
        <v>No Discount</v>
      </c>
      <c r="AD579" t="str">
        <f t="shared" si="134"/>
        <v>Low (&lt;$50)</v>
      </c>
      <c r="AE579" t="str">
        <f t="shared" si="135"/>
        <v>Small (1-2 units)</v>
      </c>
      <c r="AF579" t="str">
        <f t="shared" si="136"/>
        <v>Profitable</v>
      </c>
      <c r="AG579" t="str">
        <f t="shared" si="137"/>
        <v>High Margin</v>
      </c>
      <c r="AH579" t="str">
        <f t="shared" si="138"/>
        <v>Repeat Customer</v>
      </c>
      <c r="AI579" t="str">
        <f t="shared" si="139"/>
        <v>Standard (3-5 days)</v>
      </c>
    </row>
    <row r="580" spans="1:35" ht="15" customHeight="1" x14ac:dyDescent="0.3">
      <c r="A580">
        <v>579</v>
      </c>
      <c r="B580" t="s">
        <v>2139</v>
      </c>
      <c r="C580" s="12">
        <v>42936</v>
      </c>
      <c r="D580" s="12">
        <v>42942</v>
      </c>
      <c r="E580" t="s">
        <v>233</v>
      </c>
      <c r="F580" t="s">
        <v>2140</v>
      </c>
      <c r="G580" t="s">
        <v>2141</v>
      </c>
      <c r="H580" t="s">
        <v>209</v>
      </c>
      <c r="I580" t="s">
        <v>210</v>
      </c>
      <c r="J580" t="s">
        <v>486</v>
      </c>
      <c r="K580" t="s">
        <v>394</v>
      </c>
      <c r="L580">
        <v>60610</v>
      </c>
      <c r="M580" t="s">
        <v>288</v>
      </c>
      <c r="N580" t="s">
        <v>730</v>
      </c>
      <c r="O580" t="s">
        <v>229</v>
      </c>
      <c r="P580" t="s">
        <v>242</v>
      </c>
      <c r="Q580" t="s">
        <v>731</v>
      </c>
      <c r="R580" s="13">
        <v>69.712000000000003</v>
      </c>
      <c r="S580">
        <v>2</v>
      </c>
      <c r="T580" s="14">
        <v>0.2</v>
      </c>
      <c r="U580" s="13">
        <v>8.7140000000000004</v>
      </c>
      <c r="V580">
        <f t="shared" si="126"/>
        <v>2017</v>
      </c>
      <c r="W580" t="str">
        <f t="shared" si="127"/>
        <v>Jul</v>
      </c>
      <c r="X580" t="str">
        <f t="shared" si="128"/>
        <v>Q3</v>
      </c>
      <c r="Y580" t="str">
        <f t="shared" si="129"/>
        <v>Thu</v>
      </c>
      <c r="Z580" s="16">
        <f t="shared" si="130"/>
        <v>6</v>
      </c>
      <c r="AA580" s="13">
        <f t="shared" si="131"/>
        <v>34.856000000000002</v>
      </c>
      <c r="AB580" s="14">
        <f t="shared" si="132"/>
        <v>0.125</v>
      </c>
      <c r="AC580" t="str">
        <f t="shared" si="133"/>
        <v>Low (1-20%)</v>
      </c>
      <c r="AD580" t="str">
        <f t="shared" si="134"/>
        <v>Medium ($50-$200)</v>
      </c>
      <c r="AE580" t="str">
        <f t="shared" si="135"/>
        <v>Small (1-2 units)</v>
      </c>
      <c r="AF580" t="str">
        <f t="shared" si="136"/>
        <v>Profitable</v>
      </c>
      <c r="AG580" t="str">
        <f t="shared" si="137"/>
        <v>Healthy Margin</v>
      </c>
      <c r="AH580" t="str">
        <f t="shared" si="138"/>
        <v>Repeat Customer</v>
      </c>
      <c r="AI580" t="str">
        <f t="shared" si="139"/>
        <v>Slow (6+ days)</v>
      </c>
    </row>
    <row r="581" spans="1:35" ht="15" customHeight="1" x14ac:dyDescent="0.3">
      <c r="A581">
        <v>580</v>
      </c>
      <c r="B581" t="s">
        <v>2139</v>
      </c>
      <c r="C581" s="12">
        <v>42936</v>
      </c>
      <c r="D581" s="12">
        <v>42942</v>
      </c>
      <c r="E581" t="s">
        <v>233</v>
      </c>
      <c r="F581" t="s">
        <v>2140</v>
      </c>
      <c r="G581" t="s">
        <v>2141</v>
      </c>
      <c r="H581" t="s">
        <v>209</v>
      </c>
      <c r="I581" t="s">
        <v>210</v>
      </c>
      <c r="J581" t="s">
        <v>486</v>
      </c>
      <c r="K581" t="s">
        <v>394</v>
      </c>
      <c r="L581">
        <v>60610</v>
      </c>
      <c r="M581" t="s">
        <v>288</v>
      </c>
      <c r="N581" t="s">
        <v>2142</v>
      </c>
      <c r="O581" t="s">
        <v>215</v>
      </c>
      <c r="P581" t="s">
        <v>248</v>
      </c>
      <c r="Q581" t="s">
        <v>2143</v>
      </c>
      <c r="R581" s="13">
        <v>8.7919999999999998</v>
      </c>
      <c r="S581">
        <v>1</v>
      </c>
      <c r="T581" s="14">
        <v>0.6</v>
      </c>
      <c r="U581" s="13">
        <v>-5.7148000000000003</v>
      </c>
      <c r="V581">
        <f t="shared" si="126"/>
        <v>2017</v>
      </c>
      <c r="W581" t="str">
        <f t="shared" si="127"/>
        <v>Jul</v>
      </c>
      <c r="X581" t="str">
        <f t="shared" si="128"/>
        <v>Q3</v>
      </c>
      <c r="Y581" t="str">
        <f t="shared" si="129"/>
        <v>Thu</v>
      </c>
      <c r="Z581" s="16">
        <f t="shared" si="130"/>
        <v>6</v>
      </c>
      <c r="AA581" s="13">
        <f t="shared" si="131"/>
        <v>8.7919999999999998</v>
      </c>
      <c r="AB581" s="14">
        <f t="shared" si="132"/>
        <v>-0.65</v>
      </c>
      <c r="AC581" t="str">
        <f t="shared" si="133"/>
        <v>High (40%+)</v>
      </c>
      <c r="AD581" t="str">
        <f t="shared" si="134"/>
        <v>Low (&lt;$50)</v>
      </c>
      <c r="AE581" t="str">
        <f t="shared" si="135"/>
        <v>Small (1-2 units)</v>
      </c>
      <c r="AF581" t="str">
        <f t="shared" si="136"/>
        <v>Loss-Making</v>
      </c>
      <c r="AG581" t="str">
        <f t="shared" si="137"/>
        <v>Underperforming</v>
      </c>
      <c r="AH581" t="str">
        <f t="shared" si="138"/>
        <v>Repeat Customer</v>
      </c>
      <c r="AI581" t="str">
        <f t="shared" si="139"/>
        <v>Slow (6+ days)</v>
      </c>
    </row>
    <row r="582" spans="1:35" ht="15" customHeight="1" x14ac:dyDescent="0.3">
      <c r="A582">
        <v>581</v>
      </c>
      <c r="B582" t="s">
        <v>2144</v>
      </c>
      <c r="C582" s="12">
        <v>42257</v>
      </c>
      <c r="D582" s="12">
        <v>42261</v>
      </c>
      <c r="E582" t="s">
        <v>233</v>
      </c>
      <c r="F582" t="s">
        <v>2145</v>
      </c>
      <c r="G582" t="s">
        <v>2146</v>
      </c>
      <c r="H582" t="s">
        <v>209</v>
      </c>
      <c r="I582" t="s">
        <v>210</v>
      </c>
      <c r="J582" t="s">
        <v>225</v>
      </c>
      <c r="K582" t="s">
        <v>226</v>
      </c>
      <c r="L582">
        <v>90004</v>
      </c>
      <c r="M582" t="s">
        <v>227</v>
      </c>
      <c r="N582" t="s">
        <v>2147</v>
      </c>
      <c r="O582" t="s">
        <v>229</v>
      </c>
      <c r="P582" t="s">
        <v>762</v>
      </c>
      <c r="Q582" t="s">
        <v>2148</v>
      </c>
      <c r="R582" s="13">
        <v>51.52</v>
      </c>
      <c r="S582">
        <v>4</v>
      </c>
      <c r="T582" s="14">
        <v>0</v>
      </c>
      <c r="U582" s="13">
        <v>1.5456000000000001</v>
      </c>
      <c r="V582">
        <f t="shared" si="126"/>
        <v>2015</v>
      </c>
      <c r="W582" t="str">
        <f t="shared" si="127"/>
        <v>Sep</v>
      </c>
      <c r="X582" t="str">
        <f t="shared" si="128"/>
        <v>Q3</v>
      </c>
      <c r="Y582" t="str">
        <f t="shared" si="129"/>
        <v>Thu</v>
      </c>
      <c r="Z582" s="16">
        <f t="shared" si="130"/>
        <v>4</v>
      </c>
      <c r="AA582" s="13">
        <f t="shared" si="131"/>
        <v>12.88</v>
      </c>
      <c r="AB582" s="14">
        <f t="shared" si="132"/>
        <v>0.03</v>
      </c>
      <c r="AC582" t="str">
        <f t="shared" si="133"/>
        <v>No Discount</v>
      </c>
      <c r="AD582" t="str">
        <f t="shared" si="134"/>
        <v>Medium ($50-$200)</v>
      </c>
      <c r="AE582" t="str">
        <f t="shared" si="135"/>
        <v>Medium (3-5 units)</v>
      </c>
      <c r="AF582" t="str">
        <f t="shared" si="136"/>
        <v>Profitable</v>
      </c>
      <c r="AG582" t="str">
        <f t="shared" si="137"/>
        <v>Low Margin</v>
      </c>
      <c r="AH582" t="str">
        <f t="shared" si="138"/>
        <v>Single Purchase</v>
      </c>
      <c r="AI582" t="str">
        <f t="shared" si="139"/>
        <v>Standard (3-5 days)</v>
      </c>
    </row>
    <row r="583" spans="1:35" ht="15" customHeight="1" x14ac:dyDescent="0.3">
      <c r="A583">
        <v>582</v>
      </c>
      <c r="B583" t="s">
        <v>2149</v>
      </c>
      <c r="C583" s="12">
        <v>43070</v>
      </c>
      <c r="D583" s="12">
        <v>43074</v>
      </c>
      <c r="E583" t="s">
        <v>233</v>
      </c>
      <c r="F583" t="s">
        <v>2150</v>
      </c>
      <c r="G583" t="s">
        <v>2151</v>
      </c>
      <c r="H583" t="s">
        <v>209</v>
      </c>
      <c r="I583" t="s">
        <v>210</v>
      </c>
      <c r="J583" t="s">
        <v>992</v>
      </c>
      <c r="K583" t="s">
        <v>640</v>
      </c>
      <c r="L583">
        <v>80219</v>
      </c>
      <c r="M583" t="s">
        <v>227</v>
      </c>
      <c r="N583" t="s">
        <v>375</v>
      </c>
      <c r="O583" t="s">
        <v>254</v>
      </c>
      <c r="P583" t="s">
        <v>255</v>
      </c>
      <c r="Q583" t="s">
        <v>376</v>
      </c>
      <c r="R583" s="13">
        <v>470.37599999999998</v>
      </c>
      <c r="S583">
        <v>3</v>
      </c>
      <c r="T583" s="14">
        <v>0.2</v>
      </c>
      <c r="U583" s="13">
        <v>52.917299999999997</v>
      </c>
      <c r="V583">
        <f t="shared" si="126"/>
        <v>2017</v>
      </c>
      <c r="W583" t="str">
        <f t="shared" si="127"/>
        <v>Dec</v>
      </c>
      <c r="X583" t="str">
        <f t="shared" si="128"/>
        <v>Q4</v>
      </c>
      <c r="Y583" t="str">
        <f t="shared" si="129"/>
        <v>Fri</v>
      </c>
      <c r="Z583" s="16">
        <f t="shared" si="130"/>
        <v>4</v>
      </c>
      <c r="AA583" s="13">
        <f t="shared" si="131"/>
        <v>156.792</v>
      </c>
      <c r="AB583" s="14">
        <f t="shared" si="132"/>
        <v>0.1125</v>
      </c>
      <c r="AC583" t="str">
        <f t="shared" si="133"/>
        <v>Low (1-20%)</v>
      </c>
      <c r="AD583" t="str">
        <f t="shared" si="134"/>
        <v>High ($200-$500)</v>
      </c>
      <c r="AE583" t="str">
        <f t="shared" si="135"/>
        <v>Medium (3-5 units)</v>
      </c>
      <c r="AF583" t="str">
        <f t="shared" si="136"/>
        <v>Profitable</v>
      </c>
      <c r="AG583" t="str">
        <f t="shared" si="137"/>
        <v>Healthy Margin</v>
      </c>
      <c r="AH583" t="str">
        <f t="shared" si="138"/>
        <v>Repeat Customer</v>
      </c>
      <c r="AI583" t="str">
        <f t="shared" si="139"/>
        <v>Standard (3-5 days)</v>
      </c>
    </row>
    <row r="584" spans="1:35" ht="15" customHeight="1" x14ac:dyDescent="0.3">
      <c r="A584">
        <v>583</v>
      </c>
      <c r="B584" t="s">
        <v>2149</v>
      </c>
      <c r="C584" s="12">
        <v>43070</v>
      </c>
      <c r="D584" s="12">
        <v>43074</v>
      </c>
      <c r="E584" t="s">
        <v>233</v>
      </c>
      <c r="F584" t="s">
        <v>2150</v>
      </c>
      <c r="G584" t="s">
        <v>2151</v>
      </c>
      <c r="H584" t="s">
        <v>209</v>
      </c>
      <c r="I584" t="s">
        <v>210</v>
      </c>
      <c r="J584" t="s">
        <v>992</v>
      </c>
      <c r="K584" t="s">
        <v>640</v>
      </c>
      <c r="L584">
        <v>80219</v>
      </c>
      <c r="M584" t="s">
        <v>227</v>
      </c>
      <c r="N584" t="s">
        <v>2152</v>
      </c>
      <c r="O584" t="s">
        <v>254</v>
      </c>
      <c r="P584" t="s">
        <v>255</v>
      </c>
      <c r="Q584" t="s">
        <v>2153</v>
      </c>
      <c r="R584" s="13">
        <v>105.584</v>
      </c>
      <c r="S584">
        <v>2</v>
      </c>
      <c r="T584" s="14">
        <v>0.2</v>
      </c>
      <c r="U584" s="13">
        <v>9.2386000000000106</v>
      </c>
      <c r="V584">
        <f t="shared" si="126"/>
        <v>2017</v>
      </c>
      <c r="W584" t="str">
        <f t="shared" si="127"/>
        <v>Dec</v>
      </c>
      <c r="X584" t="str">
        <f t="shared" si="128"/>
        <v>Q4</v>
      </c>
      <c r="Y584" t="str">
        <f t="shared" si="129"/>
        <v>Fri</v>
      </c>
      <c r="Z584" s="16">
        <f t="shared" si="130"/>
        <v>4</v>
      </c>
      <c r="AA584" s="13">
        <f t="shared" si="131"/>
        <v>52.792000000000002</v>
      </c>
      <c r="AB584" s="14">
        <f t="shared" si="132"/>
        <v>8.7500000000000092E-2</v>
      </c>
      <c r="AC584" t="str">
        <f t="shared" si="133"/>
        <v>Low (1-20%)</v>
      </c>
      <c r="AD584" t="str">
        <f t="shared" si="134"/>
        <v>Medium ($50-$200)</v>
      </c>
      <c r="AE584" t="str">
        <f t="shared" si="135"/>
        <v>Small (1-2 units)</v>
      </c>
      <c r="AF584" t="str">
        <f t="shared" si="136"/>
        <v>Profitable</v>
      </c>
      <c r="AG584" t="str">
        <f t="shared" si="137"/>
        <v>Low Margin</v>
      </c>
      <c r="AH584" t="str">
        <f t="shared" si="138"/>
        <v>Repeat Customer</v>
      </c>
      <c r="AI584" t="str">
        <f t="shared" si="139"/>
        <v>Standard (3-5 days)</v>
      </c>
    </row>
    <row r="585" spans="1:35" ht="15" customHeight="1" x14ac:dyDescent="0.3">
      <c r="A585">
        <v>584</v>
      </c>
      <c r="B585" t="s">
        <v>2149</v>
      </c>
      <c r="C585" s="12">
        <v>43070</v>
      </c>
      <c r="D585" s="12">
        <v>43074</v>
      </c>
      <c r="E585" t="s">
        <v>233</v>
      </c>
      <c r="F585" t="s">
        <v>2150</v>
      </c>
      <c r="G585" t="s">
        <v>2151</v>
      </c>
      <c r="H585" t="s">
        <v>209</v>
      </c>
      <c r="I585" t="s">
        <v>210</v>
      </c>
      <c r="J585" t="s">
        <v>992</v>
      </c>
      <c r="K585" t="s">
        <v>640</v>
      </c>
      <c r="L585">
        <v>80219</v>
      </c>
      <c r="M585" t="s">
        <v>227</v>
      </c>
      <c r="N585" t="s">
        <v>620</v>
      </c>
      <c r="O585" t="s">
        <v>229</v>
      </c>
      <c r="P585" t="s">
        <v>261</v>
      </c>
      <c r="Q585" t="s">
        <v>621</v>
      </c>
      <c r="R585" s="13">
        <v>31.152000000000001</v>
      </c>
      <c r="S585">
        <v>3</v>
      </c>
      <c r="T585" s="14">
        <v>0.2</v>
      </c>
      <c r="U585" s="13">
        <v>3.5045999999999999</v>
      </c>
      <c r="V585">
        <f t="shared" si="126"/>
        <v>2017</v>
      </c>
      <c r="W585" t="str">
        <f t="shared" si="127"/>
        <v>Dec</v>
      </c>
      <c r="X585" t="str">
        <f t="shared" si="128"/>
        <v>Q4</v>
      </c>
      <c r="Y585" t="str">
        <f t="shared" si="129"/>
        <v>Fri</v>
      </c>
      <c r="Z585" s="16">
        <f t="shared" si="130"/>
        <v>4</v>
      </c>
      <c r="AA585" s="13">
        <f t="shared" si="131"/>
        <v>10.384</v>
      </c>
      <c r="AB585" s="14">
        <f t="shared" si="132"/>
        <v>0.11249999999999999</v>
      </c>
      <c r="AC585" t="str">
        <f t="shared" si="133"/>
        <v>Low (1-20%)</v>
      </c>
      <c r="AD585" t="str">
        <f t="shared" si="134"/>
        <v>Low (&lt;$50)</v>
      </c>
      <c r="AE585" t="str">
        <f t="shared" si="135"/>
        <v>Medium (3-5 units)</v>
      </c>
      <c r="AF585" t="str">
        <f t="shared" si="136"/>
        <v>Profitable</v>
      </c>
      <c r="AG585" t="str">
        <f t="shared" si="137"/>
        <v>Healthy Margin</v>
      </c>
      <c r="AH585" t="str">
        <f t="shared" si="138"/>
        <v>Repeat Customer</v>
      </c>
      <c r="AI585" t="str">
        <f t="shared" si="139"/>
        <v>Standard (3-5 days)</v>
      </c>
    </row>
    <row r="586" spans="1:35" ht="15" customHeight="1" x14ac:dyDescent="0.3">
      <c r="A586">
        <v>585</v>
      </c>
      <c r="B586" t="s">
        <v>2149</v>
      </c>
      <c r="C586" s="12">
        <v>43070</v>
      </c>
      <c r="D586" s="12">
        <v>43074</v>
      </c>
      <c r="E586" t="s">
        <v>233</v>
      </c>
      <c r="F586" t="s">
        <v>2150</v>
      </c>
      <c r="G586" t="s">
        <v>2151</v>
      </c>
      <c r="H586" t="s">
        <v>209</v>
      </c>
      <c r="I586" t="s">
        <v>210</v>
      </c>
      <c r="J586" t="s">
        <v>992</v>
      </c>
      <c r="K586" t="s">
        <v>640</v>
      </c>
      <c r="L586">
        <v>80219</v>
      </c>
      <c r="M586" t="s">
        <v>227</v>
      </c>
      <c r="N586" t="s">
        <v>2154</v>
      </c>
      <c r="O586" t="s">
        <v>229</v>
      </c>
      <c r="P586" t="s">
        <v>258</v>
      </c>
      <c r="Q586" t="s">
        <v>2155</v>
      </c>
      <c r="R586" s="13">
        <v>6.7830000000000004</v>
      </c>
      <c r="S586">
        <v>7</v>
      </c>
      <c r="T586" s="14">
        <v>0.7</v>
      </c>
      <c r="U586" s="13">
        <v>-4.7481</v>
      </c>
      <c r="V586">
        <f t="shared" si="126"/>
        <v>2017</v>
      </c>
      <c r="W586" t="str">
        <f t="shared" si="127"/>
        <v>Dec</v>
      </c>
      <c r="X586" t="str">
        <f t="shared" si="128"/>
        <v>Q4</v>
      </c>
      <c r="Y586" t="str">
        <f t="shared" si="129"/>
        <v>Fri</v>
      </c>
      <c r="Z586" s="16">
        <f t="shared" si="130"/>
        <v>4</v>
      </c>
      <c r="AA586" s="13">
        <f t="shared" si="131"/>
        <v>0.96900000000000008</v>
      </c>
      <c r="AB586" s="14">
        <f t="shared" si="132"/>
        <v>-0.7</v>
      </c>
      <c r="AC586" t="str">
        <f t="shared" si="133"/>
        <v>High (40%+)</v>
      </c>
      <c r="AD586" t="str">
        <f t="shared" si="134"/>
        <v>Low (&lt;$50)</v>
      </c>
      <c r="AE586" t="str">
        <f t="shared" si="135"/>
        <v>Large (6+ units)</v>
      </c>
      <c r="AF586" t="str">
        <f t="shared" si="136"/>
        <v>Loss-Making</v>
      </c>
      <c r="AG586" t="str">
        <f t="shared" si="137"/>
        <v>Underperforming</v>
      </c>
      <c r="AH586" t="str">
        <f t="shared" si="138"/>
        <v>Repeat Customer</v>
      </c>
      <c r="AI586" t="str">
        <f t="shared" si="139"/>
        <v>Standard (3-5 days)</v>
      </c>
    </row>
    <row r="587" spans="1:35" ht="15" customHeight="1" x14ac:dyDescent="0.3">
      <c r="A587">
        <v>586</v>
      </c>
      <c r="B587" t="s">
        <v>2149</v>
      </c>
      <c r="C587" s="12">
        <v>43070</v>
      </c>
      <c r="D587" s="12">
        <v>43074</v>
      </c>
      <c r="E587" t="s">
        <v>233</v>
      </c>
      <c r="F587" t="s">
        <v>2150</v>
      </c>
      <c r="G587" t="s">
        <v>2151</v>
      </c>
      <c r="H587" t="s">
        <v>209</v>
      </c>
      <c r="I587" t="s">
        <v>210</v>
      </c>
      <c r="J587" t="s">
        <v>992</v>
      </c>
      <c r="K587" t="s">
        <v>640</v>
      </c>
      <c r="L587">
        <v>80219</v>
      </c>
      <c r="M587" t="s">
        <v>227</v>
      </c>
      <c r="N587" t="s">
        <v>809</v>
      </c>
      <c r="O587" t="s">
        <v>254</v>
      </c>
      <c r="P587" t="s">
        <v>255</v>
      </c>
      <c r="Q587" t="s">
        <v>810</v>
      </c>
      <c r="R587" s="13">
        <v>406.36799999999999</v>
      </c>
      <c r="S587">
        <v>4</v>
      </c>
      <c r="T587" s="14">
        <v>0.2</v>
      </c>
      <c r="U587" s="13">
        <v>30.477599999999999</v>
      </c>
      <c r="V587">
        <f t="shared" si="126"/>
        <v>2017</v>
      </c>
      <c r="W587" t="str">
        <f t="shared" si="127"/>
        <v>Dec</v>
      </c>
      <c r="X587" t="str">
        <f t="shared" si="128"/>
        <v>Q4</v>
      </c>
      <c r="Y587" t="str">
        <f t="shared" si="129"/>
        <v>Fri</v>
      </c>
      <c r="Z587" s="16">
        <f t="shared" si="130"/>
        <v>4</v>
      </c>
      <c r="AA587" s="13">
        <f t="shared" si="131"/>
        <v>101.592</v>
      </c>
      <c r="AB587" s="14">
        <f t="shared" si="132"/>
        <v>7.4999999999999997E-2</v>
      </c>
      <c r="AC587" t="str">
        <f t="shared" si="133"/>
        <v>Low (1-20%)</v>
      </c>
      <c r="AD587" t="str">
        <f t="shared" si="134"/>
        <v>High ($200-$500)</v>
      </c>
      <c r="AE587" t="str">
        <f t="shared" si="135"/>
        <v>Medium (3-5 units)</v>
      </c>
      <c r="AF587" t="str">
        <f t="shared" si="136"/>
        <v>Profitable</v>
      </c>
      <c r="AG587" t="str">
        <f t="shared" si="137"/>
        <v>Low Margin</v>
      </c>
      <c r="AH587" t="str">
        <f t="shared" si="138"/>
        <v>Repeat Customer</v>
      </c>
      <c r="AI587" t="str">
        <f t="shared" si="139"/>
        <v>Standard (3-5 days)</v>
      </c>
    </row>
    <row r="588" spans="1:35" ht="15" customHeight="1" x14ac:dyDescent="0.3">
      <c r="A588">
        <v>587</v>
      </c>
      <c r="B588" t="s">
        <v>2156</v>
      </c>
      <c r="C588" s="12">
        <v>42188</v>
      </c>
      <c r="D588" s="12">
        <v>42194</v>
      </c>
      <c r="E588" t="s">
        <v>233</v>
      </c>
      <c r="F588" t="s">
        <v>2157</v>
      </c>
      <c r="G588" t="s">
        <v>2158</v>
      </c>
      <c r="H588" t="s">
        <v>209</v>
      </c>
      <c r="I588" t="s">
        <v>210</v>
      </c>
      <c r="J588" t="s">
        <v>1652</v>
      </c>
      <c r="K588" t="s">
        <v>212</v>
      </c>
      <c r="L588">
        <v>40475</v>
      </c>
      <c r="M588" t="s">
        <v>213</v>
      </c>
      <c r="N588" t="s">
        <v>1633</v>
      </c>
      <c r="O588" t="s">
        <v>215</v>
      </c>
      <c r="P588" t="s">
        <v>219</v>
      </c>
      <c r="Q588" t="s">
        <v>1634</v>
      </c>
      <c r="R588" s="13">
        <v>70.98</v>
      </c>
      <c r="S588">
        <v>1</v>
      </c>
      <c r="T588" s="14">
        <v>0</v>
      </c>
      <c r="U588" s="13">
        <v>4.9686000000000003</v>
      </c>
      <c r="V588">
        <f t="shared" si="126"/>
        <v>2015</v>
      </c>
      <c r="W588" t="str">
        <f t="shared" si="127"/>
        <v>Jul</v>
      </c>
      <c r="X588" t="str">
        <f t="shared" si="128"/>
        <v>Q3</v>
      </c>
      <c r="Y588" t="str">
        <f t="shared" si="129"/>
        <v>Fri</v>
      </c>
      <c r="Z588" s="16">
        <f t="shared" si="130"/>
        <v>6</v>
      </c>
      <c r="AA588" s="13">
        <f t="shared" si="131"/>
        <v>70.98</v>
      </c>
      <c r="AB588" s="14">
        <f t="shared" si="132"/>
        <v>7.0000000000000007E-2</v>
      </c>
      <c r="AC588" t="str">
        <f t="shared" si="133"/>
        <v>No Discount</v>
      </c>
      <c r="AD588" t="str">
        <f t="shared" si="134"/>
        <v>Medium ($50-$200)</v>
      </c>
      <c r="AE588" t="str">
        <f t="shared" si="135"/>
        <v>Small (1-2 units)</v>
      </c>
      <c r="AF588" t="str">
        <f t="shared" si="136"/>
        <v>Profitable</v>
      </c>
      <c r="AG588" t="str">
        <f t="shared" si="137"/>
        <v>Low Margin</v>
      </c>
      <c r="AH588" t="str">
        <f t="shared" si="138"/>
        <v>Repeat Customer</v>
      </c>
      <c r="AI588" t="str">
        <f t="shared" si="139"/>
        <v>Slow (6+ days)</v>
      </c>
    </row>
    <row r="589" spans="1:35" ht="15" customHeight="1" x14ac:dyDescent="0.3">
      <c r="A589">
        <v>588</v>
      </c>
      <c r="B589" t="s">
        <v>2156</v>
      </c>
      <c r="C589" s="12">
        <v>42188</v>
      </c>
      <c r="D589" s="12">
        <v>42194</v>
      </c>
      <c r="E589" t="s">
        <v>233</v>
      </c>
      <c r="F589" t="s">
        <v>2157</v>
      </c>
      <c r="G589" t="s">
        <v>2158</v>
      </c>
      <c r="H589" t="s">
        <v>209</v>
      </c>
      <c r="I589" t="s">
        <v>210</v>
      </c>
      <c r="J589" t="s">
        <v>1652</v>
      </c>
      <c r="K589" t="s">
        <v>212</v>
      </c>
      <c r="L589">
        <v>40475</v>
      </c>
      <c r="M589" t="s">
        <v>213</v>
      </c>
      <c r="N589" t="s">
        <v>2159</v>
      </c>
      <c r="O589" t="s">
        <v>229</v>
      </c>
      <c r="P589" t="s">
        <v>230</v>
      </c>
      <c r="Q589" t="s">
        <v>2160</v>
      </c>
      <c r="R589" s="13">
        <v>294.93</v>
      </c>
      <c r="S589">
        <v>3</v>
      </c>
      <c r="T589" s="14">
        <v>0</v>
      </c>
      <c r="U589" s="13">
        <v>144.51570000000001</v>
      </c>
      <c r="V589">
        <f t="shared" si="126"/>
        <v>2015</v>
      </c>
      <c r="W589" t="str">
        <f t="shared" si="127"/>
        <v>Jul</v>
      </c>
      <c r="X589" t="str">
        <f t="shared" si="128"/>
        <v>Q3</v>
      </c>
      <c r="Y589" t="str">
        <f t="shared" si="129"/>
        <v>Fri</v>
      </c>
      <c r="Z589" s="16">
        <f t="shared" si="130"/>
        <v>6</v>
      </c>
      <c r="AA589" s="13">
        <f t="shared" si="131"/>
        <v>98.31</v>
      </c>
      <c r="AB589" s="14">
        <f t="shared" si="132"/>
        <v>0.49000000000000005</v>
      </c>
      <c r="AC589" t="str">
        <f t="shared" si="133"/>
        <v>No Discount</v>
      </c>
      <c r="AD589" t="str">
        <f t="shared" si="134"/>
        <v>High ($200-$500)</v>
      </c>
      <c r="AE589" t="str">
        <f t="shared" si="135"/>
        <v>Medium (3-5 units)</v>
      </c>
      <c r="AF589" t="str">
        <f t="shared" si="136"/>
        <v>Profitable</v>
      </c>
      <c r="AG589" t="str">
        <f t="shared" si="137"/>
        <v>High Margin</v>
      </c>
      <c r="AH589" t="str">
        <f t="shared" si="138"/>
        <v>Repeat Customer</v>
      </c>
      <c r="AI589" t="str">
        <f t="shared" si="139"/>
        <v>Slow (6+ days)</v>
      </c>
    </row>
    <row r="590" spans="1:35" ht="15" customHeight="1" x14ac:dyDescent="0.3">
      <c r="A590">
        <v>589</v>
      </c>
      <c r="B590" t="s">
        <v>2161</v>
      </c>
      <c r="C590" s="12">
        <v>42449</v>
      </c>
      <c r="D590" s="12">
        <v>42453</v>
      </c>
      <c r="E590" t="s">
        <v>233</v>
      </c>
      <c r="F590" t="s">
        <v>2162</v>
      </c>
      <c r="G590" t="s">
        <v>2163</v>
      </c>
      <c r="H590" t="s">
        <v>209</v>
      </c>
      <c r="I590" t="s">
        <v>210</v>
      </c>
      <c r="J590" t="s">
        <v>2164</v>
      </c>
      <c r="K590" t="s">
        <v>603</v>
      </c>
      <c r="L590">
        <v>97301</v>
      </c>
      <c r="M590" t="s">
        <v>227</v>
      </c>
      <c r="N590" t="s">
        <v>2165</v>
      </c>
      <c r="O590" t="s">
        <v>254</v>
      </c>
      <c r="P590" t="s">
        <v>255</v>
      </c>
      <c r="Q590" t="s">
        <v>2166</v>
      </c>
      <c r="R590" s="13">
        <v>84.784000000000006</v>
      </c>
      <c r="S590">
        <v>2</v>
      </c>
      <c r="T590" s="14">
        <v>0.2</v>
      </c>
      <c r="U590" s="13">
        <v>-20.136199999999999</v>
      </c>
      <c r="V590">
        <f t="shared" si="126"/>
        <v>2016</v>
      </c>
      <c r="W590" t="str">
        <f t="shared" si="127"/>
        <v>Mar</v>
      </c>
      <c r="X590" t="str">
        <f t="shared" si="128"/>
        <v>Q1</v>
      </c>
      <c r="Y590" t="str">
        <f t="shared" si="129"/>
        <v>Sun</v>
      </c>
      <c r="Z590" s="16">
        <f t="shared" si="130"/>
        <v>4</v>
      </c>
      <c r="AA590" s="13">
        <f t="shared" si="131"/>
        <v>42.392000000000003</v>
      </c>
      <c r="AB590" s="14">
        <f t="shared" si="132"/>
        <v>-0.23749999999999996</v>
      </c>
      <c r="AC590" t="str">
        <f t="shared" si="133"/>
        <v>Low (1-20%)</v>
      </c>
      <c r="AD590" t="str">
        <f t="shared" si="134"/>
        <v>Medium ($50-$200)</v>
      </c>
      <c r="AE590" t="str">
        <f t="shared" si="135"/>
        <v>Small (1-2 units)</v>
      </c>
      <c r="AF590" t="str">
        <f t="shared" si="136"/>
        <v>Loss-Making</v>
      </c>
      <c r="AG590" t="str">
        <f t="shared" si="137"/>
        <v>Underperforming</v>
      </c>
      <c r="AH590" t="str">
        <f t="shared" si="138"/>
        <v>Repeat Customer</v>
      </c>
      <c r="AI590" t="str">
        <f t="shared" si="139"/>
        <v>Standard (3-5 days)</v>
      </c>
    </row>
    <row r="591" spans="1:35" ht="15" customHeight="1" x14ac:dyDescent="0.3">
      <c r="A591">
        <v>590</v>
      </c>
      <c r="B591" t="s">
        <v>2161</v>
      </c>
      <c r="C591" s="12">
        <v>42449</v>
      </c>
      <c r="D591" s="12">
        <v>42453</v>
      </c>
      <c r="E591" t="s">
        <v>233</v>
      </c>
      <c r="F591" t="s">
        <v>2162</v>
      </c>
      <c r="G591" t="s">
        <v>2163</v>
      </c>
      <c r="H591" t="s">
        <v>209</v>
      </c>
      <c r="I591" t="s">
        <v>210</v>
      </c>
      <c r="J591" t="s">
        <v>2164</v>
      </c>
      <c r="K591" t="s">
        <v>603</v>
      </c>
      <c r="L591">
        <v>97301</v>
      </c>
      <c r="M591" t="s">
        <v>227</v>
      </c>
      <c r="N591" t="s">
        <v>2167</v>
      </c>
      <c r="O591" t="s">
        <v>229</v>
      </c>
      <c r="P591" t="s">
        <v>273</v>
      </c>
      <c r="Q591" t="s">
        <v>2168</v>
      </c>
      <c r="R591" s="13">
        <v>20.736000000000001</v>
      </c>
      <c r="S591">
        <v>4</v>
      </c>
      <c r="T591" s="14">
        <v>0.2</v>
      </c>
      <c r="U591" s="13">
        <v>7.2576000000000001</v>
      </c>
      <c r="V591">
        <f t="shared" si="126"/>
        <v>2016</v>
      </c>
      <c r="W591" t="str">
        <f t="shared" si="127"/>
        <v>Mar</v>
      </c>
      <c r="X591" t="str">
        <f t="shared" si="128"/>
        <v>Q1</v>
      </c>
      <c r="Y591" t="str">
        <f t="shared" si="129"/>
        <v>Sun</v>
      </c>
      <c r="Z591" s="16">
        <f t="shared" si="130"/>
        <v>4</v>
      </c>
      <c r="AA591" s="13">
        <f t="shared" si="131"/>
        <v>5.1840000000000002</v>
      </c>
      <c r="AB591" s="14">
        <f t="shared" si="132"/>
        <v>0.35</v>
      </c>
      <c r="AC591" t="str">
        <f t="shared" si="133"/>
        <v>Low (1-20%)</v>
      </c>
      <c r="AD591" t="str">
        <f t="shared" si="134"/>
        <v>Low (&lt;$50)</v>
      </c>
      <c r="AE591" t="str">
        <f t="shared" si="135"/>
        <v>Medium (3-5 units)</v>
      </c>
      <c r="AF591" t="str">
        <f t="shared" si="136"/>
        <v>Profitable</v>
      </c>
      <c r="AG591" t="str">
        <f t="shared" si="137"/>
        <v>High Margin</v>
      </c>
      <c r="AH591" t="str">
        <f t="shared" si="138"/>
        <v>Repeat Customer</v>
      </c>
      <c r="AI591" t="str">
        <f t="shared" si="139"/>
        <v>Standard (3-5 days)</v>
      </c>
    </row>
    <row r="592" spans="1:35" ht="15" customHeight="1" x14ac:dyDescent="0.3">
      <c r="A592">
        <v>591</v>
      </c>
      <c r="B592" t="s">
        <v>2161</v>
      </c>
      <c r="C592" s="12">
        <v>42449</v>
      </c>
      <c r="D592" s="12">
        <v>42453</v>
      </c>
      <c r="E592" t="s">
        <v>233</v>
      </c>
      <c r="F592" t="s">
        <v>2162</v>
      </c>
      <c r="G592" t="s">
        <v>2163</v>
      </c>
      <c r="H592" t="s">
        <v>209</v>
      </c>
      <c r="I592" t="s">
        <v>210</v>
      </c>
      <c r="J592" t="s">
        <v>2164</v>
      </c>
      <c r="K592" t="s">
        <v>603</v>
      </c>
      <c r="L592">
        <v>97301</v>
      </c>
      <c r="M592" t="s">
        <v>227</v>
      </c>
      <c r="N592" t="s">
        <v>1900</v>
      </c>
      <c r="O592" t="s">
        <v>229</v>
      </c>
      <c r="P592" t="s">
        <v>258</v>
      </c>
      <c r="Q592" t="s">
        <v>1901</v>
      </c>
      <c r="R592" s="13">
        <v>16.821000000000002</v>
      </c>
      <c r="S592">
        <v>3</v>
      </c>
      <c r="T592" s="14">
        <v>0.7</v>
      </c>
      <c r="U592" s="13">
        <v>-12.896100000000001</v>
      </c>
      <c r="V592">
        <f t="shared" si="126"/>
        <v>2016</v>
      </c>
      <c r="W592" t="str">
        <f t="shared" si="127"/>
        <v>Mar</v>
      </c>
      <c r="X592" t="str">
        <f t="shared" si="128"/>
        <v>Q1</v>
      </c>
      <c r="Y592" t="str">
        <f t="shared" si="129"/>
        <v>Sun</v>
      </c>
      <c r="Z592" s="16">
        <f t="shared" si="130"/>
        <v>4</v>
      </c>
      <c r="AA592" s="13">
        <f t="shared" si="131"/>
        <v>5.6070000000000002</v>
      </c>
      <c r="AB592" s="14">
        <f t="shared" si="132"/>
        <v>-0.76666666666666661</v>
      </c>
      <c r="AC592" t="str">
        <f t="shared" si="133"/>
        <v>High (40%+)</v>
      </c>
      <c r="AD592" t="str">
        <f t="shared" si="134"/>
        <v>Low (&lt;$50)</v>
      </c>
      <c r="AE592" t="str">
        <f t="shared" si="135"/>
        <v>Medium (3-5 units)</v>
      </c>
      <c r="AF592" t="str">
        <f t="shared" si="136"/>
        <v>Loss-Making</v>
      </c>
      <c r="AG592" t="str">
        <f t="shared" si="137"/>
        <v>Underperforming</v>
      </c>
      <c r="AH592" t="str">
        <f t="shared" si="138"/>
        <v>Repeat Customer</v>
      </c>
      <c r="AI592" t="str">
        <f t="shared" si="139"/>
        <v>Standard (3-5 days)</v>
      </c>
    </row>
    <row r="593" spans="1:35" ht="15" customHeight="1" x14ac:dyDescent="0.3">
      <c r="A593">
        <v>592</v>
      </c>
      <c r="B593" t="s">
        <v>2161</v>
      </c>
      <c r="C593" s="12">
        <v>42449</v>
      </c>
      <c r="D593" s="12">
        <v>42453</v>
      </c>
      <c r="E593" t="s">
        <v>233</v>
      </c>
      <c r="F593" t="s">
        <v>2162</v>
      </c>
      <c r="G593" t="s">
        <v>2163</v>
      </c>
      <c r="H593" t="s">
        <v>209</v>
      </c>
      <c r="I593" t="s">
        <v>210</v>
      </c>
      <c r="J593" t="s">
        <v>2164</v>
      </c>
      <c r="K593" t="s">
        <v>603</v>
      </c>
      <c r="L593">
        <v>97301</v>
      </c>
      <c r="M593" t="s">
        <v>227</v>
      </c>
      <c r="N593" t="s">
        <v>2169</v>
      </c>
      <c r="O593" t="s">
        <v>229</v>
      </c>
      <c r="P593" t="s">
        <v>273</v>
      </c>
      <c r="Q593" t="s">
        <v>2170</v>
      </c>
      <c r="R593" s="13">
        <v>10.368</v>
      </c>
      <c r="S593">
        <v>2</v>
      </c>
      <c r="T593" s="14">
        <v>0.2</v>
      </c>
      <c r="U593" s="13">
        <v>3.6288</v>
      </c>
      <c r="V593">
        <f t="shared" si="126"/>
        <v>2016</v>
      </c>
      <c r="W593" t="str">
        <f t="shared" si="127"/>
        <v>Mar</v>
      </c>
      <c r="X593" t="str">
        <f t="shared" si="128"/>
        <v>Q1</v>
      </c>
      <c r="Y593" t="str">
        <f t="shared" si="129"/>
        <v>Sun</v>
      </c>
      <c r="Z593" s="16">
        <f t="shared" si="130"/>
        <v>4</v>
      </c>
      <c r="AA593" s="13">
        <f t="shared" si="131"/>
        <v>5.1840000000000002</v>
      </c>
      <c r="AB593" s="14">
        <f t="shared" si="132"/>
        <v>0.35</v>
      </c>
      <c r="AC593" t="str">
        <f t="shared" si="133"/>
        <v>Low (1-20%)</v>
      </c>
      <c r="AD593" t="str">
        <f t="shared" si="134"/>
        <v>Low (&lt;$50)</v>
      </c>
      <c r="AE593" t="str">
        <f t="shared" si="135"/>
        <v>Small (1-2 units)</v>
      </c>
      <c r="AF593" t="str">
        <f t="shared" si="136"/>
        <v>Profitable</v>
      </c>
      <c r="AG593" t="str">
        <f t="shared" si="137"/>
        <v>High Margin</v>
      </c>
      <c r="AH593" t="str">
        <f t="shared" si="138"/>
        <v>Repeat Customer</v>
      </c>
      <c r="AI593" t="str">
        <f t="shared" si="139"/>
        <v>Standard (3-5 days)</v>
      </c>
    </row>
    <row r="594" spans="1:35" ht="15" customHeight="1" x14ac:dyDescent="0.3">
      <c r="A594">
        <v>593</v>
      </c>
      <c r="B594" t="s">
        <v>2171</v>
      </c>
      <c r="C594" s="12">
        <v>41648</v>
      </c>
      <c r="D594" s="12">
        <v>41652</v>
      </c>
      <c r="E594" t="s">
        <v>233</v>
      </c>
      <c r="F594" t="s">
        <v>2172</v>
      </c>
      <c r="G594" t="s">
        <v>2173</v>
      </c>
      <c r="H594" t="s">
        <v>209</v>
      </c>
      <c r="I594" t="s">
        <v>210</v>
      </c>
      <c r="J594" t="s">
        <v>2174</v>
      </c>
      <c r="K594" t="s">
        <v>287</v>
      </c>
      <c r="L594">
        <v>78041</v>
      </c>
      <c r="M594" t="s">
        <v>288</v>
      </c>
      <c r="N594" t="s">
        <v>2175</v>
      </c>
      <c r="O594" t="s">
        <v>229</v>
      </c>
      <c r="P594" t="s">
        <v>251</v>
      </c>
      <c r="Q594" t="s">
        <v>2176</v>
      </c>
      <c r="R594" s="13">
        <v>9.3439999999999994</v>
      </c>
      <c r="S594">
        <v>2</v>
      </c>
      <c r="T594" s="14">
        <v>0.2</v>
      </c>
      <c r="U594" s="13">
        <v>1.1679999999999999</v>
      </c>
      <c r="V594">
        <f t="shared" si="126"/>
        <v>2014</v>
      </c>
      <c r="W594" t="str">
        <f t="shared" si="127"/>
        <v>Jan</v>
      </c>
      <c r="X594" t="str">
        <f t="shared" si="128"/>
        <v>Q1</v>
      </c>
      <c r="Y594" t="str">
        <f t="shared" si="129"/>
        <v>Thu</v>
      </c>
      <c r="Z594" s="16">
        <f t="shared" si="130"/>
        <v>4</v>
      </c>
      <c r="AA594" s="13">
        <f t="shared" si="131"/>
        <v>4.6719999999999997</v>
      </c>
      <c r="AB594" s="14">
        <f t="shared" si="132"/>
        <v>0.125</v>
      </c>
      <c r="AC594" t="str">
        <f t="shared" si="133"/>
        <v>Low (1-20%)</v>
      </c>
      <c r="AD594" t="str">
        <f t="shared" si="134"/>
        <v>Low (&lt;$50)</v>
      </c>
      <c r="AE594" t="str">
        <f t="shared" si="135"/>
        <v>Small (1-2 units)</v>
      </c>
      <c r="AF594" t="str">
        <f t="shared" si="136"/>
        <v>Profitable</v>
      </c>
      <c r="AG594" t="str">
        <f t="shared" si="137"/>
        <v>Healthy Margin</v>
      </c>
      <c r="AH594" t="str">
        <f t="shared" si="138"/>
        <v>Repeat Customer</v>
      </c>
      <c r="AI594" t="str">
        <f t="shared" si="139"/>
        <v>Standard (3-5 days)</v>
      </c>
    </row>
    <row r="595" spans="1:35" ht="15" customHeight="1" x14ac:dyDescent="0.3">
      <c r="A595">
        <v>594</v>
      </c>
      <c r="B595" t="s">
        <v>2171</v>
      </c>
      <c r="C595" s="12">
        <v>41648</v>
      </c>
      <c r="D595" s="12">
        <v>41652</v>
      </c>
      <c r="E595" t="s">
        <v>233</v>
      </c>
      <c r="F595" t="s">
        <v>2172</v>
      </c>
      <c r="G595" t="s">
        <v>2173</v>
      </c>
      <c r="H595" t="s">
        <v>209</v>
      </c>
      <c r="I595" t="s">
        <v>210</v>
      </c>
      <c r="J595" t="s">
        <v>2174</v>
      </c>
      <c r="K595" t="s">
        <v>287</v>
      </c>
      <c r="L595">
        <v>78041</v>
      </c>
      <c r="M595" t="s">
        <v>288</v>
      </c>
      <c r="N595" t="s">
        <v>1029</v>
      </c>
      <c r="O595" t="s">
        <v>254</v>
      </c>
      <c r="P595" t="s">
        <v>344</v>
      </c>
      <c r="Q595" t="s">
        <v>1030</v>
      </c>
      <c r="R595" s="13">
        <v>31.2</v>
      </c>
      <c r="S595">
        <v>3</v>
      </c>
      <c r="T595" s="14">
        <v>0.2</v>
      </c>
      <c r="U595" s="13">
        <v>9.75</v>
      </c>
      <c r="V595">
        <f t="shared" si="126"/>
        <v>2014</v>
      </c>
      <c r="W595" t="str">
        <f t="shared" si="127"/>
        <v>Jan</v>
      </c>
      <c r="X595" t="str">
        <f t="shared" si="128"/>
        <v>Q1</v>
      </c>
      <c r="Y595" t="str">
        <f t="shared" si="129"/>
        <v>Thu</v>
      </c>
      <c r="Z595" s="16">
        <f t="shared" si="130"/>
        <v>4</v>
      </c>
      <c r="AA595" s="13">
        <f t="shared" si="131"/>
        <v>10.4</v>
      </c>
      <c r="AB595" s="14">
        <f t="shared" si="132"/>
        <v>0.3125</v>
      </c>
      <c r="AC595" t="str">
        <f t="shared" si="133"/>
        <v>Low (1-20%)</v>
      </c>
      <c r="AD595" t="str">
        <f t="shared" si="134"/>
        <v>Low (&lt;$50)</v>
      </c>
      <c r="AE595" t="str">
        <f t="shared" si="135"/>
        <v>Medium (3-5 units)</v>
      </c>
      <c r="AF595" t="str">
        <f t="shared" si="136"/>
        <v>Profitable</v>
      </c>
      <c r="AG595" t="str">
        <f t="shared" si="137"/>
        <v>High Margin</v>
      </c>
      <c r="AH595" t="str">
        <f t="shared" si="138"/>
        <v>Repeat Customer</v>
      </c>
      <c r="AI595" t="str">
        <f t="shared" si="139"/>
        <v>Standard (3-5 days)</v>
      </c>
    </row>
    <row r="596" spans="1:35" ht="15" customHeight="1" x14ac:dyDescent="0.3">
      <c r="A596">
        <v>595</v>
      </c>
      <c r="B596" t="s">
        <v>2177</v>
      </c>
      <c r="C596" s="12">
        <v>41859</v>
      </c>
      <c r="D596" s="12">
        <v>41866</v>
      </c>
      <c r="E596" t="s">
        <v>233</v>
      </c>
      <c r="F596" t="s">
        <v>2178</v>
      </c>
      <c r="G596" t="s">
        <v>2179</v>
      </c>
      <c r="H596" t="s">
        <v>209</v>
      </c>
      <c r="I596" t="s">
        <v>210</v>
      </c>
      <c r="J596" t="s">
        <v>1133</v>
      </c>
      <c r="K596" t="s">
        <v>226</v>
      </c>
      <c r="L596">
        <v>92024</v>
      </c>
      <c r="M596" t="s">
        <v>227</v>
      </c>
      <c r="N596" t="s">
        <v>2180</v>
      </c>
      <c r="O596" t="s">
        <v>229</v>
      </c>
      <c r="P596" t="s">
        <v>261</v>
      </c>
      <c r="Q596" t="s">
        <v>2181</v>
      </c>
      <c r="R596" s="13">
        <v>76.12</v>
      </c>
      <c r="S596">
        <v>2</v>
      </c>
      <c r="T596" s="14">
        <v>0</v>
      </c>
      <c r="U596" s="13">
        <v>22.0748</v>
      </c>
      <c r="V596">
        <f t="shared" si="126"/>
        <v>2014</v>
      </c>
      <c r="W596" t="str">
        <f t="shared" si="127"/>
        <v>Aug</v>
      </c>
      <c r="X596" t="str">
        <f t="shared" si="128"/>
        <v>Q3</v>
      </c>
      <c r="Y596" t="str">
        <f t="shared" si="129"/>
        <v>Fri</v>
      </c>
      <c r="Z596" s="16">
        <f t="shared" si="130"/>
        <v>7</v>
      </c>
      <c r="AA596" s="13">
        <f t="shared" si="131"/>
        <v>38.06</v>
      </c>
      <c r="AB596" s="14">
        <f t="shared" si="132"/>
        <v>0.28999999999999998</v>
      </c>
      <c r="AC596" t="str">
        <f t="shared" si="133"/>
        <v>No Discount</v>
      </c>
      <c r="AD596" t="str">
        <f t="shared" si="134"/>
        <v>Medium ($50-$200)</v>
      </c>
      <c r="AE596" t="str">
        <f t="shared" si="135"/>
        <v>Small (1-2 units)</v>
      </c>
      <c r="AF596" t="str">
        <f t="shared" si="136"/>
        <v>Profitable</v>
      </c>
      <c r="AG596" t="str">
        <f t="shared" si="137"/>
        <v>High Margin</v>
      </c>
      <c r="AH596" t="str">
        <f t="shared" si="138"/>
        <v>Repeat Customer</v>
      </c>
      <c r="AI596" t="str">
        <f t="shared" si="139"/>
        <v>Slow (6+ days)</v>
      </c>
    </row>
    <row r="597" spans="1:35" ht="15" customHeight="1" x14ac:dyDescent="0.3">
      <c r="A597">
        <v>596</v>
      </c>
      <c r="B597" t="s">
        <v>2177</v>
      </c>
      <c r="C597" s="12">
        <v>41859</v>
      </c>
      <c r="D597" s="12">
        <v>41866</v>
      </c>
      <c r="E597" t="s">
        <v>233</v>
      </c>
      <c r="F597" t="s">
        <v>2178</v>
      </c>
      <c r="G597" t="s">
        <v>2179</v>
      </c>
      <c r="H597" t="s">
        <v>209</v>
      </c>
      <c r="I597" t="s">
        <v>210</v>
      </c>
      <c r="J597" t="s">
        <v>1133</v>
      </c>
      <c r="K597" t="s">
        <v>226</v>
      </c>
      <c r="L597">
        <v>92024</v>
      </c>
      <c r="M597" t="s">
        <v>227</v>
      </c>
      <c r="N597" t="s">
        <v>1620</v>
      </c>
      <c r="O597" t="s">
        <v>254</v>
      </c>
      <c r="P597" t="s">
        <v>1402</v>
      </c>
      <c r="Q597" t="s">
        <v>1621</v>
      </c>
      <c r="R597" s="13">
        <v>1199.9760000000001</v>
      </c>
      <c r="S597">
        <v>3</v>
      </c>
      <c r="T597" s="14">
        <v>0.2</v>
      </c>
      <c r="U597" s="13">
        <v>434.99130000000002</v>
      </c>
      <c r="V597">
        <f t="shared" si="126"/>
        <v>2014</v>
      </c>
      <c r="W597" t="str">
        <f t="shared" si="127"/>
        <v>Aug</v>
      </c>
      <c r="X597" t="str">
        <f t="shared" si="128"/>
        <v>Q3</v>
      </c>
      <c r="Y597" t="str">
        <f t="shared" si="129"/>
        <v>Fri</v>
      </c>
      <c r="Z597" s="16">
        <f t="shared" si="130"/>
        <v>7</v>
      </c>
      <c r="AA597" s="13">
        <f t="shared" si="131"/>
        <v>399.99200000000002</v>
      </c>
      <c r="AB597" s="14">
        <f t="shared" si="132"/>
        <v>0.36249999999999999</v>
      </c>
      <c r="AC597" t="str">
        <f t="shared" si="133"/>
        <v>Low (1-20%)</v>
      </c>
      <c r="AD597" t="str">
        <f t="shared" si="134"/>
        <v>Premium ($500+)</v>
      </c>
      <c r="AE597" t="str">
        <f t="shared" si="135"/>
        <v>Medium (3-5 units)</v>
      </c>
      <c r="AF597" t="str">
        <f t="shared" si="136"/>
        <v>Profitable</v>
      </c>
      <c r="AG597" t="str">
        <f t="shared" si="137"/>
        <v>High Margin</v>
      </c>
      <c r="AH597" t="str">
        <f t="shared" si="138"/>
        <v>Repeat Customer</v>
      </c>
      <c r="AI597" t="str">
        <f t="shared" si="139"/>
        <v>Slow (6+ days)</v>
      </c>
    </row>
    <row r="598" spans="1:35" ht="15" customHeight="1" x14ac:dyDescent="0.3">
      <c r="A598">
        <v>597</v>
      </c>
      <c r="B598" t="s">
        <v>2177</v>
      </c>
      <c r="C598" s="12">
        <v>41859</v>
      </c>
      <c r="D598" s="12">
        <v>41866</v>
      </c>
      <c r="E598" t="s">
        <v>233</v>
      </c>
      <c r="F598" t="s">
        <v>2178</v>
      </c>
      <c r="G598" t="s">
        <v>2179</v>
      </c>
      <c r="H598" t="s">
        <v>209</v>
      </c>
      <c r="I598" t="s">
        <v>210</v>
      </c>
      <c r="J598" t="s">
        <v>1133</v>
      </c>
      <c r="K598" t="s">
        <v>226</v>
      </c>
      <c r="L598">
        <v>92024</v>
      </c>
      <c r="M598" t="s">
        <v>227</v>
      </c>
      <c r="N598" t="s">
        <v>1338</v>
      </c>
      <c r="O598" t="s">
        <v>254</v>
      </c>
      <c r="P598" t="s">
        <v>255</v>
      </c>
      <c r="Q598" t="s">
        <v>1339</v>
      </c>
      <c r="R598" s="13">
        <v>445.96</v>
      </c>
      <c r="S598">
        <v>5</v>
      </c>
      <c r="T598" s="14">
        <v>0.2</v>
      </c>
      <c r="U598" s="13">
        <v>55.744999999999997</v>
      </c>
      <c r="V598">
        <f t="shared" si="126"/>
        <v>2014</v>
      </c>
      <c r="W598" t="str">
        <f t="shared" si="127"/>
        <v>Aug</v>
      </c>
      <c r="X598" t="str">
        <f t="shared" si="128"/>
        <v>Q3</v>
      </c>
      <c r="Y598" t="str">
        <f t="shared" si="129"/>
        <v>Fri</v>
      </c>
      <c r="Z598" s="16">
        <f t="shared" si="130"/>
        <v>7</v>
      </c>
      <c r="AA598" s="13">
        <f t="shared" si="131"/>
        <v>89.191999999999993</v>
      </c>
      <c r="AB598" s="14">
        <f t="shared" si="132"/>
        <v>0.125</v>
      </c>
      <c r="AC598" t="str">
        <f t="shared" si="133"/>
        <v>Low (1-20%)</v>
      </c>
      <c r="AD598" t="str">
        <f t="shared" si="134"/>
        <v>High ($200-$500)</v>
      </c>
      <c r="AE598" t="str">
        <f t="shared" si="135"/>
        <v>Medium (3-5 units)</v>
      </c>
      <c r="AF598" t="str">
        <f t="shared" si="136"/>
        <v>Profitable</v>
      </c>
      <c r="AG598" t="str">
        <f t="shared" si="137"/>
        <v>Healthy Margin</v>
      </c>
      <c r="AH598" t="str">
        <f t="shared" si="138"/>
        <v>Repeat Customer</v>
      </c>
      <c r="AI598" t="str">
        <f t="shared" si="139"/>
        <v>Slow (6+ days)</v>
      </c>
    </row>
    <row r="599" spans="1:35" ht="15" customHeight="1" x14ac:dyDescent="0.3">
      <c r="A599">
        <v>598</v>
      </c>
      <c r="B599" t="s">
        <v>2177</v>
      </c>
      <c r="C599" s="12">
        <v>41859</v>
      </c>
      <c r="D599" s="12">
        <v>41866</v>
      </c>
      <c r="E599" t="s">
        <v>233</v>
      </c>
      <c r="F599" t="s">
        <v>2178</v>
      </c>
      <c r="G599" t="s">
        <v>2179</v>
      </c>
      <c r="H599" t="s">
        <v>209</v>
      </c>
      <c r="I599" t="s">
        <v>210</v>
      </c>
      <c r="J599" t="s">
        <v>1133</v>
      </c>
      <c r="K599" t="s">
        <v>226</v>
      </c>
      <c r="L599">
        <v>92024</v>
      </c>
      <c r="M599" t="s">
        <v>227</v>
      </c>
      <c r="N599" t="s">
        <v>2182</v>
      </c>
      <c r="O599" t="s">
        <v>215</v>
      </c>
      <c r="P599" t="s">
        <v>248</v>
      </c>
      <c r="Q599" t="s">
        <v>2183</v>
      </c>
      <c r="R599" s="13">
        <v>327.76</v>
      </c>
      <c r="S599">
        <v>8</v>
      </c>
      <c r="T599" s="14">
        <v>0</v>
      </c>
      <c r="U599" s="13">
        <v>91.772800000000004</v>
      </c>
      <c r="V599">
        <f t="shared" si="126"/>
        <v>2014</v>
      </c>
      <c r="W599" t="str">
        <f t="shared" si="127"/>
        <v>Aug</v>
      </c>
      <c r="X599" t="str">
        <f t="shared" si="128"/>
        <v>Q3</v>
      </c>
      <c r="Y599" t="str">
        <f t="shared" si="129"/>
        <v>Fri</v>
      </c>
      <c r="Z599" s="16">
        <f t="shared" si="130"/>
        <v>7</v>
      </c>
      <c r="AA599" s="13">
        <f t="shared" si="131"/>
        <v>40.97</v>
      </c>
      <c r="AB599" s="14">
        <f t="shared" si="132"/>
        <v>0.28000000000000003</v>
      </c>
      <c r="AC599" t="str">
        <f t="shared" si="133"/>
        <v>No Discount</v>
      </c>
      <c r="AD599" t="str">
        <f t="shared" si="134"/>
        <v>High ($200-$500)</v>
      </c>
      <c r="AE599" t="str">
        <f t="shared" si="135"/>
        <v>Large (6+ units)</v>
      </c>
      <c r="AF599" t="str">
        <f t="shared" si="136"/>
        <v>Profitable</v>
      </c>
      <c r="AG599" t="str">
        <f t="shared" si="137"/>
        <v>High Margin</v>
      </c>
      <c r="AH599" t="str">
        <f t="shared" si="138"/>
        <v>Repeat Customer</v>
      </c>
      <c r="AI599" t="str">
        <f t="shared" si="139"/>
        <v>Slow (6+ days)</v>
      </c>
    </row>
    <row r="600" spans="1:35" ht="15" customHeight="1" x14ac:dyDescent="0.3">
      <c r="A600">
        <v>599</v>
      </c>
      <c r="B600" t="s">
        <v>2184</v>
      </c>
      <c r="C600" s="12">
        <v>42565</v>
      </c>
      <c r="D600" s="12">
        <v>42567</v>
      </c>
      <c r="E600" t="s">
        <v>371</v>
      </c>
      <c r="F600" t="s">
        <v>2185</v>
      </c>
      <c r="G600" t="s">
        <v>2186</v>
      </c>
      <c r="H600" t="s">
        <v>209</v>
      </c>
      <c r="I600" t="s">
        <v>210</v>
      </c>
      <c r="J600" t="s">
        <v>329</v>
      </c>
      <c r="K600" t="s">
        <v>330</v>
      </c>
      <c r="L600">
        <v>19134</v>
      </c>
      <c r="M600" t="s">
        <v>331</v>
      </c>
      <c r="N600" t="s">
        <v>2187</v>
      </c>
      <c r="O600" t="s">
        <v>229</v>
      </c>
      <c r="P600" t="s">
        <v>762</v>
      </c>
      <c r="Q600" t="s">
        <v>2188</v>
      </c>
      <c r="R600" s="13">
        <v>11.632</v>
      </c>
      <c r="S600">
        <v>2</v>
      </c>
      <c r="T600" s="14">
        <v>0.2</v>
      </c>
      <c r="U600" s="13">
        <v>1.0178</v>
      </c>
      <c r="V600">
        <f t="shared" si="126"/>
        <v>2016</v>
      </c>
      <c r="W600" t="str">
        <f t="shared" si="127"/>
        <v>Jul</v>
      </c>
      <c r="X600" t="str">
        <f t="shared" si="128"/>
        <v>Q3</v>
      </c>
      <c r="Y600" t="str">
        <f t="shared" si="129"/>
        <v>Thu</v>
      </c>
      <c r="Z600" s="16">
        <f t="shared" si="130"/>
        <v>2</v>
      </c>
      <c r="AA600" s="13">
        <f t="shared" si="131"/>
        <v>5.8159999999999998</v>
      </c>
      <c r="AB600" s="14">
        <f t="shared" si="132"/>
        <v>8.7500000000000008E-2</v>
      </c>
      <c r="AC600" t="str">
        <f t="shared" si="133"/>
        <v>Low (1-20%)</v>
      </c>
      <c r="AD600" t="str">
        <f t="shared" si="134"/>
        <v>Low (&lt;$50)</v>
      </c>
      <c r="AE600" t="str">
        <f t="shared" si="135"/>
        <v>Small (1-2 units)</v>
      </c>
      <c r="AF600" t="str">
        <f t="shared" si="136"/>
        <v>Profitable</v>
      </c>
      <c r="AG600" t="str">
        <f t="shared" si="137"/>
        <v>Low Margin</v>
      </c>
      <c r="AH600" t="str">
        <f t="shared" si="138"/>
        <v>Single Purchase</v>
      </c>
      <c r="AI600" t="str">
        <f t="shared" si="139"/>
        <v>Fast (&lt;=2 days)</v>
      </c>
    </row>
    <row r="601" spans="1:35" ht="15" customHeight="1" x14ac:dyDescent="0.3">
      <c r="A601">
        <v>600</v>
      </c>
      <c r="B601" t="s">
        <v>2189</v>
      </c>
      <c r="C601" s="12">
        <v>42567</v>
      </c>
      <c r="D601" s="12">
        <v>42572</v>
      </c>
      <c r="E601" t="s">
        <v>233</v>
      </c>
      <c r="F601" t="s">
        <v>2190</v>
      </c>
      <c r="G601" t="s">
        <v>2191</v>
      </c>
      <c r="H601" t="s">
        <v>209</v>
      </c>
      <c r="I601" t="s">
        <v>210</v>
      </c>
      <c r="J601" t="s">
        <v>329</v>
      </c>
      <c r="K601" t="s">
        <v>330</v>
      </c>
      <c r="L601">
        <v>19120</v>
      </c>
      <c r="M601" t="s">
        <v>331</v>
      </c>
      <c r="N601" t="s">
        <v>2192</v>
      </c>
      <c r="O601" t="s">
        <v>254</v>
      </c>
      <c r="P601" t="s">
        <v>255</v>
      </c>
      <c r="Q601" t="s">
        <v>2193</v>
      </c>
      <c r="R601" s="13">
        <v>143.982</v>
      </c>
      <c r="S601">
        <v>3</v>
      </c>
      <c r="T601" s="14">
        <v>0.4</v>
      </c>
      <c r="U601" s="13">
        <v>-28.796399999999998</v>
      </c>
      <c r="V601">
        <f t="shared" si="126"/>
        <v>2016</v>
      </c>
      <c r="W601" t="str">
        <f t="shared" si="127"/>
        <v>Jul</v>
      </c>
      <c r="X601" t="str">
        <f t="shared" si="128"/>
        <v>Q3</v>
      </c>
      <c r="Y601" t="str">
        <f t="shared" si="129"/>
        <v>Sat</v>
      </c>
      <c r="Z601" s="16">
        <f t="shared" si="130"/>
        <v>5</v>
      </c>
      <c r="AA601" s="13">
        <f t="shared" si="131"/>
        <v>47.994</v>
      </c>
      <c r="AB601" s="14">
        <f t="shared" si="132"/>
        <v>-0.19999999999999998</v>
      </c>
      <c r="AC601" t="str">
        <f t="shared" si="133"/>
        <v>Medium (21-40%)</v>
      </c>
      <c r="AD601" t="str">
        <f t="shared" si="134"/>
        <v>Medium ($50-$200)</v>
      </c>
      <c r="AE601" t="str">
        <f t="shared" si="135"/>
        <v>Medium (3-5 units)</v>
      </c>
      <c r="AF601" t="str">
        <f t="shared" si="136"/>
        <v>Loss-Making</v>
      </c>
      <c r="AG601" t="str">
        <f t="shared" si="137"/>
        <v>Underperforming</v>
      </c>
      <c r="AH601" t="str">
        <f t="shared" si="138"/>
        <v>Repeat Customer</v>
      </c>
      <c r="AI601" t="str">
        <f t="shared" si="139"/>
        <v>Standard (3-5 days)</v>
      </c>
    </row>
    <row r="602" spans="1:35" ht="15" customHeight="1" x14ac:dyDescent="0.3">
      <c r="A602">
        <v>601</v>
      </c>
      <c r="B602" t="s">
        <v>2189</v>
      </c>
      <c r="C602" s="12">
        <v>42567</v>
      </c>
      <c r="D602" s="12">
        <v>42572</v>
      </c>
      <c r="E602" t="s">
        <v>233</v>
      </c>
      <c r="F602" t="s">
        <v>2190</v>
      </c>
      <c r="G602" t="s">
        <v>2191</v>
      </c>
      <c r="H602" t="s">
        <v>209</v>
      </c>
      <c r="I602" t="s">
        <v>210</v>
      </c>
      <c r="J602" t="s">
        <v>329</v>
      </c>
      <c r="K602" t="s">
        <v>330</v>
      </c>
      <c r="L602">
        <v>19120</v>
      </c>
      <c r="M602" t="s">
        <v>331</v>
      </c>
      <c r="N602" t="s">
        <v>2194</v>
      </c>
      <c r="O602" t="s">
        <v>254</v>
      </c>
      <c r="P602" t="s">
        <v>255</v>
      </c>
      <c r="Q602" t="s">
        <v>2195</v>
      </c>
      <c r="R602" s="13">
        <v>494.37599999999998</v>
      </c>
      <c r="S602">
        <v>4</v>
      </c>
      <c r="T602" s="14">
        <v>0.4</v>
      </c>
      <c r="U602" s="13">
        <v>-115.3544</v>
      </c>
      <c r="V602">
        <f t="shared" si="126"/>
        <v>2016</v>
      </c>
      <c r="W602" t="str">
        <f t="shared" si="127"/>
        <v>Jul</v>
      </c>
      <c r="X602" t="str">
        <f t="shared" si="128"/>
        <v>Q3</v>
      </c>
      <c r="Y602" t="str">
        <f t="shared" si="129"/>
        <v>Sat</v>
      </c>
      <c r="Z602" s="16">
        <f t="shared" si="130"/>
        <v>5</v>
      </c>
      <c r="AA602" s="13">
        <f t="shared" si="131"/>
        <v>123.59399999999999</v>
      </c>
      <c r="AB602" s="14">
        <f t="shared" si="132"/>
        <v>-0.23333333333333334</v>
      </c>
      <c r="AC602" t="str">
        <f t="shared" si="133"/>
        <v>Medium (21-40%)</v>
      </c>
      <c r="AD602" t="str">
        <f t="shared" si="134"/>
        <v>High ($200-$500)</v>
      </c>
      <c r="AE602" t="str">
        <f t="shared" si="135"/>
        <v>Medium (3-5 units)</v>
      </c>
      <c r="AF602" t="str">
        <f t="shared" si="136"/>
        <v>Loss-Making</v>
      </c>
      <c r="AG602" t="str">
        <f t="shared" si="137"/>
        <v>Underperforming</v>
      </c>
      <c r="AH602" t="str">
        <f t="shared" si="138"/>
        <v>Repeat Customer</v>
      </c>
      <c r="AI602" t="str">
        <f t="shared" si="139"/>
        <v>Standard (3-5 days)</v>
      </c>
    </row>
    <row r="603" spans="1:35" ht="15" customHeight="1" x14ac:dyDescent="0.3">
      <c r="A603">
        <v>602</v>
      </c>
      <c r="B603" t="s">
        <v>2189</v>
      </c>
      <c r="C603" s="12">
        <v>42567</v>
      </c>
      <c r="D603" s="12">
        <v>42572</v>
      </c>
      <c r="E603" t="s">
        <v>233</v>
      </c>
      <c r="F603" t="s">
        <v>2190</v>
      </c>
      <c r="G603" t="s">
        <v>2191</v>
      </c>
      <c r="H603" t="s">
        <v>209</v>
      </c>
      <c r="I603" t="s">
        <v>210</v>
      </c>
      <c r="J603" t="s">
        <v>329</v>
      </c>
      <c r="K603" t="s">
        <v>330</v>
      </c>
      <c r="L603">
        <v>19120</v>
      </c>
      <c r="M603" t="s">
        <v>331</v>
      </c>
      <c r="N603" t="s">
        <v>2137</v>
      </c>
      <c r="O603" t="s">
        <v>229</v>
      </c>
      <c r="P603" t="s">
        <v>762</v>
      </c>
      <c r="Q603" t="s">
        <v>2138</v>
      </c>
      <c r="R603" s="13">
        <v>5.84</v>
      </c>
      <c r="S603">
        <v>2</v>
      </c>
      <c r="T603" s="14">
        <v>0.2</v>
      </c>
      <c r="U603" s="13">
        <v>0.73</v>
      </c>
      <c r="V603">
        <f t="shared" si="126"/>
        <v>2016</v>
      </c>
      <c r="W603" t="str">
        <f t="shared" si="127"/>
        <v>Jul</v>
      </c>
      <c r="X603" t="str">
        <f t="shared" si="128"/>
        <v>Q3</v>
      </c>
      <c r="Y603" t="str">
        <f t="shared" si="129"/>
        <v>Sat</v>
      </c>
      <c r="Z603" s="16">
        <f t="shared" si="130"/>
        <v>5</v>
      </c>
      <c r="AA603" s="13">
        <f t="shared" si="131"/>
        <v>2.92</v>
      </c>
      <c r="AB603" s="14">
        <f t="shared" si="132"/>
        <v>0.125</v>
      </c>
      <c r="AC603" t="str">
        <f t="shared" si="133"/>
        <v>Low (1-20%)</v>
      </c>
      <c r="AD603" t="str">
        <f t="shared" si="134"/>
        <v>Low (&lt;$50)</v>
      </c>
      <c r="AE603" t="str">
        <f t="shared" si="135"/>
        <v>Small (1-2 units)</v>
      </c>
      <c r="AF603" t="str">
        <f t="shared" si="136"/>
        <v>Profitable</v>
      </c>
      <c r="AG603" t="str">
        <f t="shared" si="137"/>
        <v>Healthy Margin</v>
      </c>
      <c r="AH603" t="str">
        <f t="shared" si="138"/>
        <v>Repeat Customer</v>
      </c>
      <c r="AI603" t="str">
        <f t="shared" si="139"/>
        <v>Standard (3-5 days)</v>
      </c>
    </row>
    <row r="604" spans="1:35" ht="15" customHeight="1" x14ac:dyDescent="0.3">
      <c r="A604">
        <v>603</v>
      </c>
      <c r="B604" t="s">
        <v>2196</v>
      </c>
      <c r="C604" s="12">
        <v>41713</v>
      </c>
      <c r="D604" s="12">
        <v>41717</v>
      </c>
      <c r="E604" t="s">
        <v>233</v>
      </c>
      <c r="F604" t="s">
        <v>2197</v>
      </c>
      <c r="G604" t="s">
        <v>2198</v>
      </c>
      <c r="H604" t="s">
        <v>209</v>
      </c>
      <c r="I604" t="s">
        <v>210</v>
      </c>
      <c r="J604" t="s">
        <v>1085</v>
      </c>
      <c r="K604" t="s">
        <v>237</v>
      </c>
      <c r="L604">
        <v>33614</v>
      </c>
      <c r="M604" t="s">
        <v>213</v>
      </c>
      <c r="N604" t="s">
        <v>2199</v>
      </c>
      <c r="O604" t="s">
        <v>229</v>
      </c>
      <c r="P604" t="s">
        <v>242</v>
      </c>
      <c r="Q604" t="s">
        <v>2200</v>
      </c>
      <c r="R604" s="13">
        <v>142.77600000000001</v>
      </c>
      <c r="S604">
        <v>1</v>
      </c>
      <c r="T604" s="14">
        <v>0.2</v>
      </c>
      <c r="U604" s="13">
        <v>17.847000000000001</v>
      </c>
      <c r="V604">
        <f t="shared" si="126"/>
        <v>2014</v>
      </c>
      <c r="W604" t="str">
        <f t="shared" si="127"/>
        <v>Mar</v>
      </c>
      <c r="X604" t="str">
        <f t="shared" si="128"/>
        <v>Q1</v>
      </c>
      <c r="Y604" t="str">
        <f t="shared" si="129"/>
        <v>Sat</v>
      </c>
      <c r="Z604" s="16">
        <f t="shared" si="130"/>
        <v>4</v>
      </c>
      <c r="AA604" s="13">
        <f t="shared" si="131"/>
        <v>142.77600000000001</v>
      </c>
      <c r="AB604" s="14">
        <f t="shared" si="132"/>
        <v>0.125</v>
      </c>
      <c r="AC604" t="str">
        <f t="shared" si="133"/>
        <v>Low (1-20%)</v>
      </c>
      <c r="AD604" t="str">
        <f t="shared" si="134"/>
        <v>Medium ($50-$200)</v>
      </c>
      <c r="AE604" t="str">
        <f t="shared" si="135"/>
        <v>Small (1-2 units)</v>
      </c>
      <c r="AF604" t="str">
        <f t="shared" si="136"/>
        <v>Profitable</v>
      </c>
      <c r="AG604" t="str">
        <f t="shared" si="137"/>
        <v>Healthy Margin</v>
      </c>
      <c r="AH604" t="str">
        <f t="shared" si="138"/>
        <v>Repeat Customer</v>
      </c>
      <c r="AI604" t="str">
        <f t="shared" si="139"/>
        <v>Standard (3-5 days)</v>
      </c>
    </row>
    <row r="605" spans="1:35" ht="15" customHeight="1" x14ac:dyDescent="0.3">
      <c r="A605">
        <v>604</v>
      </c>
      <c r="B605" t="s">
        <v>2196</v>
      </c>
      <c r="C605" s="12">
        <v>41713</v>
      </c>
      <c r="D605" s="12">
        <v>41717</v>
      </c>
      <c r="E605" t="s">
        <v>233</v>
      </c>
      <c r="F605" t="s">
        <v>2197</v>
      </c>
      <c r="G605" t="s">
        <v>2198</v>
      </c>
      <c r="H605" t="s">
        <v>209</v>
      </c>
      <c r="I605" t="s">
        <v>210</v>
      </c>
      <c r="J605" t="s">
        <v>1085</v>
      </c>
      <c r="K605" t="s">
        <v>237</v>
      </c>
      <c r="L605">
        <v>33614</v>
      </c>
      <c r="M605" t="s">
        <v>213</v>
      </c>
      <c r="N605" t="s">
        <v>1324</v>
      </c>
      <c r="O605" t="s">
        <v>215</v>
      </c>
      <c r="P605" t="s">
        <v>248</v>
      </c>
      <c r="Q605" t="s">
        <v>1325</v>
      </c>
      <c r="R605" s="13">
        <v>45.695999999999998</v>
      </c>
      <c r="S605">
        <v>3</v>
      </c>
      <c r="T605" s="14">
        <v>0.2</v>
      </c>
      <c r="U605" s="13">
        <v>5.1407999999999898</v>
      </c>
      <c r="V605">
        <f t="shared" si="126"/>
        <v>2014</v>
      </c>
      <c r="W605" t="str">
        <f t="shared" si="127"/>
        <v>Mar</v>
      </c>
      <c r="X605" t="str">
        <f t="shared" si="128"/>
        <v>Q1</v>
      </c>
      <c r="Y605" t="str">
        <f t="shared" si="129"/>
        <v>Sat</v>
      </c>
      <c r="Z605" s="16">
        <f t="shared" si="130"/>
        <v>4</v>
      </c>
      <c r="AA605" s="13">
        <f t="shared" si="131"/>
        <v>15.231999999999999</v>
      </c>
      <c r="AB605" s="14">
        <f t="shared" si="132"/>
        <v>0.11249999999999978</v>
      </c>
      <c r="AC605" t="str">
        <f t="shared" si="133"/>
        <v>Low (1-20%)</v>
      </c>
      <c r="AD605" t="str">
        <f t="shared" si="134"/>
        <v>Low (&lt;$50)</v>
      </c>
      <c r="AE605" t="str">
        <f t="shared" si="135"/>
        <v>Medium (3-5 units)</v>
      </c>
      <c r="AF605" t="str">
        <f t="shared" si="136"/>
        <v>Profitable</v>
      </c>
      <c r="AG605" t="str">
        <f t="shared" si="137"/>
        <v>Healthy Margin</v>
      </c>
      <c r="AH605" t="str">
        <f t="shared" si="138"/>
        <v>Repeat Customer</v>
      </c>
      <c r="AI605" t="str">
        <f t="shared" si="139"/>
        <v>Standard (3-5 days)</v>
      </c>
    </row>
    <row r="606" spans="1:35" ht="15" customHeight="1" x14ac:dyDescent="0.3">
      <c r="A606">
        <v>605</v>
      </c>
      <c r="B606" t="s">
        <v>2196</v>
      </c>
      <c r="C606" s="12">
        <v>41713</v>
      </c>
      <c r="D606" s="12">
        <v>41717</v>
      </c>
      <c r="E606" t="s">
        <v>233</v>
      </c>
      <c r="F606" t="s">
        <v>2197</v>
      </c>
      <c r="G606" t="s">
        <v>2198</v>
      </c>
      <c r="H606" t="s">
        <v>209</v>
      </c>
      <c r="I606" t="s">
        <v>210</v>
      </c>
      <c r="J606" t="s">
        <v>1085</v>
      </c>
      <c r="K606" t="s">
        <v>237</v>
      </c>
      <c r="L606">
        <v>33614</v>
      </c>
      <c r="M606" t="s">
        <v>213</v>
      </c>
      <c r="N606" t="s">
        <v>1710</v>
      </c>
      <c r="O606" t="s">
        <v>229</v>
      </c>
      <c r="P606" t="s">
        <v>258</v>
      </c>
      <c r="Q606" t="s">
        <v>1711</v>
      </c>
      <c r="R606" s="13">
        <v>7.218</v>
      </c>
      <c r="S606">
        <v>3</v>
      </c>
      <c r="T606" s="14">
        <v>0.7</v>
      </c>
      <c r="U606" s="13">
        <v>-5.5338000000000003</v>
      </c>
      <c r="V606">
        <f t="shared" si="126"/>
        <v>2014</v>
      </c>
      <c r="W606" t="str">
        <f t="shared" si="127"/>
        <v>Mar</v>
      </c>
      <c r="X606" t="str">
        <f t="shared" si="128"/>
        <v>Q1</v>
      </c>
      <c r="Y606" t="str">
        <f t="shared" si="129"/>
        <v>Sat</v>
      </c>
      <c r="Z606" s="16">
        <f t="shared" si="130"/>
        <v>4</v>
      </c>
      <c r="AA606" s="13">
        <f t="shared" si="131"/>
        <v>2.4060000000000001</v>
      </c>
      <c r="AB606" s="14">
        <f t="shared" si="132"/>
        <v>-0.76666666666666672</v>
      </c>
      <c r="AC606" t="str">
        <f t="shared" si="133"/>
        <v>High (40%+)</v>
      </c>
      <c r="AD606" t="str">
        <f t="shared" si="134"/>
        <v>Low (&lt;$50)</v>
      </c>
      <c r="AE606" t="str">
        <f t="shared" si="135"/>
        <v>Medium (3-5 units)</v>
      </c>
      <c r="AF606" t="str">
        <f t="shared" si="136"/>
        <v>Loss-Making</v>
      </c>
      <c r="AG606" t="str">
        <f t="shared" si="137"/>
        <v>Underperforming</v>
      </c>
      <c r="AH606" t="str">
        <f t="shared" si="138"/>
        <v>Repeat Customer</v>
      </c>
      <c r="AI606" t="str">
        <f t="shared" si="139"/>
        <v>Standard (3-5 days)</v>
      </c>
    </row>
    <row r="607" spans="1:35" ht="15" customHeight="1" x14ac:dyDescent="0.3">
      <c r="A607">
        <v>606</v>
      </c>
      <c r="B607" t="s">
        <v>2196</v>
      </c>
      <c r="C607" s="12">
        <v>41713</v>
      </c>
      <c r="D607" s="12">
        <v>41717</v>
      </c>
      <c r="E607" t="s">
        <v>233</v>
      </c>
      <c r="F607" t="s">
        <v>2197</v>
      </c>
      <c r="G607" t="s">
        <v>2198</v>
      </c>
      <c r="H607" t="s">
        <v>209</v>
      </c>
      <c r="I607" t="s">
        <v>210</v>
      </c>
      <c r="J607" t="s">
        <v>1085</v>
      </c>
      <c r="K607" t="s">
        <v>237</v>
      </c>
      <c r="L607">
        <v>33614</v>
      </c>
      <c r="M607" t="s">
        <v>213</v>
      </c>
      <c r="N607" t="s">
        <v>1682</v>
      </c>
      <c r="O607" t="s">
        <v>229</v>
      </c>
      <c r="P607" t="s">
        <v>258</v>
      </c>
      <c r="Q607" t="s">
        <v>1683</v>
      </c>
      <c r="R607" s="13">
        <v>43.188000000000002</v>
      </c>
      <c r="S607">
        <v>4</v>
      </c>
      <c r="T607" s="14">
        <v>0.7</v>
      </c>
      <c r="U607" s="13">
        <v>-31.671199999999999</v>
      </c>
      <c r="V607">
        <f t="shared" si="126"/>
        <v>2014</v>
      </c>
      <c r="W607" t="str">
        <f t="shared" si="127"/>
        <v>Mar</v>
      </c>
      <c r="X607" t="str">
        <f t="shared" si="128"/>
        <v>Q1</v>
      </c>
      <c r="Y607" t="str">
        <f t="shared" si="129"/>
        <v>Sat</v>
      </c>
      <c r="Z607" s="16">
        <f t="shared" si="130"/>
        <v>4</v>
      </c>
      <c r="AA607" s="13">
        <f t="shared" si="131"/>
        <v>10.797000000000001</v>
      </c>
      <c r="AB607" s="14">
        <f t="shared" si="132"/>
        <v>-0.73333333333333328</v>
      </c>
      <c r="AC607" t="str">
        <f t="shared" si="133"/>
        <v>High (40%+)</v>
      </c>
      <c r="AD607" t="str">
        <f t="shared" si="134"/>
        <v>Low (&lt;$50)</v>
      </c>
      <c r="AE607" t="str">
        <f t="shared" si="135"/>
        <v>Medium (3-5 units)</v>
      </c>
      <c r="AF607" t="str">
        <f t="shared" si="136"/>
        <v>Loss-Making</v>
      </c>
      <c r="AG607" t="str">
        <f t="shared" si="137"/>
        <v>Underperforming</v>
      </c>
      <c r="AH607" t="str">
        <f t="shared" si="138"/>
        <v>Repeat Customer</v>
      </c>
      <c r="AI607" t="str">
        <f t="shared" si="139"/>
        <v>Standard (3-5 days)</v>
      </c>
    </row>
    <row r="608" spans="1:35" ht="15" customHeight="1" x14ac:dyDescent="0.3">
      <c r="A608">
        <v>607</v>
      </c>
      <c r="B608" t="s">
        <v>2196</v>
      </c>
      <c r="C608" s="12">
        <v>41713</v>
      </c>
      <c r="D608" s="12">
        <v>41717</v>
      </c>
      <c r="E608" t="s">
        <v>233</v>
      </c>
      <c r="F608" t="s">
        <v>2197</v>
      </c>
      <c r="G608" t="s">
        <v>2198</v>
      </c>
      <c r="H608" t="s">
        <v>209</v>
      </c>
      <c r="I608" t="s">
        <v>210</v>
      </c>
      <c r="J608" t="s">
        <v>1085</v>
      </c>
      <c r="K608" t="s">
        <v>237</v>
      </c>
      <c r="L608">
        <v>33614</v>
      </c>
      <c r="M608" t="s">
        <v>213</v>
      </c>
      <c r="N608" t="s">
        <v>2201</v>
      </c>
      <c r="O608" t="s">
        <v>229</v>
      </c>
      <c r="P608" t="s">
        <v>273</v>
      </c>
      <c r="Q608" t="s">
        <v>2202</v>
      </c>
      <c r="R608" s="13">
        <v>131.904</v>
      </c>
      <c r="S608">
        <v>3</v>
      </c>
      <c r="T608" s="14">
        <v>0.2</v>
      </c>
      <c r="U608" s="13">
        <v>47.815199999999997</v>
      </c>
      <c r="V608">
        <f t="shared" si="126"/>
        <v>2014</v>
      </c>
      <c r="W608" t="str">
        <f t="shared" si="127"/>
        <v>Mar</v>
      </c>
      <c r="X608" t="str">
        <f t="shared" si="128"/>
        <v>Q1</v>
      </c>
      <c r="Y608" t="str">
        <f t="shared" si="129"/>
        <v>Sat</v>
      </c>
      <c r="Z608" s="16">
        <f t="shared" si="130"/>
        <v>4</v>
      </c>
      <c r="AA608" s="13">
        <f t="shared" si="131"/>
        <v>43.967999999999996</v>
      </c>
      <c r="AB608" s="14">
        <f t="shared" si="132"/>
        <v>0.36249999999999999</v>
      </c>
      <c r="AC608" t="str">
        <f t="shared" si="133"/>
        <v>Low (1-20%)</v>
      </c>
      <c r="AD608" t="str">
        <f t="shared" si="134"/>
        <v>Medium ($50-$200)</v>
      </c>
      <c r="AE608" t="str">
        <f t="shared" si="135"/>
        <v>Medium (3-5 units)</v>
      </c>
      <c r="AF608" t="str">
        <f t="shared" si="136"/>
        <v>Profitable</v>
      </c>
      <c r="AG608" t="str">
        <f t="shared" si="137"/>
        <v>High Margin</v>
      </c>
      <c r="AH608" t="str">
        <f t="shared" si="138"/>
        <v>Repeat Customer</v>
      </c>
      <c r="AI608" t="str">
        <f t="shared" si="139"/>
        <v>Standard (3-5 days)</v>
      </c>
    </row>
    <row r="609" spans="1:35" ht="15" customHeight="1" x14ac:dyDescent="0.3">
      <c r="A609">
        <v>608</v>
      </c>
      <c r="B609" t="s">
        <v>2203</v>
      </c>
      <c r="C609" s="12">
        <v>41782</v>
      </c>
      <c r="D609" s="12">
        <v>41786</v>
      </c>
      <c r="E609" t="s">
        <v>233</v>
      </c>
      <c r="F609" t="s">
        <v>2204</v>
      </c>
      <c r="G609" t="s">
        <v>2205</v>
      </c>
      <c r="H609" t="s">
        <v>209</v>
      </c>
      <c r="I609" t="s">
        <v>210</v>
      </c>
      <c r="J609" t="s">
        <v>329</v>
      </c>
      <c r="K609" t="s">
        <v>330</v>
      </c>
      <c r="L609">
        <v>19134</v>
      </c>
      <c r="M609" t="s">
        <v>331</v>
      </c>
      <c r="N609" t="s">
        <v>2206</v>
      </c>
      <c r="O609" t="s">
        <v>229</v>
      </c>
      <c r="P609" t="s">
        <v>258</v>
      </c>
      <c r="Q609" t="s">
        <v>2207</v>
      </c>
      <c r="R609" s="13">
        <v>3.282</v>
      </c>
      <c r="S609">
        <v>2</v>
      </c>
      <c r="T609" s="14">
        <v>0.7</v>
      </c>
      <c r="U609" s="13">
        <v>-2.6255999999999999</v>
      </c>
      <c r="V609">
        <f t="shared" si="126"/>
        <v>2014</v>
      </c>
      <c r="W609" t="str">
        <f t="shared" si="127"/>
        <v>May</v>
      </c>
      <c r="X609" t="str">
        <f t="shared" si="128"/>
        <v>Q2</v>
      </c>
      <c r="Y609" t="str">
        <f t="shared" si="129"/>
        <v>Fri</v>
      </c>
      <c r="Z609" s="16">
        <f t="shared" si="130"/>
        <v>4</v>
      </c>
      <c r="AA609" s="13">
        <f t="shared" si="131"/>
        <v>1.641</v>
      </c>
      <c r="AB609" s="14">
        <f t="shared" si="132"/>
        <v>-0.79999999999999993</v>
      </c>
      <c r="AC609" t="str">
        <f t="shared" si="133"/>
        <v>High (40%+)</v>
      </c>
      <c r="AD609" t="str">
        <f t="shared" si="134"/>
        <v>Low (&lt;$50)</v>
      </c>
      <c r="AE609" t="str">
        <f t="shared" si="135"/>
        <v>Small (1-2 units)</v>
      </c>
      <c r="AF609" t="str">
        <f t="shared" si="136"/>
        <v>Loss-Making</v>
      </c>
      <c r="AG609" t="str">
        <f t="shared" si="137"/>
        <v>Underperforming</v>
      </c>
      <c r="AH609" t="str">
        <f t="shared" si="138"/>
        <v>Repeat Customer</v>
      </c>
      <c r="AI609" t="str">
        <f t="shared" si="139"/>
        <v>Standard (3-5 days)</v>
      </c>
    </row>
    <row r="610" spans="1:35" ht="15" customHeight="1" x14ac:dyDescent="0.3">
      <c r="A610">
        <v>609</v>
      </c>
      <c r="B610" t="s">
        <v>2203</v>
      </c>
      <c r="C610" s="12">
        <v>41782</v>
      </c>
      <c r="D610" s="12">
        <v>41786</v>
      </c>
      <c r="E610" t="s">
        <v>233</v>
      </c>
      <c r="F610" t="s">
        <v>2204</v>
      </c>
      <c r="G610" t="s">
        <v>2205</v>
      </c>
      <c r="H610" t="s">
        <v>209</v>
      </c>
      <c r="I610" t="s">
        <v>210</v>
      </c>
      <c r="J610" t="s">
        <v>329</v>
      </c>
      <c r="K610" t="s">
        <v>330</v>
      </c>
      <c r="L610">
        <v>19134</v>
      </c>
      <c r="M610" t="s">
        <v>331</v>
      </c>
      <c r="N610" t="s">
        <v>1946</v>
      </c>
      <c r="O610" t="s">
        <v>229</v>
      </c>
      <c r="P610" t="s">
        <v>251</v>
      </c>
      <c r="Q610" t="s">
        <v>1947</v>
      </c>
      <c r="R610" s="13">
        <v>21.167999999999999</v>
      </c>
      <c r="S610">
        <v>9</v>
      </c>
      <c r="T610" s="14">
        <v>0.2</v>
      </c>
      <c r="U610" s="13">
        <v>2.3814000000000002</v>
      </c>
      <c r="V610">
        <f t="shared" si="126"/>
        <v>2014</v>
      </c>
      <c r="W610" t="str">
        <f t="shared" si="127"/>
        <v>May</v>
      </c>
      <c r="X610" t="str">
        <f t="shared" si="128"/>
        <v>Q2</v>
      </c>
      <c r="Y610" t="str">
        <f t="shared" si="129"/>
        <v>Fri</v>
      </c>
      <c r="Z610" s="16">
        <f t="shared" si="130"/>
        <v>4</v>
      </c>
      <c r="AA610" s="13">
        <f t="shared" si="131"/>
        <v>2.3519999999999999</v>
      </c>
      <c r="AB610" s="14">
        <f t="shared" si="132"/>
        <v>0.11250000000000002</v>
      </c>
      <c r="AC610" t="str">
        <f t="shared" si="133"/>
        <v>Low (1-20%)</v>
      </c>
      <c r="AD610" t="str">
        <f t="shared" si="134"/>
        <v>Low (&lt;$50)</v>
      </c>
      <c r="AE610" t="str">
        <f t="shared" si="135"/>
        <v>Large (6+ units)</v>
      </c>
      <c r="AF610" t="str">
        <f t="shared" si="136"/>
        <v>Profitable</v>
      </c>
      <c r="AG610" t="str">
        <f t="shared" si="137"/>
        <v>Healthy Margin</v>
      </c>
      <c r="AH610" t="str">
        <f t="shared" si="138"/>
        <v>Repeat Customer</v>
      </c>
      <c r="AI610" t="str">
        <f t="shared" si="139"/>
        <v>Standard (3-5 days)</v>
      </c>
    </row>
    <row r="611" spans="1:35" ht="15" customHeight="1" x14ac:dyDescent="0.3">
      <c r="A611">
        <v>610</v>
      </c>
      <c r="B611" t="s">
        <v>2203</v>
      </c>
      <c r="C611" s="12">
        <v>41782</v>
      </c>
      <c r="D611" s="12">
        <v>41786</v>
      </c>
      <c r="E611" t="s">
        <v>233</v>
      </c>
      <c r="F611" t="s">
        <v>2204</v>
      </c>
      <c r="G611" t="s">
        <v>2205</v>
      </c>
      <c r="H611" t="s">
        <v>209</v>
      </c>
      <c r="I611" t="s">
        <v>210</v>
      </c>
      <c r="J611" t="s">
        <v>329</v>
      </c>
      <c r="K611" t="s">
        <v>330</v>
      </c>
      <c r="L611">
        <v>19134</v>
      </c>
      <c r="M611" t="s">
        <v>331</v>
      </c>
      <c r="N611" t="s">
        <v>2208</v>
      </c>
      <c r="O611" t="s">
        <v>254</v>
      </c>
      <c r="P611" t="s">
        <v>255</v>
      </c>
      <c r="Q611" t="s">
        <v>2209</v>
      </c>
      <c r="R611" s="13">
        <v>55.188000000000002</v>
      </c>
      <c r="S611">
        <v>2</v>
      </c>
      <c r="T611" s="14">
        <v>0.4</v>
      </c>
      <c r="U611" s="13">
        <v>-10.117800000000001</v>
      </c>
      <c r="V611">
        <f t="shared" si="126"/>
        <v>2014</v>
      </c>
      <c r="W611" t="str">
        <f t="shared" si="127"/>
        <v>May</v>
      </c>
      <c r="X611" t="str">
        <f t="shared" si="128"/>
        <v>Q2</v>
      </c>
      <c r="Y611" t="str">
        <f t="shared" si="129"/>
        <v>Fri</v>
      </c>
      <c r="Z611" s="16">
        <f t="shared" si="130"/>
        <v>4</v>
      </c>
      <c r="AA611" s="13">
        <f t="shared" si="131"/>
        <v>27.594000000000001</v>
      </c>
      <c r="AB611" s="14">
        <f t="shared" si="132"/>
        <v>-0.18333333333333335</v>
      </c>
      <c r="AC611" t="str">
        <f t="shared" si="133"/>
        <v>Medium (21-40%)</v>
      </c>
      <c r="AD611" t="str">
        <f t="shared" si="134"/>
        <v>Medium ($50-$200)</v>
      </c>
      <c r="AE611" t="str">
        <f t="shared" si="135"/>
        <v>Small (1-2 units)</v>
      </c>
      <c r="AF611" t="str">
        <f t="shared" si="136"/>
        <v>Loss-Making</v>
      </c>
      <c r="AG611" t="str">
        <f t="shared" si="137"/>
        <v>Underperforming</v>
      </c>
      <c r="AH611" t="str">
        <f t="shared" si="138"/>
        <v>Repeat Customer</v>
      </c>
      <c r="AI611" t="str">
        <f t="shared" si="139"/>
        <v>Standard (3-5 days)</v>
      </c>
    </row>
    <row r="612" spans="1:35" ht="15" customHeight="1" x14ac:dyDescent="0.3">
      <c r="A612">
        <v>611</v>
      </c>
      <c r="B612" t="s">
        <v>2210</v>
      </c>
      <c r="C612" s="12">
        <v>42488</v>
      </c>
      <c r="D612" s="12">
        <v>42491</v>
      </c>
      <c r="E612" t="s">
        <v>371</v>
      </c>
      <c r="F612" t="s">
        <v>2211</v>
      </c>
      <c r="G612" t="s">
        <v>2212</v>
      </c>
      <c r="H612" t="s">
        <v>224</v>
      </c>
      <c r="I612" t="s">
        <v>210</v>
      </c>
      <c r="J612" t="s">
        <v>1000</v>
      </c>
      <c r="K612" t="s">
        <v>287</v>
      </c>
      <c r="L612">
        <v>75217</v>
      </c>
      <c r="M612" t="s">
        <v>288</v>
      </c>
      <c r="N612" t="s">
        <v>1565</v>
      </c>
      <c r="O612" t="s">
        <v>254</v>
      </c>
      <c r="P612" t="s">
        <v>255</v>
      </c>
      <c r="Q612" t="s">
        <v>1566</v>
      </c>
      <c r="R612" s="13">
        <v>369.57600000000002</v>
      </c>
      <c r="S612">
        <v>3</v>
      </c>
      <c r="T612" s="14">
        <v>0.2</v>
      </c>
      <c r="U612" s="13">
        <v>41.577300000000001</v>
      </c>
      <c r="V612">
        <f t="shared" si="126"/>
        <v>2016</v>
      </c>
      <c r="W612" t="str">
        <f t="shared" si="127"/>
        <v>Apr</v>
      </c>
      <c r="X612" t="str">
        <f t="shared" si="128"/>
        <v>Q2</v>
      </c>
      <c r="Y612" t="str">
        <f t="shared" si="129"/>
        <v>Thu</v>
      </c>
      <c r="Z612" s="16">
        <f t="shared" si="130"/>
        <v>3</v>
      </c>
      <c r="AA612" s="13">
        <f t="shared" si="131"/>
        <v>123.19200000000001</v>
      </c>
      <c r="AB612" s="14">
        <f t="shared" si="132"/>
        <v>0.1125</v>
      </c>
      <c r="AC612" t="str">
        <f t="shared" si="133"/>
        <v>Low (1-20%)</v>
      </c>
      <c r="AD612" t="str">
        <f t="shared" si="134"/>
        <v>High ($200-$500)</v>
      </c>
      <c r="AE612" t="str">
        <f t="shared" si="135"/>
        <v>Medium (3-5 units)</v>
      </c>
      <c r="AF612" t="str">
        <f t="shared" si="136"/>
        <v>Profitable</v>
      </c>
      <c r="AG612" t="str">
        <f t="shared" si="137"/>
        <v>Healthy Margin</v>
      </c>
      <c r="AH612" t="str">
        <f t="shared" si="138"/>
        <v>Repeat Customer</v>
      </c>
      <c r="AI612" t="str">
        <f t="shared" si="139"/>
        <v>Standard (3-5 days)</v>
      </c>
    </row>
    <row r="613" spans="1:35" ht="15" customHeight="1" x14ac:dyDescent="0.3">
      <c r="A613">
        <v>612</v>
      </c>
      <c r="B613" t="s">
        <v>2210</v>
      </c>
      <c r="C613" s="12">
        <v>42488</v>
      </c>
      <c r="D613" s="12">
        <v>42491</v>
      </c>
      <c r="E613" t="s">
        <v>371</v>
      </c>
      <c r="F613" t="s">
        <v>2211</v>
      </c>
      <c r="G613" t="s">
        <v>2212</v>
      </c>
      <c r="H613" t="s">
        <v>224</v>
      </c>
      <c r="I613" t="s">
        <v>210</v>
      </c>
      <c r="J613" t="s">
        <v>1000</v>
      </c>
      <c r="K613" t="s">
        <v>287</v>
      </c>
      <c r="L613">
        <v>75217</v>
      </c>
      <c r="M613" t="s">
        <v>288</v>
      </c>
      <c r="N613" t="s">
        <v>2213</v>
      </c>
      <c r="O613" t="s">
        <v>229</v>
      </c>
      <c r="P613" t="s">
        <v>230</v>
      </c>
      <c r="Q613" t="s">
        <v>2214</v>
      </c>
      <c r="R613" s="13">
        <v>15.712</v>
      </c>
      <c r="S613">
        <v>4</v>
      </c>
      <c r="T613" s="14">
        <v>0.2</v>
      </c>
      <c r="U613" s="13">
        <v>5.6955999999999998</v>
      </c>
      <c r="V613">
        <f t="shared" si="126"/>
        <v>2016</v>
      </c>
      <c r="W613" t="str">
        <f t="shared" si="127"/>
        <v>Apr</v>
      </c>
      <c r="X613" t="str">
        <f t="shared" si="128"/>
        <v>Q2</v>
      </c>
      <c r="Y613" t="str">
        <f t="shared" si="129"/>
        <v>Thu</v>
      </c>
      <c r="Z613" s="16">
        <f t="shared" si="130"/>
        <v>3</v>
      </c>
      <c r="AA613" s="13">
        <f t="shared" si="131"/>
        <v>3.9279999999999999</v>
      </c>
      <c r="AB613" s="14">
        <f t="shared" si="132"/>
        <v>0.36249999999999999</v>
      </c>
      <c r="AC613" t="str">
        <f t="shared" si="133"/>
        <v>Low (1-20%)</v>
      </c>
      <c r="AD613" t="str">
        <f t="shared" si="134"/>
        <v>Low (&lt;$50)</v>
      </c>
      <c r="AE613" t="str">
        <f t="shared" si="135"/>
        <v>Medium (3-5 units)</v>
      </c>
      <c r="AF613" t="str">
        <f t="shared" si="136"/>
        <v>Profitable</v>
      </c>
      <c r="AG613" t="str">
        <f t="shared" si="137"/>
        <v>High Margin</v>
      </c>
      <c r="AH613" t="str">
        <f t="shared" si="138"/>
        <v>Repeat Customer</v>
      </c>
      <c r="AI613" t="str">
        <f t="shared" si="139"/>
        <v>Standard (3-5 days)</v>
      </c>
    </row>
    <row r="614" spans="1:35" ht="15" customHeight="1" x14ac:dyDescent="0.3">
      <c r="A614">
        <v>613</v>
      </c>
      <c r="B614" t="s">
        <v>2215</v>
      </c>
      <c r="C614" s="12">
        <v>42624</v>
      </c>
      <c r="D614" s="12">
        <v>42626</v>
      </c>
      <c r="E614" t="s">
        <v>206</v>
      </c>
      <c r="F614" t="s">
        <v>2216</v>
      </c>
      <c r="G614" t="s">
        <v>2217</v>
      </c>
      <c r="H614" t="s">
        <v>224</v>
      </c>
      <c r="I614" t="s">
        <v>210</v>
      </c>
      <c r="J614" t="s">
        <v>329</v>
      </c>
      <c r="K614" t="s">
        <v>330</v>
      </c>
      <c r="L614">
        <v>19143</v>
      </c>
      <c r="M614" t="s">
        <v>331</v>
      </c>
      <c r="N614" t="s">
        <v>2218</v>
      </c>
      <c r="O614" t="s">
        <v>229</v>
      </c>
      <c r="P614" t="s">
        <v>273</v>
      </c>
      <c r="Q614" t="s">
        <v>2219</v>
      </c>
      <c r="R614" s="13">
        <v>8.4480000000000004</v>
      </c>
      <c r="S614">
        <v>2</v>
      </c>
      <c r="T614" s="14">
        <v>0.2</v>
      </c>
      <c r="U614" s="13">
        <v>2.64</v>
      </c>
      <c r="V614">
        <f t="shared" si="126"/>
        <v>2016</v>
      </c>
      <c r="W614" t="str">
        <f t="shared" si="127"/>
        <v>Sep</v>
      </c>
      <c r="X614" t="str">
        <f t="shared" si="128"/>
        <v>Q3</v>
      </c>
      <c r="Y614" t="str">
        <f t="shared" si="129"/>
        <v>Sun</v>
      </c>
      <c r="Z614" s="16">
        <f t="shared" si="130"/>
        <v>2</v>
      </c>
      <c r="AA614" s="13">
        <f t="shared" si="131"/>
        <v>4.2240000000000002</v>
      </c>
      <c r="AB614" s="14">
        <f t="shared" si="132"/>
        <v>0.3125</v>
      </c>
      <c r="AC614" t="str">
        <f t="shared" si="133"/>
        <v>Low (1-20%)</v>
      </c>
      <c r="AD614" t="str">
        <f t="shared" si="134"/>
        <v>Low (&lt;$50)</v>
      </c>
      <c r="AE614" t="str">
        <f t="shared" si="135"/>
        <v>Small (1-2 units)</v>
      </c>
      <c r="AF614" t="str">
        <f t="shared" si="136"/>
        <v>Profitable</v>
      </c>
      <c r="AG614" t="str">
        <f t="shared" si="137"/>
        <v>High Margin</v>
      </c>
      <c r="AH614" t="str">
        <f t="shared" si="138"/>
        <v>Repeat Customer</v>
      </c>
      <c r="AI614" t="str">
        <f t="shared" si="139"/>
        <v>Fast (&lt;=2 days)</v>
      </c>
    </row>
    <row r="615" spans="1:35" ht="15" customHeight="1" x14ac:dyDescent="0.3">
      <c r="A615">
        <v>614</v>
      </c>
      <c r="B615" t="s">
        <v>2215</v>
      </c>
      <c r="C615" s="12">
        <v>42624</v>
      </c>
      <c r="D615" s="12">
        <v>42626</v>
      </c>
      <c r="E615" t="s">
        <v>206</v>
      </c>
      <c r="F615" t="s">
        <v>2216</v>
      </c>
      <c r="G615" t="s">
        <v>2217</v>
      </c>
      <c r="H615" t="s">
        <v>224</v>
      </c>
      <c r="I615" t="s">
        <v>210</v>
      </c>
      <c r="J615" t="s">
        <v>329</v>
      </c>
      <c r="K615" t="s">
        <v>330</v>
      </c>
      <c r="L615">
        <v>19143</v>
      </c>
      <c r="M615" t="s">
        <v>331</v>
      </c>
      <c r="N615" t="s">
        <v>2220</v>
      </c>
      <c r="O615" t="s">
        <v>254</v>
      </c>
      <c r="P615" t="s">
        <v>255</v>
      </c>
      <c r="Q615" t="s">
        <v>2221</v>
      </c>
      <c r="R615" s="13">
        <v>728.94600000000003</v>
      </c>
      <c r="S615">
        <v>9</v>
      </c>
      <c r="T615" s="14">
        <v>0.4</v>
      </c>
      <c r="U615" s="13">
        <v>-157.9383</v>
      </c>
      <c r="V615">
        <f t="shared" si="126"/>
        <v>2016</v>
      </c>
      <c r="W615" t="str">
        <f t="shared" si="127"/>
        <v>Sep</v>
      </c>
      <c r="X615" t="str">
        <f t="shared" si="128"/>
        <v>Q3</v>
      </c>
      <c r="Y615" t="str">
        <f t="shared" si="129"/>
        <v>Sun</v>
      </c>
      <c r="Z615" s="16">
        <f t="shared" si="130"/>
        <v>2</v>
      </c>
      <c r="AA615" s="13">
        <f t="shared" si="131"/>
        <v>80.994</v>
      </c>
      <c r="AB615" s="14">
        <f t="shared" si="132"/>
        <v>-0.21666666666666665</v>
      </c>
      <c r="AC615" t="str">
        <f t="shared" si="133"/>
        <v>Medium (21-40%)</v>
      </c>
      <c r="AD615" t="str">
        <f t="shared" si="134"/>
        <v>Premium ($500+)</v>
      </c>
      <c r="AE615" t="str">
        <f t="shared" si="135"/>
        <v>Large (6+ units)</v>
      </c>
      <c r="AF615" t="str">
        <f t="shared" si="136"/>
        <v>Loss-Making</v>
      </c>
      <c r="AG615" t="str">
        <f t="shared" si="137"/>
        <v>Underperforming</v>
      </c>
      <c r="AH615" t="str">
        <f t="shared" si="138"/>
        <v>Repeat Customer</v>
      </c>
      <c r="AI615" t="str">
        <f t="shared" si="139"/>
        <v>Fast (&lt;=2 days)</v>
      </c>
    </row>
    <row r="616" spans="1:35" ht="15" customHeight="1" x14ac:dyDescent="0.3">
      <c r="A616">
        <v>615</v>
      </c>
      <c r="B616" t="s">
        <v>2222</v>
      </c>
      <c r="C616" s="12">
        <v>43053</v>
      </c>
      <c r="D616" s="12">
        <v>43056</v>
      </c>
      <c r="E616" t="s">
        <v>206</v>
      </c>
      <c r="F616" t="s">
        <v>2223</v>
      </c>
      <c r="G616" t="s">
        <v>2224</v>
      </c>
      <c r="H616" t="s">
        <v>209</v>
      </c>
      <c r="I616" t="s">
        <v>210</v>
      </c>
      <c r="J616" t="s">
        <v>2225</v>
      </c>
      <c r="K616" t="s">
        <v>681</v>
      </c>
      <c r="L616">
        <v>43123</v>
      </c>
      <c r="M616" t="s">
        <v>331</v>
      </c>
      <c r="N616" t="s">
        <v>1109</v>
      </c>
      <c r="O616" t="s">
        <v>254</v>
      </c>
      <c r="P616" t="s">
        <v>255</v>
      </c>
      <c r="Q616" t="s">
        <v>1110</v>
      </c>
      <c r="R616" s="13">
        <v>119.94</v>
      </c>
      <c r="S616">
        <v>10</v>
      </c>
      <c r="T616" s="14">
        <v>0.4</v>
      </c>
      <c r="U616" s="13">
        <v>15.992000000000001</v>
      </c>
      <c r="V616">
        <f t="shared" si="126"/>
        <v>2017</v>
      </c>
      <c r="W616" t="str">
        <f t="shared" si="127"/>
        <v>Nov</v>
      </c>
      <c r="X616" t="str">
        <f t="shared" si="128"/>
        <v>Q4</v>
      </c>
      <c r="Y616" t="str">
        <f t="shared" si="129"/>
        <v>Tue</v>
      </c>
      <c r="Z616" s="16">
        <f t="shared" si="130"/>
        <v>3</v>
      </c>
      <c r="AA616" s="13">
        <f t="shared" si="131"/>
        <v>11.994</v>
      </c>
      <c r="AB616" s="14">
        <f t="shared" si="132"/>
        <v>0.13333333333333333</v>
      </c>
      <c r="AC616" t="str">
        <f t="shared" si="133"/>
        <v>Medium (21-40%)</v>
      </c>
      <c r="AD616" t="str">
        <f t="shared" si="134"/>
        <v>Medium ($50-$200)</v>
      </c>
      <c r="AE616" t="str">
        <f t="shared" si="135"/>
        <v>Large (6+ units)</v>
      </c>
      <c r="AF616" t="str">
        <f t="shared" si="136"/>
        <v>Profitable</v>
      </c>
      <c r="AG616" t="str">
        <f t="shared" si="137"/>
        <v>Healthy Margin</v>
      </c>
      <c r="AH616" t="str">
        <f t="shared" si="138"/>
        <v>Repeat Customer</v>
      </c>
      <c r="AI616" t="str">
        <f t="shared" si="139"/>
        <v>Standard (3-5 days)</v>
      </c>
    </row>
    <row r="617" spans="1:35" ht="15" customHeight="1" x14ac:dyDescent="0.3">
      <c r="A617">
        <v>616</v>
      </c>
      <c r="B617" t="s">
        <v>2222</v>
      </c>
      <c r="C617" s="12">
        <v>43053</v>
      </c>
      <c r="D617" s="12">
        <v>43056</v>
      </c>
      <c r="E617" t="s">
        <v>206</v>
      </c>
      <c r="F617" t="s">
        <v>2223</v>
      </c>
      <c r="G617" t="s">
        <v>2224</v>
      </c>
      <c r="H617" t="s">
        <v>209</v>
      </c>
      <c r="I617" t="s">
        <v>210</v>
      </c>
      <c r="J617" t="s">
        <v>2225</v>
      </c>
      <c r="K617" t="s">
        <v>681</v>
      </c>
      <c r="L617">
        <v>43123</v>
      </c>
      <c r="M617" t="s">
        <v>331</v>
      </c>
      <c r="N617" t="s">
        <v>2226</v>
      </c>
      <c r="O617" t="s">
        <v>229</v>
      </c>
      <c r="P617" t="s">
        <v>258</v>
      </c>
      <c r="Q617" t="s">
        <v>2227</v>
      </c>
      <c r="R617" s="13">
        <v>3.6480000000000001</v>
      </c>
      <c r="S617">
        <v>2</v>
      </c>
      <c r="T617" s="14">
        <v>0.7</v>
      </c>
      <c r="U617" s="13">
        <v>-2.7968000000000002</v>
      </c>
      <c r="V617">
        <f t="shared" si="126"/>
        <v>2017</v>
      </c>
      <c r="W617" t="str">
        <f t="shared" si="127"/>
        <v>Nov</v>
      </c>
      <c r="X617" t="str">
        <f t="shared" si="128"/>
        <v>Q4</v>
      </c>
      <c r="Y617" t="str">
        <f t="shared" si="129"/>
        <v>Tue</v>
      </c>
      <c r="Z617" s="16">
        <f t="shared" si="130"/>
        <v>3</v>
      </c>
      <c r="AA617" s="13">
        <f t="shared" si="131"/>
        <v>1.8240000000000001</v>
      </c>
      <c r="AB617" s="14">
        <f t="shared" si="132"/>
        <v>-0.76666666666666672</v>
      </c>
      <c r="AC617" t="str">
        <f t="shared" si="133"/>
        <v>High (40%+)</v>
      </c>
      <c r="AD617" t="str">
        <f t="shared" si="134"/>
        <v>Low (&lt;$50)</v>
      </c>
      <c r="AE617" t="str">
        <f t="shared" si="135"/>
        <v>Small (1-2 units)</v>
      </c>
      <c r="AF617" t="str">
        <f t="shared" si="136"/>
        <v>Loss-Making</v>
      </c>
      <c r="AG617" t="str">
        <f t="shared" si="137"/>
        <v>Underperforming</v>
      </c>
      <c r="AH617" t="str">
        <f t="shared" si="138"/>
        <v>Repeat Customer</v>
      </c>
      <c r="AI617" t="str">
        <f t="shared" si="139"/>
        <v>Standard (3-5 days)</v>
      </c>
    </row>
    <row r="618" spans="1:35" ht="15" customHeight="1" x14ac:dyDescent="0.3">
      <c r="A618">
        <v>617</v>
      </c>
      <c r="B618" t="s">
        <v>2228</v>
      </c>
      <c r="C618" s="12">
        <v>42965</v>
      </c>
      <c r="D618" s="12">
        <v>42970</v>
      </c>
      <c r="E618" t="s">
        <v>206</v>
      </c>
      <c r="F618" t="s">
        <v>2229</v>
      </c>
      <c r="G618" t="s">
        <v>2230</v>
      </c>
      <c r="H618" t="s">
        <v>224</v>
      </c>
      <c r="I618" t="s">
        <v>210</v>
      </c>
      <c r="J618" t="s">
        <v>449</v>
      </c>
      <c r="K618" t="s">
        <v>450</v>
      </c>
      <c r="L618">
        <v>10011</v>
      </c>
      <c r="M618" t="s">
        <v>331</v>
      </c>
      <c r="N618" t="s">
        <v>2231</v>
      </c>
      <c r="O618" t="s">
        <v>215</v>
      </c>
      <c r="P618" t="s">
        <v>248</v>
      </c>
      <c r="Q618" t="s">
        <v>2232</v>
      </c>
      <c r="R618" s="13">
        <v>40.479999999999997</v>
      </c>
      <c r="S618">
        <v>2</v>
      </c>
      <c r="T618" s="14">
        <v>0</v>
      </c>
      <c r="U618" s="13">
        <v>15.7872</v>
      </c>
      <c r="V618">
        <f t="shared" si="126"/>
        <v>2017</v>
      </c>
      <c r="W618" t="str">
        <f t="shared" si="127"/>
        <v>Aug</v>
      </c>
      <c r="X618" t="str">
        <f t="shared" si="128"/>
        <v>Q3</v>
      </c>
      <c r="Y618" t="str">
        <f t="shared" si="129"/>
        <v>Fri</v>
      </c>
      <c r="Z618" s="16">
        <f t="shared" si="130"/>
        <v>5</v>
      </c>
      <c r="AA618" s="13">
        <f t="shared" si="131"/>
        <v>20.239999999999998</v>
      </c>
      <c r="AB618" s="14">
        <f t="shared" si="132"/>
        <v>0.39</v>
      </c>
      <c r="AC618" t="str">
        <f t="shared" si="133"/>
        <v>No Discount</v>
      </c>
      <c r="AD618" t="str">
        <f t="shared" si="134"/>
        <v>Low (&lt;$50)</v>
      </c>
      <c r="AE618" t="str">
        <f t="shared" si="135"/>
        <v>Small (1-2 units)</v>
      </c>
      <c r="AF618" t="str">
        <f t="shared" si="136"/>
        <v>Profitable</v>
      </c>
      <c r="AG618" t="str">
        <f t="shared" si="137"/>
        <v>High Margin</v>
      </c>
      <c r="AH618" t="str">
        <f t="shared" si="138"/>
        <v>Repeat Customer</v>
      </c>
      <c r="AI618" t="str">
        <f t="shared" si="139"/>
        <v>Standard (3-5 days)</v>
      </c>
    </row>
    <row r="619" spans="1:35" ht="15" customHeight="1" x14ac:dyDescent="0.3">
      <c r="A619">
        <v>618</v>
      </c>
      <c r="B619" t="s">
        <v>2228</v>
      </c>
      <c r="C619" s="12">
        <v>42965</v>
      </c>
      <c r="D619" s="12">
        <v>42970</v>
      </c>
      <c r="E619" t="s">
        <v>206</v>
      </c>
      <c r="F619" t="s">
        <v>2229</v>
      </c>
      <c r="G619" t="s">
        <v>2230</v>
      </c>
      <c r="H619" t="s">
        <v>224</v>
      </c>
      <c r="I619" t="s">
        <v>210</v>
      </c>
      <c r="J619" t="s">
        <v>449</v>
      </c>
      <c r="K619" t="s">
        <v>450</v>
      </c>
      <c r="L619">
        <v>10011</v>
      </c>
      <c r="M619" t="s">
        <v>331</v>
      </c>
      <c r="N619" t="s">
        <v>2233</v>
      </c>
      <c r="O619" t="s">
        <v>215</v>
      </c>
      <c r="P619" t="s">
        <v>248</v>
      </c>
      <c r="Q619" t="s">
        <v>2234</v>
      </c>
      <c r="R619" s="13">
        <v>9.94</v>
      </c>
      <c r="S619">
        <v>2</v>
      </c>
      <c r="T619" s="14">
        <v>0</v>
      </c>
      <c r="U619" s="13">
        <v>3.0813999999999999</v>
      </c>
      <c r="V619">
        <f t="shared" si="126"/>
        <v>2017</v>
      </c>
      <c r="W619" t="str">
        <f t="shared" si="127"/>
        <v>Aug</v>
      </c>
      <c r="X619" t="str">
        <f t="shared" si="128"/>
        <v>Q3</v>
      </c>
      <c r="Y619" t="str">
        <f t="shared" si="129"/>
        <v>Fri</v>
      </c>
      <c r="Z619" s="16">
        <f t="shared" si="130"/>
        <v>5</v>
      </c>
      <c r="AA619" s="13">
        <f t="shared" si="131"/>
        <v>4.97</v>
      </c>
      <c r="AB619" s="14">
        <f t="shared" si="132"/>
        <v>0.31</v>
      </c>
      <c r="AC619" t="str">
        <f t="shared" si="133"/>
        <v>No Discount</v>
      </c>
      <c r="AD619" t="str">
        <f t="shared" si="134"/>
        <v>Low (&lt;$50)</v>
      </c>
      <c r="AE619" t="str">
        <f t="shared" si="135"/>
        <v>Small (1-2 units)</v>
      </c>
      <c r="AF619" t="str">
        <f t="shared" si="136"/>
        <v>Profitable</v>
      </c>
      <c r="AG619" t="str">
        <f t="shared" si="137"/>
        <v>High Margin</v>
      </c>
      <c r="AH619" t="str">
        <f t="shared" si="138"/>
        <v>Repeat Customer</v>
      </c>
      <c r="AI619" t="str">
        <f t="shared" si="139"/>
        <v>Standard (3-5 days)</v>
      </c>
    </row>
    <row r="620" spans="1:35" ht="15" customHeight="1" x14ac:dyDescent="0.3">
      <c r="A620">
        <v>619</v>
      </c>
      <c r="B620" t="s">
        <v>2228</v>
      </c>
      <c r="C620" s="12">
        <v>42965</v>
      </c>
      <c r="D620" s="12">
        <v>42970</v>
      </c>
      <c r="E620" t="s">
        <v>206</v>
      </c>
      <c r="F620" t="s">
        <v>2229</v>
      </c>
      <c r="G620" t="s">
        <v>2230</v>
      </c>
      <c r="H620" t="s">
        <v>224</v>
      </c>
      <c r="I620" t="s">
        <v>210</v>
      </c>
      <c r="J620" t="s">
        <v>449</v>
      </c>
      <c r="K620" t="s">
        <v>450</v>
      </c>
      <c r="L620">
        <v>10011</v>
      </c>
      <c r="M620" t="s">
        <v>331</v>
      </c>
      <c r="N620" t="s">
        <v>2235</v>
      </c>
      <c r="O620" t="s">
        <v>229</v>
      </c>
      <c r="P620" t="s">
        <v>258</v>
      </c>
      <c r="Q620" t="s">
        <v>2236</v>
      </c>
      <c r="R620" s="13">
        <v>107.42400000000001</v>
      </c>
      <c r="S620">
        <v>9</v>
      </c>
      <c r="T620" s="14">
        <v>0.2</v>
      </c>
      <c r="U620" s="13">
        <v>33.57</v>
      </c>
      <c r="V620">
        <f t="shared" si="126"/>
        <v>2017</v>
      </c>
      <c r="W620" t="str">
        <f t="shared" si="127"/>
        <v>Aug</v>
      </c>
      <c r="X620" t="str">
        <f t="shared" si="128"/>
        <v>Q3</v>
      </c>
      <c r="Y620" t="str">
        <f t="shared" si="129"/>
        <v>Fri</v>
      </c>
      <c r="Z620" s="16">
        <f t="shared" si="130"/>
        <v>5</v>
      </c>
      <c r="AA620" s="13">
        <f t="shared" si="131"/>
        <v>11.936</v>
      </c>
      <c r="AB620" s="14">
        <f t="shared" si="132"/>
        <v>0.3125</v>
      </c>
      <c r="AC620" t="str">
        <f t="shared" si="133"/>
        <v>Low (1-20%)</v>
      </c>
      <c r="AD620" t="str">
        <f t="shared" si="134"/>
        <v>Medium ($50-$200)</v>
      </c>
      <c r="AE620" t="str">
        <f t="shared" si="135"/>
        <v>Large (6+ units)</v>
      </c>
      <c r="AF620" t="str">
        <f t="shared" si="136"/>
        <v>Profitable</v>
      </c>
      <c r="AG620" t="str">
        <f t="shared" si="137"/>
        <v>High Margin</v>
      </c>
      <c r="AH620" t="str">
        <f t="shared" si="138"/>
        <v>Repeat Customer</v>
      </c>
      <c r="AI620" t="str">
        <f t="shared" si="139"/>
        <v>Standard (3-5 days)</v>
      </c>
    </row>
    <row r="621" spans="1:35" ht="15" customHeight="1" x14ac:dyDescent="0.3">
      <c r="A621">
        <v>620</v>
      </c>
      <c r="B621" t="s">
        <v>2228</v>
      </c>
      <c r="C621" s="12">
        <v>42965</v>
      </c>
      <c r="D621" s="12">
        <v>42970</v>
      </c>
      <c r="E621" t="s">
        <v>206</v>
      </c>
      <c r="F621" t="s">
        <v>2229</v>
      </c>
      <c r="G621" t="s">
        <v>2230</v>
      </c>
      <c r="H621" t="s">
        <v>224</v>
      </c>
      <c r="I621" t="s">
        <v>210</v>
      </c>
      <c r="J621" t="s">
        <v>449</v>
      </c>
      <c r="K621" t="s">
        <v>450</v>
      </c>
      <c r="L621">
        <v>10011</v>
      </c>
      <c r="M621" t="s">
        <v>331</v>
      </c>
      <c r="N621" t="s">
        <v>2237</v>
      </c>
      <c r="O621" t="s">
        <v>254</v>
      </c>
      <c r="P621" t="s">
        <v>255</v>
      </c>
      <c r="Q621" t="s">
        <v>2238</v>
      </c>
      <c r="R621" s="13">
        <v>37.909999999999997</v>
      </c>
      <c r="S621">
        <v>1</v>
      </c>
      <c r="T621" s="14">
        <v>0</v>
      </c>
      <c r="U621" s="13">
        <v>10.9939</v>
      </c>
      <c r="V621">
        <f t="shared" si="126"/>
        <v>2017</v>
      </c>
      <c r="W621" t="str">
        <f t="shared" si="127"/>
        <v>Aug</v>
      </c>
      <c r="X621" t="str">
        <f t="shared" si="128"/>
        <v>Q3</v>
      </c>
      <c r="Y621" t="str">
        <f t="shared" si="129"/>
        <v>Fri</v>
      </c>
      <c r="Z621" s="16">
        <f t="shared" si="130"/>
        <v>5</v>
      </c>
      <c r="AA621" s="13">
        <f t="shared" si="131"/>
        <v>37.909999999999997</v>
      </c>
      <c r="AB621" s="14">
        <f t="shared" si="132"/>
        <v>0.29000000000000004</v>
      </c>
      <c r="AC621" t="str">
        <f t="shared" si="133"/>
        <v>No Discount</v>
      </c>
      <c r="AD621" t="str">
        <f t="shared" si="134"/>
        <v>Low (&lt;$50)</v>
      </c>
      <c r="AE621" t="str">
        <f t="shared" si="135"/>
        <v>Small (1-2 units)</v>
      </c>
      <c r="AF621" t="str">
        <f t="shared" si="136"/>
        <v>Profitable</v>
      </c>
      <c r="AG621" t="str">
        <f t="shared" si="137"/>
        <v>High Margin</v>
      </c>
      <c r="AH621" t="str">
        <f t="shared" si="138"/>
        <v>Repeat Customer</v>
      </c>
      <c r="AI621" t="str">
        <f t="shared" si="139"/>
        <v>Standard (3-5 days)</v>
      </c>
    </row>
    <row r="622" spans="1:35" ht="15" customHeight="1" x14ac:dyDescent="0.3">
      <c r="A622">
        <v>621</v>
      </c>
      <c r="B622" t="s">
        <v>2228</v>
      </c>
      <c r="C622" s="12">
        <v>42965</v>
      </c>
      <c r="D622" s="12">
        <v>42970</v>
      </c>
      <c r="E622" t="s">
        <v>206</v>
      </c>
      <c r="F622" t="s">
        <v>2229</v>
      </c>
      <c r="G622" t="s">
        <v>2230</v>
      </c>
      <c r="H622" t="s">
        <v>224</v>
      </c>
      <c r="I622" t="s">
        <v>210</v>
      </c>
      <c r="J622" t="s">
        <v>449</v>
      </c>
      <c r="K622" t="s">
        <v>450</v>
      </c>
      <c r="L622">
        <v>10011</v>
      </c>
      <c r="M622" t="s">
        <v>331</v>
      </c>
      <c r="N622" t="s">
        <v>791</v>
      </c>
      <c r="O622" t="s">
        <v>215</v>
      </c>
      <c r="P622" t="s">
        <v>248</v>
      </c>
      <c r="Q622" t="s">
        <v>792</v>
      </c>
      <c r="R622" s="13">
        <v>88.02</v>
      </c>
      <c r="S622">
        <v>3</v>
      </c>
      <c r="T622" s="14">
        <v>0</v>
      </c>
      <c r="U622" s="13">
        <v>27.286200000000001</v>
      </c>
      <c r="V622">
        <f t="shared" si="126"/>
        <v>2017</v>
      </c>
      <c r="W622" t="str">
        <f t="shared" si="127"/>
        <v>Aug</v>
      </c>
      <c r="X622" t="str">
        <f t="shared" si="128"/>
        <v>Q3</v>
      </c>
      <c r="Y622" t="str">
        <f t="shared" si="129"/>
        <v>Fri</v>
      </c>
      <c r="Z622" s="16">
        <f t="shared" si="130"/>
        <v>5</v>
      </c>
      <c r="AA622" s="13">
        <f t="shared" si="131"/>
        <v>29.34</v>
      </c>
      <c r="AB622" s="14">
        <f t="shared" si="132"/>
        <v>0.31</v>
      </c>
      <c r="AC622" t="str">
        <f t="shared" si="133"/>
        <v>No Discount</v>
      </c>
      <c r="AD622" t="str">
        <f t="shared" si="134"/>
        <v>Medium ($50-$200)</v>
      </c>
      <c r="AE622" t="str">
        <f t="shared" si="135"/>
        <v>Medium (3-5 units)</v>
      </c>
      <c r="AF622" t="str">
        <f t="shared" si="136"/>
        <v>Profitable</v>
      </c>
      <c r="AG622" t="str">
        <f t="shared" si="137"/>
        <v>High Margin</v>
      </c>
      <c r="AH622" t="str">
        <f t="shared" si="138"/>
        <v>Repeat Customer</v>
      </c>
      <c r="AI622" t="str">
        <f t="shared" si="139"/>
        <v>Standard (3-5 days)</v>
      </c>
    </row>
    <row r="623" spans="1:35" ht="15" customHeight="1" x14ac:dyDescent="0.3">
      <c r="A623">
        <v>622</v>
      </c>
      <c r="B623" t="s">
        <v>2239</v>
      </c>
      <c r="C623" s="12">
        <v>41999</v>
      </c>
      <c r="D623" s="12">
        <v>42004</v>
      </c>
      <c r="E623" t="s">
        <v>233</v>
      </c>
      <c r="F623" t="s">
        <v>2240</v>
      </c>
      <c r="G623" t="s">
        <v>2241</v>
      </c>
      <c r="H623" t="s">
        <v>209</v>
      </c>
      <c r="I623" t="s">
        <v>210</v>
      </c>
      <c r="J623" t="s">
        <v>486</v>
      </c>
      <c r="K623" t="s">
        <v>394</v>
      </c>
      <c r="L623">
        <v>60610</v>
      </c>
      <c r="M623" t="s">
        <v>288</v>
      </c>
      <c r="N623" t="s">
        <v>2242</v>
      </c>
      <c r="O623" t="s">
        <v>229</v>
      </c>
      <c r="P623" t="s">
        <v>258</v>
      </c>
      <c r="Q623" t="s">
        <v>2243</v>
      </c>
      <c r="R623" s="13">
        <v>8.69</v>
      </c>
      <c r="S623">
        <v>5</v>
      </c>
      <c r="T623" s="14">
        <v>0.8</v>
      </c>
      <c r="U623" s="13">
        <v>-14.773</v>
      </c>
      <c r="V623">
        <f t="shared" si="126"/>
        <v>2014</v>
      </c>
      <c r="W623" t="str">
        <f t="shared" si="127"/>
        <v>Dec</v>
      </c>
      <c r="X623" t="str">
        <f t="shared" si="128"/>
        <v>Q4</v>
      </c>
      <c r="Y623" t="str">
        <f t="shared" si="129"/>
        <v>Fri</v>
      </c>
      <c r="Z623" s="16">
        <f t="shared" si="130"/>
        <v>5</v>
      </c>
      <c r="AA623" s="13">
        <f t="shared" si="131"/>
        <v>1.738</v>
      </c>
      <c r="AB623" s="14">
        <f t="shared" si="132"/>
        <v>-1.7</v>
      </c>
      <c r="AC623" t="str">
        <f t="shared" si="133"/>
        <v>High (40%+)</v>
      </c>
      <c r="AD623" t="str">
        <f t="shared" si="134"/>
        <v>Low (&lt;$50)</v>
      </c>
      <c r="AE623" t="str">
        <f t="shared" si="135"/>
        <v>Medium (3-5 units)</v>
      </c>
      <c r="AF623" t="str">
        <f t="shared" si="136"/>
        <v>Loss-Making</v>
      </c>
      <c r="AG623" t="str">
        <f t="shared" si="137"/>
        <v>Underperforming</v>
      </c>
      <c r="AH623" t="str">
        <f t="shared" si="138"/>
        <v>Single Purchase</v>
      </c>
      <c r="AI623" t="str">
        <f t="shared" si="139"/>
        <v>Standard (3-5 days)</v>
      </c>
    </row>
    <row r="624" spans="1:35" ht="15" customHeight="1" x14ac:dyDescent="0.3">
      <c r="A624">
        <v>623</v>
      </c>
      <c r="B624" t="s">
        <v>2244</v>
      </c>
      <c r="C624" s="12">
        <v>42337</v>
      </c>
      <c r="D624" s="12">
        <v>42341</v>
      </c>
      <c r="E624" t="s">
        <v>233</v>
      </c>
      <c r="F624" t="s">
        <v>2245</v>
      </c>
      <c r="G624" t="s">
        <v>2246</v>
      </c>
      <c r="H624" t="s">
        <v>224</v>
      </c>
      <c r="I624" t="s">
        <v>210</v>
      </c>
      <c r="J624" t="s">
        <v>2247</v>
      </c>
      <c r="K624" t="s">
        <v>421</v>
      </c>
      <c r="L624">
        <v>48126</v>
      </c>
      <c r="M624" t="s">
        <v>288</v>
      </c>
      <c r="N624" t="s">
        <v>2248</v>
      </c>
      <c r="O624" t="s">
        <v>215</v>
      </c>
      <c r="P624" t="s">
        <v>219</v>
      </c>
      <c r="Q624" t="s">
        <v>2249</v>
      </c>
      <c r="R624" s="13">
        <v>301.95999999999998</v>
      </c>
      <c r="S624">
        <v>2</v>
      </c>
      <c r="T624" s="14">
        <v>0</v>
      </c>
      <c r="U624" s="13">
        <v>87.568399999999997</v>
      </c>
      <c r="V624">
        <f t="shared" si="126"/>
        <v>2015</v>
      </c>
      <c r="W624" t="str">
        <f t="shared" si="127"/>
        <v>Nov</v>
      </c>
      <c r="X624" t="str">
        <f t="shared" si="128"/>
        <v>Q4</v>
      </c>
      <c r="Y624" t="str">
        <f t="shared" si="129"/>
        <v>Sun</v>
      </c>
      <c r="Z624" s="16">
        <f t="shared" si="130"/>
        <v>4</v>
      </c>
      <c r="AA624" s="13">
        <f t="shared" si="131"/>
        <v>150.97999999999999</v>
      </c>
      <c r="AB624" s="14">
        <f t="shared" si="132"/>
        <v>0.29000000000000004</v>
      </c>
      <c r="AC624" t="str">
        <f t="shared" si="133"/>
        <v>No Discount</v>
      </c>
      <c r="AD624" t="str">
        <f t="shared" si="134"/>
        <v>High ($200-$500)</v>
      </c>
      <c r="AE624" t="str">
        <f t="shared" si="135"/>
        <v>Small (1-2 units)</v>
      </c>
      <c r="AF624" t="str">
        <f t="shared" si="136"/>
        <v>Profitable</v>
      </c>
      <c r="AG624" t="str">
        <f t="shared" si="137"/>
        <v>High Margin</v>
      </c>
      <c r="AH624" t="str">
        <f t="shared" si="138"/>
        <v>Repeat Customer</v>
      </c>
      <c r="AI624" t="str">
        <f t="shared" si="139"/>
        <v>Standard (3-5 days)</v>
      </c>
    </row>
    <row r="625" spans="1:35" ht="15" customHeight="1" x14ac:dyDescent="0.3">
      <c r="A625">
        <v>624</v>
      </c>
      <c r="B625" t="s">
        <v>2244</v>
      </c>
      <c r="C625" s="12">
        <v>42337</v>
      </c>
      <c r="D625" s="12">
        <v>42341</v>
      </c>
      <c r="E625" t="s">
        <v>233</v>
      </c>
      <c r="F625" t="s">
        <v>2245</v>
      </c>
      <c r="G625" t="s">
        <v>2246</v>
      </c>
      <c r="H625" t="s">
        <v>224</v>
      </c>
      <c r="I625" t="s">
        <v>210</v>
      </c>
      <c r="J625" t="s">
        <v>2247</v>
      </c>
      <c r="K625" t="s">
        <v>421</v>
      </c>
      <c r="L625">
        <v>48126</v>
      </c>
      <c r="M625" t="s">
        <v>288</v>
      </c>
      <c r="N625" t="s">
        <v>2250</v>
      </c>
      <c r="O625" t="s">
        <v>229</v>
      </c>
      <c r="P625" t="s">
        <v>261</v>
      </c>
      <c r="Q625" t="s">
        <v>2251</v>
      </c>
      <c r="R625" s="13">
        <v>555.21</v>
      </c>
      <c r="S625">
        <v>5</v>
      </c>
      <c r="T625" s="14">
        <v>0.1</v>
      </c>
      <c r="U625" s="13">
        <v>178.90100000000001</v>
      </c>
      <c r="V625">
        <f t="shared" si="126"/>
        <v>2015</v>
      </c>
      <c r="W625" t="str">
        <f t="shared" si="127"/>
        <v>Nov</v>
      </c>
      <c r="X625" t="str">
        <f t="shared" si="128"/>
        <v>Q4</v>
      </c>
      <c r="Y625" t="str">
        <f t="shared" si="129"/>
        <v>Sun</v>
      </c>
      <c r="Z625" s="16">
        <f t="shared" si="130"/>
        <v>4</v>
      </c>
      <c r="AA625" s="13">
        <f t="shared" si="131"/>
        <v>111.042</v>
      </c>
      <c r="AB625" s="14">
        <f t="shared" si="132"/>
        <v>0.32222222222222224</v>
      </c>
      <c r="AC625" t="str">
        <f t="shared" si="133"/>
        <v>Low (1-20%)</v>
      </c>
      <c r="AD625" t="str">
        <f t="shared" si="134"/>
        <v>Premium ($500+)</v>
      </c>
      <c r="AE625" t="str">
        <f t="shared" si="135"/>
        <v>Medium (3-5 units)</v>
      </c>
      <c r="AF625" t="str">
        <f t="shared" si="136"/>
        <v>Profitable</v>
      </c>
      <c r="AG625" t="str">
        <f t="shared" si="137"/>
        <v>High Margin</v>
      </c>
      <c r="AH625" t="str">
        <f t="shared" si="138"/>
        <v>Repeat Customer</v>
      </c>
      <c r="AI625" t="str">
        <f t="shared" si="139"/>
        <v>Standard (3-5 days)</v>
      </c>
    </row>
    <row r="626" spans="1:35" ht="15" customHeight="1" x14ac:dyDescent="0.3">
      <c r="A626">
        <v>625</v>
      </c>
      <c r="B626" t="s">
        <v>2244</v>
      </c>
      <c r="C626" s="12">
        <v>42337</v>
      </c>
      <c r="D626" s="12">
        <v>42341</v>
      </c>
      <c r="E626" t="s">
        <v>233</v>
      </c>
      <c r="F626" t="s">
        <v>2245</v>
      </c>
      <c r="G626" t="s">
        <v>2246</v>
      </c>
      <c r="H626" t="s">
        <v>224</v>
      </c>
      <c r="I626" t="s">
        <v>210</v>
      </c>
      <c r="J626" t="s">
        <v>2247</v>
      </c>
      <c r="K626" t="s">
        <v>421</v>
      </c>
      <c r="L626">
        <v>48126</v>
      </c>
      <c r="M626" t="s">
        <v>288</v>
      </c>
      <c r="N626" t="s">
        <v>2252</v>
      </c>
      <c r="O626" t="s">
        <v>229</v>
      </c>
      <c r="P626" t="s">
        <v>242</v>
      </c>
      <c r="Q626" t="s">
        <v>2253</v>
      </c>
      <c r="R626" s="13">
        <v>523.48</v>
      </c>
      <c r="S626">
        <v>4</v>
      </c>
      <c r="T626" s="14">
        <v>0</v>
      </c>
      <c r="U626" s="13">
        <v>130.87</v>
      </c>
      <c r="V626">
        <f t="shared" si="126"/>
        <v>2015</v>
      </c>
      <c r="W626" t="str">
        <f t="shared" si="127"/>
        <v>Nov</v>
      </c>
      <c r="X626" t="str">
        <f t="shared" si="128"/>
        <v>Q4</v>
      </c>
      <c r="Y626" t="str">
        <f t="shared" si="129"/>
        <v>Sun</v>
      </c>
      <c r="Z626" s="16">
        <f t="shared" si="130"/>
        <v>4</v>
      </c>
      <c r="AA626" s="13">
        <f t="shared" si="131"/>
        <v>130.87</v>
      </c>
      <c r="AB626" s="14">
        <f t="shared" si="132"/>
        <v>0.25</v>
      </c>
      <c r="AC626" t="str">
        <f t="shared" si="133"/>
        <v>No Discount</v>
      </c>
      <c r="AD626" t="str">
        <f t="shared" si="134"/>
        <v>Premium ($500+)</v>
      </c>
      <c r="AE626" t="str">
        <f t="shared" si="135"/>
        <v>Medium (3-5 units)</v>
      </c>
      <c r="AF626" t="str">
        <f t="shared" si="136"/>
        <v>Profitable</v>
      </c>
      <c r="AG626" t="str">
        <f t="shared" si="137"/>
        <v>High Margin</v>
      </c>
      <c r="AH626" t="str">
        <f t="shared" si="138"/>
        <v>Repeat Customer</v>
      </c>
      <c r="AI626" t="str">
        <f t="shared" si="139"/>
        <v>Standard (3-5 days)</v>
      </c>
    </row>
    <row r="627" spans="1:35" ht="15" customHeight="1" x14ac:dyDescent="0.3">
      <c r="A627">
        <v>626</v>
      </c>
      <c r="B627" t="s">
        <v>2244</v>
      </c>
      <c r="C627" s="12">
        <v>42337</v>
      </c>
      <c r="D627" s="12">
        <v>42341</v>
      </c>
      <c r="E627" t="s">
        <v>233</v>
      </c>
      <c r="F627" t="s">
        <v>2245</v>
      </c>
      <c r="G627" t="s">
        <v>2246</v>
      </c>
      <c r="H627" t="s">
        <v>224</v>
      </c>
      <c r="I627" t="s">
        <v>210</v>
      </c>
      <c r="J627" t="s">
        <v>2247</v>
      </c>
      <c r="K627" t="s">
        <v>421</v>
      </c>
      <c r="L627">
        <v>48126</v>
      </c>
      <c r="M627" t="s">
        <v>288</v>
      </c>
      <c r="N627" t="s">
        <v>358</v>
      </c>
      <c r="O627" t="s">
        <v>229</v>
      </c>
      <c r="P627" t="s">
        <v>251</v>
      </c>
      <c r="Q627" t="s">
        <v>359</v>
      </c>
      <c r="R627" s="13">
        <v>161.82</v>
      </c>
      <c r="S627">
        <v>9</v>
      </c>
      <c r="T627" s="14">
        <v>0</v>
      </c>
      <c r="U627" s="13">
        <v>46.927799999999998</v>
      </c>
      <c r="V627">
        <f t="shared" si="126"/>
        <v>2015</v>
      </c>
      <c r="W627" t="str">
        <f t="shared" si="127"/>
        <v>Nov</v>
      </c>
      <c r="X627" t="str">
        <f t="shared" si="128"/>
        <v>Q4</v>
      </c>
      <c r="Y627" t="str">
        <f t="shared" si="129"/>
        <v>Sun</v>
      </c>
      <c r="Z627" s="16">
        <f t="shared" si="130"/>
        <v>4</v>
      </c>
      <c r="AA627" s="13">
        <f t="shared" si="131"/>
        <v>17.98</v>
      </c>
      <c r="AB627" s="14">
        <f t="shared" si="132"/>
        <v>0.28999999999999998</v>
      </c>
      <c r="AC627" t="str">
        <f t="shared" si="133"/>
        <v>No Discount</v>
      </c>
      <c r="AD627" t="str">
        <f t="shared" si="134"/>
        <v>Medium ($50-$200)</v>
      </c>
      <c r="AE627" t="str">
        <f t="shared" si="135"/>
        <v>Large (6+ units)</v>
      </c>
      <c r="AF627" t="str">
        <f t="shared" si="136"/>
        <v>Profitable</v>
      </c>
      <c r="AG627" t="str">
        <f t="shared" si="137"/>
        <v>High Margin</v>
      </c>
      <c r="AH627" t="str">
        <f t="shared" si="138"/>
        <v>Repeat Customer</v>
      </c>
      <c r="AI627" t="str">
        <f t="shared" si="139"/>
        <v>Standard (3-5 days)</v>
      </c>
    </row>
    <row r="628" spans="1:35" ht="15" customHeight="1" x14ac:dyDescent="0.3">
      <c r="A628">
        <v>627</v>
      </c>
      <c r="B628" t="s">
        <v>2254</v>
      </c>
      <c r="C628" s="12">
        <v>42993</v>
      </c>
      <c r="D628" s="12">
        <v>42997</v>
      </c>
      <c r="E628" t="s">
        <v>233</v>
      </c>
      <c r="F628" t="s">
        <v>2255</v>
      </c>
      <c r="G628" t="s">
        <v>2256</v>
      </c>
      <c r="H628" t="s">
        <v>285</v>
      </c>
      <c r="I628" t="s">
        <v>210</v>
      </c>
      <c r="J628" t="s">
        <v>449</v>
      </c>
      <c r="K628" t="s">
        <v>450</v>
      </c>
      <c r="L628">
        <v>10009</v>
      </c>
      <c r="M628" t="s">
        <v>331</v>
      </c>
      <c r="N628" t="s">
        <v>2257</v>
      </c>
      <c r="O628" t="s">
        <v>215</v>
      </c>
      <c r="P628" t="s">
        <v>248</v>
      </c>
      <c r="Q628" t="s">
        <v>2258</v>
      </c>
      <c r="R628" s="13">
        <v>35.56</v>
      </c>
      <c r="S628">
        <v>7</v>
      </c>
      <c r="T628" s="14">
        <v>0</v>
      </c>
      <c r="U628" s="13">
        <v>12.090400000000001</v>
      </c>
      <c r="V628">
        <f t="shared" si="126"/>
        <v>2017</v>
      </c>
      <c r="W628" t="str">
        <f t="shared" si="127"/>
        <v>Sep</v>
      </c>
      <c r="X628" t="str">
        <f t="shared" si="128"/>
        <v>Q3</v>
      </c>
      <c r="Y628" t="str">
        <f t="shared" si="129"/>
        <v>Fri</v>
      </c>
      <c r="Z628" s="16">
        <f t="shared" si="130"/>
        <v>4</v>
      </c>
      <c r="AA628" s="13">
        <f t="shared" si="131"/>
        <v>5.08</v>
      </c>
      <c r="AB628" s="14">
        <f t="shared" si="132"/>
        <v>0.34</v>
      </c>
      <c r="AC628" t="str">
        <f t="shared" si="133"/>
        <v>No Discount</v>
      </c>
      <c r="AD628" t="str">
        <f t="shared" si="134"/>
        <v>Low (&lt;$50)</v>
      </c>
      <c r="AE628" t="str">
        <f t="shared" si="135"/>
        <v>Large (6+ units)</v>
      </c>
      <c r="AF628" t="str">
        <f t="shared" si="136"/>
        <v>Profitable</v>
      </c>
      <c r="AG628" t="str">
        <f t="shared" si="137"/>
        <v>High Margin</v>
      </c>
      <c r="AH628" t="str">
        <f t="shared" si="138"/>
        <v>Repeat Customer</v>
      </c>
      <c r="AI628" t="str">
        <f t="shared" si="139"/>
        <v>Standard (3-5 days)</v>
      </c>
    </row>
    <row r="629" spans="1:35" ht="15" customHeight="1" x14ac:dyDescent="0.3">
      <c r="A629">
        <v>628</v>
      </c>
      <c r="B629" t="s">
        <v>2259</v>
      </c>
      <c r="C629" s="12">
        <v>42874</v>
      </c>
      <c r="D629" s="12">
        <v>42878</v>
      </c>
      <c r="E629" t="s">
        <v>233</v>
      </c>
      <c r="F629" t="s">
        <v>2260</v>
      </c>
      <c r="G629" t="s">
        <v>2261</v>
      </c>
      <c r="H629" t="s">
        <v>209</v>
      </c>
      <c r="I629" t="s">
        <v>210</v>
      </c>
      <c r="J629" t="s">
        <v>278</v>
      </c>
      <c r="K629" t="s">
        <v>279</v>
      </c>
      <c r="L629">
        <v>98115</v>
      </c>
      <c r="M629" t="s">
        <v>227</v>
      </c>
      <c r="N629" t="s">
        <v>2262</v>
      </c>
      <c r="O629" t="s">
        <v>229</v>
      </c>
      <c r="P629" t="s">
        <v>261</v>
      </c>
      <c r="Q629" t="s">
        <v>2263</v>
      </c>
      <c r="R629" s="13">
        <v>97.16</v>
      </c>
      <c r="S629">
        <v>2</v>
      </c>
      <c r="T629" s="14">
        <v>0</v>
      </c>
      <c r="U629" s="13">
        <v>28.176400000000001</v>
      </c>
      <c r="V629">
        <f t="shared" si="126"/>
        <v>2017</v>
      </c>
      <c r="W629" t="str">
        <f t="shared" si="127"/>
        <v>May</v>
      </c>
      <c r="X629" t="str">
        <f t="shared" si="128"/>
        <v>Q2</v>
      </c>
      <c r="Y629" t="str">
        <f t="shared" si="129"/>
        <v>Fri</v>
      </c>
      <c r="Z629" s="16">
        <f t="shared" si="130"/>
        <v>4</v>
      </c>
      <c r="AA629" s="13">
        <f t="shared" si="131"/>
        <v>48.58</v>
      </c>
      <c r="AB629" s="14">
        <f t="shared" si="132"/>
        <v>0.29000000000000004</v>
      </c>
      <c r="AC629" t="str">
        <f t="shared" si="133"/>
        <v>No Discount</v>
      </c>
      <c r="AD629" t="str">
        <f t="shared" si="134"/>
        <v>Medium ($50-$200)</v>
      </c>
      <c r="AE629" t="str">
        <f t="shared" si="135"/>
        <v>Small (1-2 units)</v>
      </c>
      <c r="AF629" t="str">
        <f t="shared" si="136"/>
        <v>Profitable</v>
      </c>
      <c r="AG629" t="str">
        <f t="shared" si="137"/>
        <v>High Margin</v>
      </c>
      <c r="AH629" t="str">
        <f t="shared" si="138"/>
        <v>Single Purchase</v>
      </c>
      <c r="AI629" t="str">
        <f t="shared" si="139"/>
        <v>Standard (3-5 days)</v>
      </c>
    </row>
    <row r="630" spans="1:35" ht="15" customHeight="1" x14ac:dyDescent="0.3">
      <c r="A630">
        <v>629</v>
      </c>
      <c r="B630" t="s">
        <v>2264</v>
      </c>
      <c r="C630" s="12">
        <v>43086</v>
      </c>
      <c r="D630" s="12">
        <v>43090</v>
      </c>
      <c r="E630" t="s">
        <v>233</v>
      </c>
      <c r="F630" t="s">
        <v>998</v>
      </c>
      <c r="G630" t="s">
        <v>999</v>
      </c>
      <c r="H630" t="s">
        <v>209</v>
      </c>
      <c r="I630" t="s">
        <v>210</v>
      </c>
      <c r="J630" t="s">
        <v>310</v>
      </c>
      <c r="K630" t="s">
        <v>226</v>
      </c>
      <c r="L630">
        <v>94122</v>
      </c>
      <c r="M630" t="s">
        <v>227</v>
      </c>
      <c r="N630" t="s">
        <v>2265</v>
      </c>
      <c r="O630" t="s">
        <v>229</v>
      </c>
      <c r="P630" t="s">
        <v>258</v>
      </c>
      <c r="Q630" t="s">
        <v>2266</v>
      </c>
      <c r="R630" s="13">
        <v>15.24</v>
      </c>
      <c r="S630">
        <v>5</v>
      </c>
      <c r="T630" s="14">
        <v>0.2</v>
      </c>
      <c r="U630" s="13">
        <v>5.1435000000000004</v>
      </c>
      <c r="V630">
        <f t="shared" si="126"/>
        <v>2017</v>
      </c>
      <c r="W630" t="str">
        <f t="shared" si="127"/>
        <v>Dec</v>
      </c>
      <c r="X630" t="str">
        <f t="shared" si="128"/>
        <v>Q4</v>
      </c>
      <c r="Y630" t="str">
        <f t="shared" si="129"/>
        <v>Sun</v>
      </c>
      <c r="Z630" s="16">
        <f t="shared" si="130"/>
        <v>4</v>
      </c>
      <c r="AA630" s="13">
        <f t="shared" si="131"/>
        <v>3.048</v>
      </c>
      <c r="AB630" s="14">
        <f t="shared" si="132"/>
        <v>0.33750000000000002</v>
      </c>
      <c r="AC630" t="str">
        <f t="shared" si="133"/>
        <v>Low (1-20%)</v>
      </c>
      <c r="AD630" t="str">
        <f t="shared" si="134"/>
        <v>Low (&lt;$50)</v>
      </c>
      <c r="AE630" t="str">
        <f t="shared" si="135"/>
        <v>Medium (3-5 units)</v>
      </c>
      <c r="AF630" t="str">
        <f t="shared" si="136"/>
        <v>Profitable</v>
      </c>
      <c r="AG630" t="str">
        <f t="shared" si="137"/>
        <v>High Margin</v>
      </c>
      <c r="AH630" t="str">
        <f t="shared" si="138"/>
        <v>Repeat Customer</v>
      </c>
      <c r="AI630" t="str">
        <f t="shared" si="139"/>
        <v>Standard (3-5 days)</v>
      </c>
    </row>
    <row r="631" spans="1:35" ht="15" customHeight="1" x14ac:dyDescent="0.3">
      <c r="A631">
        <v>630</v>
      </c>
      <c r="B631" t="s">
        <v>2264</v>
      </c>
      <c r="C631" s="12">
        <v>43086</v>
      </c>
      <c r="D631" s="12">
        <v>43090</v>
      </c>
      <c r="E631" t="s">
        <v>233</v>
      </c>
      <c r="F631" t="s">
        <v>998</v>
      </c>
      <c r="G631" t="s">
        <v>999</v>
      </c>
      <c r="H631" t="s">
        <v>209</v>
      </c>
      <c r="I631" t="s">
        <v>210</v>
      </c>
      <c r="J631" t="s">
        <v>310</v>
      </c>
      <c r="K631" t="s">
        <v>226</v>
      </c>
      <c r="L631">
        <v>94122</v>
      </c>
      <c r="M631" t="s">
        <v>227</v>
      </c>
      <c r="N631" t="s">
        <v>1214</v>
      </c>
      <c r="O631" t="s">
        <v>229</v>
      </c>
      <c r="P631" t="s">
        <v>273</v>
      </c>
      <c r="Q631" t="s">
        <v>1215</v>
      </c>
      <c r="R631" s="13">
        <v>13.23</v>
      </c>
      <c r="S631">
        <v>3</v>
      </c>
      <c r="T631" s="14">
        <v>0</v>
      </c>
      <c r="U631" s="13">
        <v>6.0857999999999999</v>
      </c>
      <c r="V631">
        <f t="shared" si="126"/>
        <v>2017</v>
      </c>
      <c r="W631" t="str">
        <f t="shared" si="127"/>
        <v>Dec</v>
      </c>
      <c r="X631" t="str">
        <f t="shared" si="128"/>
        <v>Q4</v>
      </c>
      <c r="Y631" t="str">
        <f t="shared" si="129"/>
        <v>Sun</v>
      </c>
      <c r="Z631" s="16">
        <f t="shared" si="130"/>
        <v>4</v>
      </c>
      <c r="AA631" s="13">
        <f t="shared" si="131"/>
        <v>4.41</v>
      </c>
      <c r="AB631" s="14">
        <f t="shared" si="132"/>
        <v>0.45999999999999996</v>
      </c>
      <c r="AC631" t="str">
        <f t="shared" si="133"/>
        <v>No Discount</v>
      </c>
      <c r="AD631" t="str">
        <f t="shared" si="134"/>
        <v>Low (&lt;$50)</v>
      </c>
      <c r="AE631" t="str">
        <f t="shared" si="135"/>
        <v>Medium (3-5 units)</v>
      </c>
      <c r="AF631" t="str">
        <f t="shared" si="136"/>
        <v>Profitable</v>
      </c>
      <c r="AG631" t="str">
        <f t="shared" si="137"/>
        <v>High Margin</v>
      </c>
      <c r="AH631" t="str">
        <f t="shared" si="138"/>
        <v>Repeat Customer</v>
      </c>
      <c r="AI631" t="str">
        <f t="shared" si="139"/>
        <v>Standard (3-5 days)</v>
      </c>
    </row>
    <row r="632" spans="1:35" ht="15" customHeight="1" x14ac:dyDescent="0.3">
      <c r="A632">
        <v>631</v>
      </c>
      <c r="B632" t="s">
        <v>2267</v>
      </c>
      <c r="C632" s="12">
        <v>42715</v>
      </c>
      <c r="D632" s="12">
        <v>42717</v>
      </c>
      <c r="E632" t="s">
        <v>206</v>
      </c>
      <c r="F632" t="s">
        <v>2268</v>
      </c>
      <c r="G632" t="s">
        <v>2269</v>
      </c>
      <c r="H632" t="s">
        <v>209</v>
      </c>
      <c r="I632" t="s">
        <v>210</v>
      </c>
      <c r="J632" t="s">
        <v>639</v>
      </c>
      <c r="K632" t="s">
        <v>640</v>
      </c>
      <c r="L632">
        <v>80013</v>
      </c>
      <c r="M632" t="s">
        <v>227</v>
      </c>
      <c r="N632" t="s">
        <v>2270</v>
      </c>
      <c r="O632" t="s">
        <v>229</v>
      </c>
      <c r="P632" t="s">
        <v>242</v>
      </c>
      <c r="Q632" t="s">
        <v>2271</v>
      </c>
      <c r="R632" s="13">
        <v>243.38399999999999</v>
      </c>
      <c r="S632">
        <v>3</v>
      </c>
      <c r="T632" s="14">
        <v>0.2</v>
      </c>
      <c r="U632" s="13">
        <v>-51.719099999999997</v>
      </c>
      <c r="V632">
        <f t="shared" si="126"/>
        <v>2016</v>
      </c>
      <c r="W632" t="str">
        <f t="shared" si="127"/>
        <v>Dec</v>
      </c>
      <c r="X632" t="str">
        <f t="shared" si="128"/>
        <v>Q4</v>
      </c>
      <c r="Y632" t="str">
        <f t="shared" si="129"/>
        <v>Sun</v>
      </c>
      <c r="Z632" s="16">
        <f t="shared" si="130"/>
        <v>2</v>
      </c>
      <c r="AA632" s="13">
        <f t="shared" si="131"/>
        <v>81.128</v>
      </c>
      <c r="AB632" s="14">
        <f t="shared" si="132"/>
        <v>-0.21249999999999999</v>
      </c>
      <c r="AC632" t="str">
        <f t="shared" si="133"/>
        <v>Low (1-20%)</v>
      </c>
      <c r="AD632" t="str">
        <f t="shared" si="134"/>
        <v>High ($200-$500)</v>
      </c>
      <c r="AE632" t="str">
        <f t="shared" si="135"/>
        <v>Medium (3-5 units)</v>
      </c>
      <c r="AF632" t="str">
        <f t="shared" si="136"/>
        <v>Loss-Making</v>
      </c>
      <c r="AG632" t="str">
        <f t="shared" si="137"/>
        <v>Underperforming</v>
      </c>
      <c r="AH632" t="str">
        <f t="shared" si="138"/>
        <v>Repeat Customer</v>
      </c>
      <c r="AI632" t="str">
        <f t="shared" si="139"/>
        <v>Fast (&lt;=2 days)</v>
      </c>
    </row>
    <row r="633" spans="1:35" ht="15" customHeight="1" x14ac:dyDescent="0.3">
      <c r="A633">
        <v>632</v>
      </c>
      <c r="B633" t="s">
        <v>2267</v>
      </c>
      <c r="C633" s="12">
        <v>42715</v>
      </c>
      <c r="D633" s="12">
        <v>42717</v>
      </c>
      <c r="E633" t="s">
        <v>206</v>
      </c>
      <c r="F633" t="s">
        <v>2268</v>
      </c>
      <c r="G633" t="s">
        <v>2269</v>
      </c>
      <c r="H633" t="s">
        <v>209</v>
      </c>
      <c r="I633" t="s">
        <v>210</v>
      </c>
      <c r="J633" t="s">
        <v>639</v>
      </c>
      <c r="K633" t="s">
        <v>640</v>
      </c>
      <c r="L633">
        <v>80013</v>
      </c>
      <c r="M633" t="s">
        <v>227</v>
      </c>
      <c r="N633" t="s">
        <v>2272</v>
      </c>
      <c r="O633" t="s">
        <v>254</v>
      </c>
      <c r="P633" t="s">
        <v>344</v>
      </c>
      <c r="Q633" t="s">
        <v>2273</v>
      </c>
      <c r="R633" s="13">
        <v>119.8</v>
      </c>
      <c r="S633">
        <v>5</v>
      </c>
      <c r="T633" s="14">
        <v>0.2</v>
      </c>
      <c r="U633" s="13">
        <v>29.95</v>
      </c>
      <c r="V633">
        <f t="shared" si="126"/>
        <v>2016</v>
      </c>
      <c r="W633" t="str">
        <f t="shared" si="127"/>
        <v>Dec</v>
      </c>
      <c r="X633" t="str">
        <f t="shared" si="128"/>
        <v>Q4</v>
      </c>
      <c r="Y633" t="str">
        <f t="shared" si="129"/>
        <v>Sun</v>
      </c>
      <c r="Z633" s="16">
        <f t="shared" si="130"/>
        <v>2</v>
      </c>
      <c r="AA633" s="13">
        <f t="shared" si="131"/>
        <v>23.96</v>
      </c>
      <c r="AB633" s="14">
        <f t="shared" si="132"/>
        <v>0.25</v>
      </c>
      <c r="AC633" t="str">
        <f t="shared" si="133"/>
        <v>Low (1-20%)</v>
      </c>
      <c r="AD633" t="str">
        <f t="shared" si="134"/>
        <v>Medium ($50-$200)</v>
      </c>
      <c r="AE633" t="str">
        <f t="shared" si="135"/>
        <v>Medium (3-5 units)</v>
      </c>
      <c r="AF633" t="str">
        <f t="shared" si="136"/>
        <v>Profitable</v>
      </c>
      <c r="AG633" t="str">
        <f t="shared" si="137"/>
        <v>High Margin</v>
      </c>
      <c r="AH633" t="str">
        <f t="shared" si="138"/>
        <v>Repeat Customer</v>
      </c>
      <c r="AI633" t="str">
        <f t="shared" si="139"/>
        <v>Fast (&lt;=2 days)</v>
      </c>
    </row>
    <row r="634" spans="1:35" ht="15" customHeight="1" x14ac:dyDescent="0.3">
      <c r="A634">
        <v>633</v>
      </c>
      <c r="B634" t="s">
        <v>2267</v>
      </c>
      <c r="C634" s="12">
        <v>42715</v>
      </c>
      <c r="D634" s="12">
        <v>42717</v>
      </c>
      <c r="E634" t="s">
        <v>206</v>
      </c>
      <c r="F634" t="s">
        <v>2268</v>
      </c>
      <c r="G634" t="s">
        <v>2269</v>
      </c>
      <c r="H634" t="s">
        <v>209</v>
      </c>
      <c r="I634" t="s">
        <v>210</v>
      </c>
      <c r="J634" t="s">
        <v>639</v>
      </c>
      <c r="K634" t="s">
        <v>640</v>
      </c>
      <c r="L634">
        <v>80013</v>
      </c>
      <c r="M634" t="s">
        <v>227</v>
      </c>
      <c r="N634" t="s">
        <v>2274</v>
      </c>
      <c r="O634" t="s">
        <v>254</v>
      </c>
      <c r="P634" t="s">
        <v>255</v>
      </c>
      <c r="Q634" t="s">
        <v>2275</v>
      </c>
      <c r="R634" s="13">
        <v>300.76799999999997</v>
      </c>
      <c r="S634">
        <v>4</v>
      </c>
      <c r="T634" s="14">
        <v>0.2</v>
      </c>
      <c r="U634" s="13">
        <v>30.076799999999999</v>
      </c>
      <c r="V634">
        <f t="shared" si="126"/>
        <v>2016</v>
      </c>
      <c r="W634" t="str">
        <f t="shared" si="127"/>
        <v>Dec</v>
      </c>
      <c r="X634" t="str">
        <f t="shared" si="128"/>
        <v>Q4</v>
      </c>
      <c r="Y634" t="str">
        <f t="shared" si="129"/>
        <v>Sun</v>
      </c>
      <c r="Z634" s="16">
        <f t="shared" si="130"/>
        <v>2</v>
      </c>
      <c r="AA634" s="13">
        <f t="shared" si="131"/>
        <v>75.191999999999993</v>
      </c>
      <c r="AB634" s="14">
        <f t="shared" si="132"/>
        <v>0.1</v>
      </c>
      <c r="AC634" t="str">
        <f t="shared" si="133"/>
        <v>Low (1-20%)</v>
      </c>
      <c r="AD634" t="str">
        <f t="shared" si="134"/>
        <v>High ($200-$500)</v>
      </c>
      <c r="AE634" t="str">
        <f t="shared" si="135"/>
        <v>Medium (3-5 units)</v>
      </c>
      <c r="AF634" t="str">
        <f t="shared" si="136"/>
        <v>Profitable</v>
      </c>
      <c r="AG634" t="str">
        <f t="shared" si="137"/>
        <v>Healthy Margin</v>
      </c>
      <c r="AH634" t="str">
        <f t="shared" si="138"/>
        <v>Repeat Customer</v>
      </c>
      <c r="AI634" t="str">
        <f t="shared" si="139"/>
        <v>Fast (&lt;=2 days)</v>
      </c>
    </row>
    <row r="635" spans="1:35" ht="15" customHeight="1" x14ac:dyDescent="0.3">
      <c r="A635">
        <v>634</v>
      </c>
      <c r="B635" t="s">
        <v>2276</v>
      </c>
      <c r="C635" s="12">
        <v>43002</v>
      </c>
      <c r="D635" s="12">
        <v>43004</v>
      </c>
      <c r="E635" t="s">
        <v>206</v>
      </c>
      <c r="F635" t="s">
        <v>1974</v>
      </c>
      <c r="G635" t="s">
        <v>1975</v>
      </c>
      <c r="H635" t="s">
        <v>209</v>
      </c>
      <c r="I635" t="s">
        <v>210</v>
      </c>
      <c r="J635" t="s">
        <v>1606</v>
      </c>
      <c r="K635" t="s">
        <v>237</v>
      </c>
      <c r="L635">
        <v>33180</v>
      </c>
      <c r="M635" t="s">
        <v>213</v>
      </c>
      <c r="N635" t="s">
        <v>2277</v>
      </c>
      <c r="O635" t="s">
        <v>254</v>
      </c>
      <c r="P635" t="s">
        <v>344</v>
      </c>
      <c r="Q635" t="s">
        <v>2278</v>
      </c>
      <c r="R635" s="13">
        <v>17.88</v>
      </c>
      <c r="S635">
        <v>3</v>
      </c>
      <c r="T635" s="14">
        <v>0.2</v>
      </c>
      <c r="U635" s="13">
        <v>2.4584999999999999</v>
      </c>
      <c r="V635">
        <f t="shared" si="126"/>
        <v>2017</v>
      </c>
      <c r="W635" t="str">
        <f t="shared" si="127"/>
        <v>Sep</v>
      </c>
      <c r="X635" t="str">
        <f t="shared" si="128"/>
        <v>Q3</v>
      </c>
      <c r="Y635" t="str">
        <f t="shared" si="129"/>
        <v>Sun</v>
      </c>
      <c r="Z635" s="16">
        <f t="shared" si="130"/>
        <v>2</v>
      </c>
      <c r="AA635" s="13">
        <f t="shared" si="131"/>
        <v>5.96</v>
      </c>
      <c r="AB635" s="14">
        <f t="shared" si="132"/>
        <v>0.13750000000000001</v>
      </c>
      <c r="AC635" t="str">
        <f t="shared" si="133"/>
        <v>Low (1-20%)</v>
      </c>
      <c r="AD635" t="str">
        <f t="shared" si="134"/>
        <v>Low (&lt;$50)</v>
      </c>
      <c r="AE635" t="str">
        <f t="shared" si="135"/>
        <v>Medium (3-5 units)</v>
      </c>
      <c r="AF635" t="str">
        <f t="shared" si="136"/>
        <v>Profitable</v>
      </c>
      <c r="AG635" t="str">
        <f t="shared" si="137"/>
        <v>Healthy Margin</v>
      </c>
      <c r="AH635" t="str">
        <f t="shared" si="138"/>
        <v>Repeat Customer</v>
      </c>
      <c r="AI635" t="str">
        <f t="shared" si="139"/>
        <v>Fast (&lt;=2 days)</v>
      </c>
    </row>
    <row r="636" spans="1:35" ht="15" customHeight="1" x14ac:dyDescent="0.3">
      <c r="A636">
        <v>635</v>
      </c>
      <c r="B636" t="s">
        <v>2276</v>
      </c>
      <c r="C636" s="12">
        <v>43002</v>
      </c>
      <c r="D636" s="12">
        <v>43004</v>
      </c>
      <c r="E636" t="s">
        <v>206</v>
      </c>
      <c r="F636" t="s">
        <v>1974</v>
      </c>
      <c r="G636" t="s">
        <v>1975</v>
      </c>
      <c r="H636" t="s">
        <v>209</v>
      </c>
      <c r="I636" t="s">
        <v>210</v>
      </c>
      <c r="J636" t="s">
        <v>1606</v>
      </c>
      <c r="K636" t="s">
        <v>237</v>
      </c>
      <c r="L636">
        <v>33180</v>
      </c>
      <c r="M636" t="s">
        <v>213</v>
      </c>
      <c r="N636" t="s">
        <v>2159</v>
      </c>
      <c r="O636" t="s">
        <v>229</v>
      </c>
      <c r="P636" t="s">
        <v>230</v>
      </c>
      <c r="Q636" t="s">
        <v>2160</v>
      </c>
      <c r="R636" s="13">
        <v>235.94399999999999</v>
      </c>
      <c r="S636">
        <v>3</v>
      </c>
      <c r="T636" s="14">
        <v>0.2</v>
      </c>
      <c r="U636" s="13">
        <v>85.529700000000005</v>
      </c>
      <c r="V636">
        <f t="shared" si="126"/>
        <v>2017</v>
      </c>
      <c r="W636" t="str">
        <f t="shared" si="127"/>
        <v>Sep</v>
      </c>
      <c r="X636" t="str">
        <f t="shared" si="128"/>
        <v>Q3</v>
      </c>
      <c r="Y636" t="str">
        <f t="shared" si="129"/>
        <v>Sun</v>
      </c>
      <c r="Z636" s="16">
        <f t="shared" si="130"/>
        <v>2</v>
      </c>
      <c r="AA636" s="13">
        <f t="shared" si="131"/>
        <v>78.647999999999996</v>
      </c>
      <c r="AB636" s="14">
        <f t="shared" si="132"/>
        <v>0.36250000000000004</v>
      </c>
      <c r="AC636" t="str">
        <f t="shared" si="133"/>
        <v>Low (1-20%)</v>
      </c>
      <c r="AD636" t="str">
        <f t="shared" si="134"/>
        <v>High ($200-$500)</v>
      </c>
      <c r="AE636" t="str">
        <f t="shared" si="135"/>
        <v>Medium (3-5 units)</v>
      </c>
      <c r="AF636" t="str">
        <f t="shared" si="136"/>
        <v>Profitable</v>
      </c>
      <c r="AG636" t="str">
        <f t="shared" si="137"/>
        <v>High Margin</v>
      </c>
      <c r="AH636" t="str">
        <f t="shared" si="138"/>
        <v>Repeat Customer</v>
      </c>
      <c r="AI636" t="str">
        <f t="shared" si="139"/>
        <v>Fast (&lt;=2 days)</v>
      </c>
    </row>
    <row r="637" spans="1:35" ht="15" customHeight="1" x14ac:dyDescent="0.3">
      <c r="A637">
        <v>636</v>
      </c>
      <c r="B637" t="s">
        <v>2279</v>
      </c>
      <c r="C637" s="12">
        <v>42281</v>
      </c>
      <c r="D637" s="12">
        <v>42286</v>
      </c>
      <c r="E637" t="s">
        <v>206</v>
      </c>
      <c r="F637" t="s">
        <v>2280</v>
      </c>
      <c r="G637" t="s">
        <v>2281</v>
      </c>
      <c r="H637" t="s">
        <v>224</v>
      </c>
      <c r="I637" t="s">
        <v>210</v>
      </c>
      <c r="J637" t="s">
        <v>2282</v>
      </c>
      <c r="K637" t="s">
        <v>1458</v>
      </c>
      <c r="L637">
        <v>31088</v>
      </c>
      <c r="M637" t="s">
        <v>213</v>
      </c>
      <c r="N637" t="s">
        <v>2283</v>
      </c>
      <c r="O637" t="s">
        <v>215</v>
      </c>
      <c r="P637" t="s">
        <v>219</v>
      </c>
      <c r="Q637" t="s">
        <v>2284</v>
      </c>
      <c r="R637" s="13">
        <v>392.94</v>
      </c>
      <c r="S637">
        <v>3</v>
      </c>
      <c r="T637" s="14">
        <v>0</v>
      </c>
      <c r="U637" s="13">
        <v>43.223399999999998</v>
      </c>
      <c r="V637">
        <f t="shared" si="126"/>
        <v>2015</v>
      </c>
      <c r="W637" t="str">
        <f t="shared" si="127"/>
        <v>Oct</v>
      </c>
      <c r="X637" t="str">
        <f t="shared" si="128"/>
        <v>Q4</v>
      </c>
      <c r="Y637" t="str">
        <f t="shared" si="129"/>
        <v>Sun</v>
      </c>
      <c r="Z637" s="16">
        <f t="shared" si="130"/>
        <v>5</v>
      </c>
      <c r="AA637" s="13">
        <f t="shared" si="131"/>
        <v>130.97999999999999</v>
      </c>
      <c r="AB637" s="14">
        <f t="shared" si="132"/>
        <v>0.11</v>
      </c>
      <c r="AC637" t="str">
        <f t="shared" si="133"/>
        <v>No Discount</v>
      </c>
      <c r="AD637" t="str">
        <f t="shared" si="134"/>
        <v>High ($200-$500)</v>
      </c>
      <c r="AE637" t="str">
        <f t="shared" si="135"/>
        <v>Medium (3-5 units)</v>
      </c>
      <c r="AF637" t="str">
        <f t="shared" si="136"/>
        <v>Profitable</v>
      </c>
      <c r="AG637" t="str">
        <f t="shared" si="137"/>
        <v>Healthy Margin</v>
      </c>
      <c r="AH637" t="str">
        <f t="shared" si="138"/>
        <v>Single Purchase</v>
      </c>
      <c r="AI637" t="str">
        <f t="shared" si="139"/>
        <v>Standard (3-5 days)</v>
      </c>
    </row>
    <row r="638" spans="1:35" ht="15" customHeight="1" x14ac:dyDescent="0.3">
      <c r="A638">
        <v>637</v>
      </c>
      <c r="B638" t="s">
        <v>2285</v>
      </c>
      <c r="C638" s="12">
        <v>42597</v>
      </c>
      <c r="D638" s="12">
        <v>42603</v>
      </c>
      <c r="E638" t="s">
        <v>233</v>
      </c>
      <c r="F638" t="s">
        <v>2286</v>
      </c>
      <c r="G638" t="s">
        <v>2287</v>
      </c>
      <c r="H638" t="s">
        <v>209</v>
      </c>
      <c r="I638" t="s">
        <v>210</v>
      </c>
      <c r="J638" t="s">
        <v>639</v>
      </c>
      <c r="K638" t="s">
        <v>640</v>
      </c>
      <c r="L638">
        <v>80013</v>
      </c>
      <c r="M638" t="s">
        <v>227</v>
      </c>
      <c r="N638" t="s">
        <v>2288</v>
      </c>
      <c r="O638" t="s">
        <v>229</v>
      </c>
      <c r="P638" t="s">
        <v>258</v>
      </c>
      <c r="Q638" t="s">
        <v>2289</v>
      </c>
      <c r="R638" s="13">
        <v>18.882000000000001</v>
      </c>
      <c r="S638">
        <v>3</v>
      </c>
      <c r="T638" s="14">
        <v>0.7</v>
      </c>
      <c r="U638" s="13">
        <v>-13.8468</v>
      </c>
      <c r="V638">
        <f t="shared" si="126"/>
        <v>2016</v>
      </c>
      <c r="W638" t="str">
        <f t="shared" si="127"/>
        <v>Aug</v>
      </c>
      <c r="X638" t="str">
        <f t="shared" si="128"/>
        <v>Q3</v>
      </c>
      <c r="Y638" t="str">
        <f t="shared" si="129"/>
        <v>Mon</v>
      </c>
      <c r="Z638" s="16">
        <f t="shared" si="130"/>
        <v>6</v>
      </c>
      <c r="AA638" s="13">
        <f t="shared" si="131"/>
        <v>6.2940000000000005</v>
      </c>
      <c r="AB638" s="14">
        <f t="shared" si="132"/>
        <v>-0.73333333333333328</v>
      </c>
      <c r="AC638" t="str">
        <f t="shared" si="133"/>
        <v>High (40%+)</v>
      </c>
      <c r="AD638" t="str">
        <f t="shared" si="134"/>
        <v>Low (&lt;$50)</v>
      </c>
      <c r="AE638" t="str">
        <f t="shared" si="135"/>
        <v>Medium (3-5 units)</v>
      </c>
      <c r="AF638" t="str">
        <f t="shared" si="136"/>
        <v>Loss-Making</v>
      </c>
      <c r="AG638" t="str">
        <f t="shared" si="137"/>
        <v>Underperforming</v>
      </c>
      <c r="AH638" t="str">
        <f t="shared" si="138"/>
        <v>Repeat Customer</v>
      </c>
      <c r="AI638" t="str">
        <f t="shared" si="139"/>
        <v>Slow (6+ days)</v>
      </c>
    </row>
    <row r="639" spans="1:35" ht="15" customHeight="1" x14ac:dyDescent="0.3">
      <c r="A639">
        <v>638</v>
      </c>
      <c r="B639" t="s">
        <v>2285</v>
      </c>
      <c r="C639" s="12">
        <v>42597</v>
      </c>
      <c r="D639" s="12">
        <v>42603</v>
      </c>
      <c r="E639" t="s">
        <v>233</v>
      </c>
      <c r="F639" t="s">
        <v>2286</v>
      </c>
      <c r="G639" t="s">
        <v>2287</v>
      </c>
      <c r="H639" t="s">
        <v>209</v>
      </c>
      <c r="I639" t="s">
        <v>210</v>
      </c>
      <c r="J639" t="s">
        <v>639</v>
      </c>
      <c r="K639" t="s">
        <v>640</v>
      </c>
      <c r="L639">
        <v>80013</v>
      </c>
      <c r="M639" t="s">
        <v>227</v>
      </c>
      <c r="N639" t="s">
        <v>2290</v>
      </c>
      <c r="O639" t="s">
        <v>229</v>
      </c>
      <c r="P639" t="s">
        <v>261</v>
      </c>
      <c r="Q639" t="s">
        <v>2291</v>
      </c>
      <c r="R639" s="13">
        <v>122.328</v>
      </c>
      <c r="S639">
        <v>3</v>
      </c>
      <c r="T639" s="14">
        <v>0.2</v>
      </c>
      <c r="U639" s="13">
        <v>12.232799999999999</v>
      </c>
      <c r="V639">
        <f t="shared" si="126"/>
        <v>2016</v>
      </c>
      <c r="W639" t="str">
        <f t="shared" si="127"/>
        <v>Aug</v>
      </c>
      <c r="X639" t="str">
        <f t="shared" si="128"/>
        <v>Q3</v>
      </c>
      <c r="Y639" t="str">
        <f t="shared" si="129"/>
        <v>Mon</v>
      </c>
      <c r="Z639" s="16">
        <f t="shared" si="130"/>
        <v>6</v>
      </c>
      <c r="AA639" s="13">
        <f t="shared" si="131"/>
        <v>40.776000000000003</v>
      </c>
      <c r="AB639" s="14">
        <f t="shared" si="132"/>
        <v>9.9999999999999992E-2</v>
      </c>
      <c r="AC639" t="str">
        <f t="shared" si="133"/>
        <v>Low (1-20%)</v>
      </c>
      <c r="AD639" t="str">
        <f t="shared" si="134"/>
        <v>Medium ($50-$200)</v>
      </c>
      <c r="AE639" t="str">
        <f t="shared" si="135"/>
        <v>Medium (3-5 units)</v>
      </c>
      <c r="AF639" t="str">
        <f t="shared" si="136"/>
        <v>Profitable</v>
      </c>
      <c r="AG639" t="str">
        <f t="shared" si="137"/>
        <v>Healthy Margin</v>
      </c>
      <c r="AH639" t="str">
        <f t="shared" si="138"/>
        <v>Repeat Customer</v>
      </c>
      <c r="AI639" t="str">
        <f t="shared" si="139"/>
        <v>Slow (6+ days)</v>
      </c>
    </row>
    <row r="640" spans="1:35" ht="15" customHeight="1" x14ac:dyDescent="0.3">
      <c r="A640">
        <v>639</v>
      </c>
      <c r="B640" t="s">
        <v>2292</v>
      </c>
      <c r="C640" s="12">
        <v>42510</v>
      </c>
      <c r="D640" s="12">
        <v>42515</v>
      </c>
      <c r="E640" t="s">
        <v>233</v>
      </c>
      <c r="F640" t="s">
        <v>623</v>
      </c>
      <c r="G640" t="s">
        <v>624</v>
      </c>
      <c r="H640" t="s">
        <v>285</v>
      </c>
      <c r="I640" t="s">
        <v>210</v>
      </c>
      <c r="J640" t="s">
        <v>2293</v>
      </c>
      <c r="K640" t="s">
        <v>226</v>
      </c>
      <c r="L640">
        <v>94591</v>
      </c>
      <c r="M640" t="s">
        <v>227</v>
      </c>
      <c r="N640" t="s">
        <v>1105</v>
      </c>
      <c r="O640" t="s">
        <v>215</v>
      </c>
      <c r="P640" t="s">
        <v>248</v>
      </c>
      <c r="Q640" t="s">
        <v>1106</v>
      </c>
      <c r="R640" s="13">
        <v>1049.2</v>
      </c>
      <c r="S640">
        <v>5</v>
      </c>
      <c r="T640" s="14">
        <v>0</v>
      </c>
      <c r="U640" s="13">
        <v>272.79199999999997</v>
      </c>
      <c r="V640">
        <f t="shared" si="126"/>
        <v>2016</v>
      </c>
      <c r="W640" t="str">
        <f t="shared" si="127"/>
        <v>May</v>
      </c>
      <c r="X640" t="str">
        <f t="shared" si="128"/>
        <v>Q2</v>
      </c>
      <c r="Y640" t="str">
        <f t="shared" si="129"/>
        <v>Fri</v>
      </c>
      <c r="Z640" s="16">
        <f t="shared" si="130"/>
        <v>5</v>
      </c>
      <c r="AA640" s="13">
        <f t="shared" si="131"/>
        <v>209.84</v>
      </c>
      <c r="AB640" s="14">
        <f t="shared" si="132"/>
        <v>0.25999999999999995</v>
      </c>
      <c r="AC640" t="str">
        <f t="shared" si="133"/>
        <v>No Discount</v>
      </c>
      <c r="AD640" t="str">
        <f t="shared" si="134"/>
        <v>Premium ($500+)</v>
      </c>
      <c r="AE640" t="str">
        <f t="shared" si="135"/>
        <v>Medium (3-5 units)</v>
      </c>
      <c r="AF640" t="str">
        <f t="shared" si="136"/>
        <v>Profitable</v>
      </c>
      <c r="AG640" t="str">
        <f t="shared" si="137"/>
        <v>High Margin</v>
      </c>
      <c r="AH640" t="str">
        <f t="shared" si="138"/>
        <v>Repeat Customer</v>
      </c>
      <c r="AI640" t="str">
        <f t="shared" si="139"/>
        <v>Standard (3-5 days)</v>
      </c>
    </row>
    <row r="641" spans="1:35" ht="15" customHeight="1" x14ac:dyDescent="0.3">
      <c r="A641">
        <v>640</v>
      </c>
      <c r="B641" t="s">
        <v>2292</v>
      </c>
      <c r="C641" s="12">
        <v>42510</v>
      </c>
      <c r="D641" s="12">
        <v>42515</v>
      </c>
      <c r="E641" t="s">
        <v>233</v>
      </c>
      <c r="F641" t="s">
        <v>623</v>
      </c>
      <c r="G641" t="s">
        <v>624</v>
      </c>
      <c r="H641" t="s">
        <v>285</v>
      </c>
      <c r="I641" t="s">
        <v>210</v>
      </c>
      <c r="J641" t="s">
        <v>2293</v>
      </c>
      <c r="K641" t="s">
        <v>226</v>
      </c>
      <c r="L641">
        <v>94591</v>
      </c>
      <c r="M641" t="s">
        <v>227</v>
      </c>
      <c r="N641" t="s">
        <v>2294</v>
      </c>
      <c r="O641" t="s">
        <v>229</v>
      </c>
      <c r="P641" t="s">
        <v>258</v>
      </c>
      <c r="Q641" t="s">
        <v>2295</v>
      </c>
      <c r="R641" s="13">
        <v>15.423999999999999</v>
      </c>
      <c r="S641">
        <v>4</v>
      </c>
      <c r="T641" s="14">
        <v>0.2</v>
      </c>
      <c r="U641" s="13">
        <v>5.0128000000000004</v>
      </c>
      <c r="V641">
        <f t="shared" si="126"/>
        <v>2016</v>
      </c>
      <c r="W641" t="str">
        <f t="shared" si="127"/>
        <v>May</v>
      </c>
      <c r="X641" t="str">
        <f t="shared" si="128"/>
        <v>Q2</v>
      </c>
      <c r="Y641" t="str">
        <f t="shared" si="129"/>
        <v>Fri</v>
      </c>
      <c r="Z641" s="16">
        <f t="shared" si="130"/>
        <v>5</v>
      </c>
      <c r="AA641" s="13">
        <f t="shared" si="131"/>
        <v>3.8559999999999999</v>
      </c>
      <c r="AB641" s="14">
        <f t="shared" si="132"/>
        <v>0.32500000000000001</v>
      </c>
      <c r="AC641" t="str">
        <f t="shared" si="133"/>
        <v>Low (1-20%)</v>
      </c>
      <c r="AD641" t="str">
        <f t="shared" si="134"/>
        <v>Low (&lt;$50)</v>
      </c>
      <c r="AE641" t="str">
        <f t="shared" si="135"/>
        <v>Medium (3-5 units)</v>
      </c>
      <c r="AF641" t="str">
        <f t="shared" si="136"/>
        <v>Profitable</v>
      </c>
      <c r="AG641" t="str">
        <f t="shared" si="137"/>
        <v>High Margin</v>
      </c>
      <c r="AH641" t="str">
        <f t="shared" si="138"/>
        <v>Repeat Customer</v>
      </c>
      <c r="AI641" t="str">
        <f t="shared" si="139"/>
        <v>Standard (3-5 days)</v>
      </c>
    </row>
    <row r="642" spans="1:35" ht="15" customHeight="1" x14ac:dyDescent="0.3">
      <c r="A642">
        <v>641</v>
      </c>
      <c r="B642" t="s">
        <v>2296</v>
      </c>
      <c r="C642" s="12">
        <v>42722</v>
      </c>
      <c r="D642" s="12">
        <v>42726</v>
      </c>
      <c r="E642" t="s">
        <v>233</v>
      </c>
      <c r="F642" t="s">
        <v>2297</v>
      </c>
      <c r="G642" t="s">
        <v>2298</v>
      </c>
      <c r="H642" t="s">
        <v>224</v>
      </c>
      <c r="I642" t="s">
        <v>210</v>
      </c>
      <c r="J642" t="s">
        <v>592</v>
      </c>
      <c r="K642" t="s">
        <v>412</v>
      </c>
      <c r="L642">
        <v>55407</v>
      </c>
      <c r="M642" t="s">
        <v>288</v>
      </c>
      <c r="N642" t="s">
        <v>2299</v>
      </c>
      <c r="O642" t="s">
        <v>215</v>
      </c>
      <c r="P642" t="s">
        <v>248</v>
      </c>
      <c r="Q642" t="s">
        <v>2300</v>
      </c>
      <c r="R642" s="13">
        <v>18.84</v>
      </c>
      <c r="S642">
        <v>3</v>
      </c>
      <c r="T642" s="14">
        <v>0</v>
      </c>
      <c r="U642" s="13">
        <v>6.0288000000000004</v>
      </c>
      <c r="V642">
        <f t="shared" ref="V642:V705" si="140">YEAR(C642)</f>
        <v>2016</v>
      </c>
      <c r="W642" t="str">
        <f t="shared" ref="W642:W705" si="141">TEXT(C642,"mmm")</f>
        <v>Dec</v>
      </c>
      <c r="X642" t="str">
        <f t="shared" ref="X642:X705" si="142">"Q"&amp;ROUNDUP(MONTH(C642)/3,0)</f>
        <v>Q4</v>
      </c>
      <c r="Y642" t="str">
        <f t="shared" ref="Y642:Y705" si="143">TEXT(C642,"ddd")</f>
        <v>Sun</v>
      </c>
      <c r="Z642" s="16">
        <f t="shared" ref="Z642:Z705" si="144">D642-C642</f>
        <v>4</v>
      </c>
      <c r="AA642" s="13">
        <f t="shared" ref="AA642:AA705" si="145">IFERROR(R642/S642,0)</f>
        <v>6.28</v>
      </c>
      <c r="AB642" s="14">
        <f t="shared" ref="AB642:AB705" si="146">IFERROR(U642/R642,0)</f>
        <v>0.32</v>
      </c>
      <c r="AC642" t="str">
        <f t="shared" ref="AC642:AC705" si="147">IF(T642=0,"No Discount",IF(T642&lt;=0.2,"Low (1-20%)",IF(T642&lt;=0.4,"Medium (21-40%)","High (40%+)")))</f>
        <v>No Discount</v>
      </c>
      <c r="AD642" t="str">
        <f t="shared" ref="AD642:AD705" si="148">IF(R642&lt;50,"Low (&lt;$50)",IF(R642&lt;200,"Medium ($50-$200)",IF(R642&lt;500,"High ($200-$500)","Premium ($500+)")))</f>
        <v>Low (&lt;$50)</v>
      </c>
      <c r="AE642" t="str">
        <f t="shared" ref="AE642:AE705" si="149">IF(S642&lt;=2,"Small (1-2 units)",IF(S642&lt;=5,"Medium (3-5 units)","Large (6+ units)"))</f>
        <v>Medium (3-5 units)</v>
      </c>
      <c r="AF642" t="str">
        <f t="shared" ref="AF642:AF705" si="150">IF(U642&lt;0,"Loss-Making","Profitable")</f>
        <v>Profitable</v>
      </c>
      <c r="AG642" t="str">
        <f t="shared" ref="AG642:AG705" si="151">IF(AB642&lt;0,"Underperforming",IF(AB642&lt;0.1,"Low Margin",IF(AB642&lt;0.25,"Healthy Margin","High Margin")))</f>
        <v>High Margin</v>
      </c>
      <c r="AH642" t="str">
        <f t="shared" ref="AH642:AH705" si="152">IF(COUNTIF($F$2:$F$1001,F642)&gt;1,"Repeat Customer","Single Purchase")</f>
        <v>Single Purchase</v>
      </c>
      <c r="AI642" t="str">
        <f t="shared" ref="AI642:AI705" si="153">IF(Z642&lt;=2,"Fast (&lt;=2 days)",IF(Z642&lt;=5,"Standard (3-5 days)","Slow (6+ days)"))</f>
        <v>Standard (3-5 days)</v>
      </c>
    </row>
    <row r="643" spans="1:35" ht="15" customHeight="1" x14ac:dyDescent="0.3">
      <c r="A643">
        <v>642</v>
      </c>
      <c r="B643" t="s">
        <v>2301</v>
      </c>
      <c r="C643" s="12">
        <v>42946</v>
      </c>
      <c r="D643" s="12">
        <v>42950</v>
      </c>
      <c r="E643" t="s">
        <v>206</v>
      </c>
      <c r="F643" t="s">
        <v>2302</v>
      </c>
      <c r="G643" t="s">
        <v>2303</v>
      </c>
      <c r="H643" t="s">
        <v>209</v>
      </c>
      <c r="I643" t="s">
        <v>210</v>
      </c>
      <c r="J643" t="s">
        <v>2304</v>
      </c>
      <c r="K643" t="s">
        <v>226</v>
      </c>
      <c r="L643">
        <v>92691</v>
      </c>
      <c r="M643" t="s">
        <v>227</v>
      </c>
      <c r="N643" t="s">
        <v>2305</v>
      </c>
      <c r="O643" t="s">
        <v>229</v>
      </c>
      <c r="P643" t="s">
        <v>242</v>
      </c>
      <c r="Q643" t="s">
        <v>2306</v>
      </c>
      <c r="R643" s="13">
        <v>330.4</v>
      </c>
      <c r="S643">
        <v>2</v>
      </c>
      <c r="T643" s="14">
        <v>0</v>
      </c>
      <c r="U643" s="13">
        <v>85.903999999999996</v>
      </c>
      <c r="V643">
        <f t="shared" si="140"/>
        <v>2017</v>
      </c>
      <c r="W643" t="str">
        <f t="shared" si="141"/>
        <v>Jul</v>
      </c>
      <c r="X643" t="str">
        <f t="shared" si="142"/>
        <v>Q3</v>
      </c>
      <c r="Y643" t="str">
        <f t="shared" si="143"/>
        <v>Sun</v>
      </c>
      <c r="Z643" s="16">
        <f t="shared" si="144"/>
        <v>4</v>
      </c>
      <c r="AA643" s="13">
        <f t="shared" si="145"/>
        <v>165.2</v>
      </c>
      <c r="AB643" s="14">
        <f t="shared" si="146"/>
        <v>0.26</v>
      </c>
      <c r="AC643" t="str">
        <f t="shared" si="147"/>
        <v>No Discount</v>
      </c>
      <c r="AD643" t="str">
        <f t="shared" si="148"/>
        <v>High ($200-$500)</v>
      </c>
      <c r="AE643" t="str">
        <f t="shared" si="149"/>
        <v>Small (1-2 units)</v>
      </c>
      <c r="AF643" t="str">
        <f t="shared" si="150"/>
        <v>Profitable</v>
      </c>
      <c r="AG643" t="str">
        <f t="shared" si="151"/>
        <v>High Margin</v>
      </c>
      <c r="AH643" t="str">
        <f t="shared" si="152"/>
        <v>Repeat Customer</v>
      </c>
      <c r="AI643" t="str">
        <f t="shared" si="153"/>
        <v>Standard (3-5 days)</v>
      </c>
    </row>
    <row r="644" spans="1:35" ht="15" customHeight="1" x14ac:dyDescent="0.3">
      <c r="A644">
        <v>643</v>
      </c>
      <c r="B644" t="s">
        <v>2301</v>
      </c>
      <c r="C644" s="12">
        <v>42946</v>
      </c>
      <c r="D644" s="12">
        <v>42950</v>
      </c>
      <c r="E644" t="s">
        <v>206</v>
      </c>
      <c r="F644" t="s">
        <v>2302</v>
      </c>
      <c r="G644" t="s">
        <v>2303</v>
      </c>
      <c r="H644" t="s">
        <v>209</v>
      </c>
      <c r="I644" t="s">
        <v>210</v>
      </c>
      <c r="J644" t="s">
        <v>2304</v>
      </c>
      <c r="K644" t="s">
        <v>226</v>
      </c>
      <c r="L644">
        <v>92691</v>
      </c>
      <c r="M644" t="s">
        <v>227</v>
      </c>
      <c r="N644" t="s">
        <v>2307</v>
      </c>
      <c r="O644" t="s">
        <v>229</v>
      </c>
      <c r="P644" t="s">
        <v>230</v>
      </c>
      <c r="Q644" t="s">
        <v>2308</v>
      </c>
      <c r="R644" s="13">
        <v>26.25</v>
      </c>
      <c r="S644">
        <v>7</v>
      </c>
      <c r="T644" s="14">
        <v>0</v>
      </c>
      <c r="U644" s="13">
        <v>12.6</v>
      </c>
      <c r="V644">
        <f t="shared" si="140"/>
        <v>2017</v>
      </c>
      <c r="W644" t="str">
        <f t="shared" si="141"/>
        <v>Jul</v>
      </c>
      <c r="X644" t="str">
        <f t="shared" si="142"/>
        <v>Q3</v>
      </c>
      <c r="Y644" t="str">
        <f t="shared" si="143"/>
        <v>Sun</v>
      </c>
      <c r="Z644" s="16">
        <f t="shared" si="144"/>
        <v>4</v>
      </c>
      <c r="AA644" s="13">
        <f t="shared" si="145"/>
        <v>3.75</v>
      </c>
      <c r="AB644" s="14">
        <f t="shared" si="146"/>
        <v>0.48</v>
      </c>
      <c r="AC644" t="str">
        <f t="shared" si="147"/>
        <v>No Discount</v>
      </c>
      <c r="AD644" t="str">
        <f t="shared" si="148"/>
        <v>Low (&lt;$50)</v>
      </c>
      <c r="AE644" t="str">
        <f t="shared" si="149"/>
        <v>Large (6+ units)</v>
      </c>
      <c r="AF644" t="str">
        <f t="shared" si="150"/>
        <v>Profitable</v>
      </c>
      <c r="AG644" t="str">
        <f t="shared" si="151"/>
        <v>High Margin</v>
      </c>
      <c r="AH644" t="str">
        <f t="shared" si="152"/>
        <v>Repeat Customer</v>
      </c>
      <c r="AI644" t="str">
        <f t="shared" si="153"/>
        <v>Standard (3-5 days)</v>
      </c>
    </row>
    <row r="645" spans="1:35" ht="15" customHeight="1" x14ac:dyDescent="0.3">
      <c r="A645">
        <v>644</v>
      </c>
      <c r="B645" t="s">
        <v>2309</v>
      </c>
      <c r="C645" s="12">
        <v>42896</v>
      </c>
      <c r="D645" s="12">
        <v>42901</v>
      </c>
      <c r="E645" t="s">
        <v>233</v>
      </c>
      <c r="F645" t="s">
        <v>2310</v>
      </c>
      <c r="G645" t="s">
        <v>2311</v>
      </c>
      <c r="H645" t="s">
        <v>209</v>
      </c>
      <c r="I645" t="s">
        <v>210</v>
      </c>
      <c r="J645" t="s">
        <v>2312</v>
      </c>
      <c r="K645" t="s">
        <v>421</v>
      </c>
      <c r="L645">
        <v>48307</v>
      </c>
      <c r="M645" t="s">
        <v>288</v>
      </c>
      <c r="N645" t="s">
        <v>1092</v>
      </c>
      <c r="O645" t="s">
        <v>254</v>
      </c>
      <c r="P645" t="s">
        <v>344</v>
      </c>
      <c r="Q645" t="s">
        <v>1972</v>
      </c>
      <c r="R645" s="13">
        <v>132.52000000000001</v>
      </c>
      <c r="S645">
        <v>4</v>
      </c>
      <c r="T645" s="14">
        <v>0</v>
      </c>
      <c r="U645" s="13">
        <v>54.333199999999998</v>
      </c>
      <c r="V645">
        <f t="shared" si="140"/>
        <v>2017</v>
      </c>
      <c r="W645" t="str">
        <f t="shared" si="141"/>
        <v>Jun</v>
      </c>
      <c r="X645" t="str">
        <f t="shared" si="142"/>
        <v>Q2</v>
      </c>
      <c r="Y645" t="str">
        <f t="shared" si="143"/>
        <v>Sat</v>
      </c>
      <c r="Z645" s="16">
        <f t="shared" si="144"/>
        <v>5</v>
      </c>
      <c r="AA645" s="13">
        <f t="shared" si="145"/>
        <v>33.130000000000003</v>
      </c>
      <c r="AB645" s="14">
        <f t="shared" si="146"/>
        <v>0.41</v>
      </c>
      <c r="AC645" t="str">
        <f t="shared" si="147"/>
        <v>No Discount</v>
      </c>
      <c r="AD645" t="str">
        <f t="shared" si="148"/>
        <v>Medium ($50-$200)</v>
      </c>
      <c r="AE645" t="str">
        <f t="shared" si="149"/>
        <v>Medium (3-5 units)</v>
      </c>
      <c r="AF645" t="str">
        <f t="shared" si="150"/>
        <v>Profitable</v>
      </c>
      <c r="AG645" t="str">
        <f t="shared" si="151"/>
        <v>High Margin</v>
      </c>
      <c r="AH645" t="str">
        <f t="shared" si="152"/>
        <v>Single Purchase</v>
      </c>
      <c r="AI645" t="str">
        <f t="shared" si="153"/>
        <v>Standard (3-5 days)</v>
      </c>
    </row>
    <row r="646" spans="1:35" ht="15" customHeight="1" x14ac:dyDescent="0.3">
      <c r="A646">
        <v>645</v>
      </c>
      <c r="B646" t="s">
        <v>2313</v>
      </c>
      <c r="C646" s="12">
        <v>42937</v>
      </c>
      <c r="D646" s="12">
        <v>42941</v>
      </c>
      <c r="E646" t="s">
        <v>233</v>
      </c>
      <c r="F646" t="s">
        <v>804</v>
      </c>
      <c r="G646" t="s">
        <v>805</v>
      </c>
      <c r="H646" t="s">
        <v>285</v>
      </c>
      <c r="I646" t="s">
        <v>210</v>
      </c>
      <c r="J646" t="s">
        <v>2314</v>
      </c>
      <c r="K646" t="s">
        <v>973</v>
      </c>
      <c r="L646">
        <v>7060</v>
      </c>
      <c r="M646" t="s">
        <v>331</v>
      </c>
      <c r="N646" t="s">
        <v>2315</v>
      </c>
      <c r="O646" t="s">
        <v>229</v>
      </c>
      <c r="P646" t="s">
        <v>273</v>
      </c>
      <c r="Q646" t="s">
        <v>2316</v>
      </c>
      <c r="R646" s="13">
        <v>6.48</v>
      </c>
      <c r="S646">
        <v>1</v>
      </c>
      <c r="T646" s="14">
        <v>0</v>
      </c>
      <c r="U646" s="13">
        <v>3.1751999999999998</v>
      </c>
      <c r="V646">
        <f t="shared" si="140"/>
        <v>2017</v>
      </c>
      <c r="W646" t="str">
        <f t="shared" si="141"/>
        <v>Jul</v>
      </c>
      <c r="X646" t="str">
        <f t="shared" si="142"/>
        <v>Q3</v>
      </c>
      <c r="Y646" t="str">
        <f t="shared" si="143"/>
        <v>Fri</v>
      </c>
      <c r="Z646" s="16">
        <f t="shared" si="144"/>
        <v>4</v>
      </c>
      <c r="AA646" s="13">
        <f t="shared" si="145"/>
        <v>6.48</v>
      </c>
      <c r="AB646" s="14">
        <f t="shared" si="146"/>
        <v>0.48999999999999994</v>
      </c>
      <c r="AC646" t="str">
        <f t="shared" si="147"/>
        <v>No Discount</v>
      </c>
      <c r="AD646" t="str">
        <f t="shared" si="148"/>
        <v>Low (&lt;$50)</v>
      </c>
      <c r="AE646" t="str">
        <f t="shared" si="149"/>
        <v>Small (1-2 units)</v>
      </c>
      <c r="AF646" t="str">
        <f t="shared" si="150"/>
        <v>Profitable</v>
      </c>
      <c r="AG646" t="str">
        <f t="shared" si="151"/>
        <v>High Margin</v>
      </c>
      <c r="AH646" t="str">
        <f t="shared" si="152"/>
        <v>Repeat Customer</v>
      </c>
      <c r="AI646" t="str">
        <f t="shared" si="153"/>
        <v>Standard (3-5 days)</v>
      </c>
    </row>
    <row r="647" spans="1:35" ht="15" customHeight="1" x14ac:dyDescent="0.3">
      <c r="A647">
        <v>646</v>
      </c>
      <c r="B647" t="s">
        <v>2317</v>
      </c>
      <c r="C647" s="12">
        <v>43099</v>
      </c>
      <c r="D647" s="12">
        <v>43105</v>
      </c>
      <c r="E647" t="s">
        <v>233</v>
      </c>
      <c r="F647" t="s">
        <v>2318</v>
      </c>
      <c r="G647" t="s">
        <v>2319</v>
      </c>
      <c r="H647" t="s">
        <v>285</v>
      </c>
      <c r="I647" t="s">
        <v>210</v>
      </c>
      <c r="J647" t="s">
        <v>680</v>
      </c>
      <c r="K647" t="s">
        <v>437</v>
      </c>
      <c r="L647">
        <v>47201</v>
      </c>
      <c r="M647" t="s">
        <v>288</v>
      </c>
      <c r="N647" t="s">
        <v>2320</v>
      </c>
      <c r="O647" t="s">
        <v>229</v>
      </c>
      <c r="P647" t="s">
        <v>261</v>
      </c>
      <c r="Q647" t="s">
        <v>2321</v>
      </c>
      <c r="R647" s="13">
        <v>209.3</v>
      </c>
      <c r="S647">
        <v>2</v>
      </c>
      <c r="T647" s="14">
        <v>0</v>
      </c>
      <c r="U647" s="13">
        <v>56.511000000000003</v>
      </c>
      <c r="V647">
        <f t="shared" si="140"/>
        <v>2017</v>
      </c>
      <c r="W647" t="str">
        <f t="shared" si="141"/>
        <v>Dec</v>
      </c>
      <c r="X647" t="str">
        <f t="shared" si="142"/>
        <v>Q4</v>
      </c>
      <c r="Y647" t="str">
        <f t="shared" si="143"/>
        <v>Sat</v>
      </c>
      <c r="Z647" s="16">
        <f t="shared" si="144"/>
        <v>6</v>
      </c>
      <c r="AA647" s="13">
        <f t="shared" si="145"/>
        <v>104.65</v>
      </c>
      <c r="AB647" s="14">
        <f t="shared" si="146"/>
        <v>0.27</v>
      </c>
      <c r="AC647" t="str">
        <f t="shared" si="147"/>
        <v>No Discount</v>
      </c>
      <c r="AD647" t="str">
        <f t="shared" si="148"/>
        <v>High ($200-$500)</v>
      </c>
      <c r="AE647" t="str">
        <f t="shared" si="149"/>
        <v>Small (1-2 units)</v>
      </c>
      <c r="AF647" t="str">
        <f t="shared" si="150"/>
        <v>Profitable</v>
      </c>
      <c r="AG647" t="str">
        <f t="shared" si="151"/>
        <v>High Margin</v>
      </c>
      <c r="AH647" t="str">
        <f t="shared" si="152"/>
        <v>Repeat Customer</v>
      </c>
      <c r="AI647" t="str">
        <f t="shared" si="153"/>
        <v>Slow (6+ days)</v>
      </c>
    </row>
    <row r="648" spans="1:35" ht="15" customHeight="1" x14ac:dyDescent="0.3">
      <c r="A648">
        <v>647</v>
      </c>
      <c r="B648" t="s">
        <v>2322</v>
      </c>
      <c r="C648" s="12">
        <v>42461</v>
      </c>
      <c r="D648" s="12">
        <v>42468</v>
      </c>
      <c r="E648" t="s">
        <v>233</v>
      </c>
      <c r="F648" t="s">
        <v>1211</v>
      </c>
      <c r="G648" t="s">
        <v>1212</v>
      </c>
      <c r="H648" t="s">
        <v>224</v>
      </c>
      <c r="I648" t="s">
        <v>210</v>
      </c>
      <c r="J648" t="s">
        <v>2323</v>
      </c>
      <c r="K648" t="s">
        <v>493</v>
      </c>
      <c r="L648">
        <v>85635</v>
      </c>
      <c r="M648" t="s">
        <v>227</v>
      </c>
      <c r="N648" t="s">
        <v>2324</v>
      </c>
      <c r="O648" t="s">
        <v>229</v>
      </c>
      <c r="P648" t="s">
        <v>452</v>
      </c>
      <c r="Q648" t="s">
        <v>746</v>
      </c>
      <c r="R648" s="13">
        <v>31.56</v>
      </c>
      <c r="S648">
        <v>5</v>
      </c>
      <c r="T648" s="14">
        <v>0.2</v>
      </c>
      <c r="U648" s="13">
        <v>9.8625000000000007</v>
      </c>
      <c r="V648">
        <f t="shared" si="140"/>
        <v>2016</v>
      </c>
      <c r="W648" t="str">
        <f t="shared" si="141"/>
        <v>Apr</v>
      </c>
      <c r="X648" t="str">
        <f t="shared" si="142"/>
        <v>Q2</v>
      </c>
      <c r="Y648" t="str">
        <f t="shared" si="143"/>
        <v>Fri</v>
      </c>
      <c r="Z648" s="16">
        <f t="shared" si="144"/>
        <v>7</v>
      </c>
      <c r="AA648" s="13">
        <f t="shared" si="145"/>
        <v>6.3119999999999994</v>
      </c>
      <c r="AB648" s="14">
        <f t="shared" si="146"/>
        <v>0.31250000000000006</v>
      </c>
      <c r="AC648" t="str">
        <f t="shared" si="147"/>
        <v>Low (1-20%)</v>
      </c>
      <c r="AD648" t="str">
        <f t="shared" si="148"/>
        <v>Low (&lt;$50)</v>
      </c>
      <c r="AE648" t="str">
        <f t="shared" si="149"/>
        <v>Medium (3-5 units)</v>
      </c>
      <c r="AF648" t="str">
        <f t="shared" si="150"/>
        <v>Profitable</v>
      </c>
      <c r="AG648" t="str">
        <f t="shared" si="151"/>
        <v>High Margin</v>
      </c>
      <c r="AH648" t="str">
        <f t="shared" si="152"/>
        <v>Repeat Customer</v>
      </c>
      <c r="AI648" t="str">
        <f t="shared" si="153"/>
        <v>Slow (6+ days)</v>
      </c>
    </row>
    <row r="649" spans="1:35" ht="15" customHeight="1" x14ac:dyDescent="0.3">
      <c r="A649">
        <v>648</v>
      </c>
      <c r="B649" t="s">
        <v>2322</v>
      </c>
      <c r="C649" s="12">
        <v>42461</v>
      </c>
      <c r="D649" s="12">
        <v>42468</v>
      </c>
      <c r="E649" t="s">
        <v>233</v>
      </c>
      <c r="F649" t="s">
        <v>1211</v>
      </c>
      <c r="G649" t="s">
        <v>1212</v>
      </c>
      <c r="H649" t="s">
        <v>224</v>
      </c>
      <c r="I649" t="s">
        <v>210</v>
      </c>
      <c r="J649" t="s">
        <v>2323</v>
      </c>
      <c r="K649" t="s">
        <v>493</v>
      </c>
      <c r="L649">
        <v>85635</v>
      </c>
      <c r="M649" t="s">
        <v>227</v>
      </c>
      <c r="N649" t="s">
        <v>2325</v>
      </c>
      <c r="O649" t="s">
        <v>229</v>
      </c>
      <c r="P649" t="s">
        <v>261</v>
      </c>
      <c r="Q649" t="s">
        <v>2326</v>
      </c>
      <c r="R649" s="13">
        <v>30.143999999999998</v>
      </c>
      <c r="S649">
        <v>2</v>
      </c>
      <c r="T649" s="14">
        <v>0.2</v>
      </c>
      <c r="U649" s="13">
        <v>3.0144000000000002</v>
      </c>
      <c r="V649">
        <f t="shared" si="140"/>
        <v>2016</v>
      </c>
      <c r="W649" t="str">
        <f t="shared" si="141"/>
        <v>Apr</v>
      </c>
      <c r="X649" t="str">
        <f t="shared" si="142"/>
        <v>Q2</v>
      </c>
      <c r="Y649" t="str">
        <f t="shared" si="143"/>
        <v>Fri</v>
      </c>
      <c r="Z649" s="16">
        <f t="shared" si="144"/>
        <v>7</v>
      </c>
      <c r="AA649" s="13">
        <f t="shared" si="145"/>
        <v>15.071999999999999</v>
      </c>
      <c r="AB649" s="14">
        <f t="shared" si="146"/>
        <v>0.1</v>
      </c>
      <c r="AC649" t="str">
        <f t="shared" si="147"/>
        <v>Low (1-20%)</v>
      </c>
      <c r="AD649" t="str">
        <f t="shared" si="148"/>
        <v>Low (&lt;$50)</v>
      </c>
      <c r="AE649" t="str">
        <f t="shared" si="149"/>
        <v>Small (1-2 units)</v>
      </c>
      <c r="AF649" t="str">
        <f t="shared" si="150"/>
        <v>Profitable</v>
      </c>
      <c r="AG649" t="str">
        <f t="shared" si="151"/>
        <v>Healthy Margin</v>
      </c>
      <c r="AH649" t="str">
        <f t="shared" si="152"/>
        <v>Repeat Customer</v>
      </c>
      <c r="AI649" t="str">
        <f t="shared" si="153"/>
        <v>Slow (6+ days)</v>
      </c>
    </row>
    <row r="650" spans="1:35" ht="15" customHeight="1" x14ac:dyDescent="0.3">
      <c r="A650">
        <v>649</v>
      </c>
      <c r="B650" t="s">
        <v>2327</v>
      </c>
      <c r="C650" s="12">
        <v>42715</v>
      </c>
      <c r="D650" s="12">
        <v>42720</v>
      </c>
      <c r="E650" t="s">
        <v>206</v>
      </c>
      <c r="F650" t="s">
        <v>2328</v>
      </c>
      <c r="G650" t="s">
        <v>2329</v>
      </c>
      <c r="H650" t="s">
        <v>224</v>
      </c>
      <c r="I650" t="s">
        <v>210</v>
      </c>
      <c r="J650" t="s">
        <v>2330</v>
      </c>
      <c r="K650" t="s">
        <v>279</v>
      </c>
      <c r="L650">
        <v>98661</v>
      </c>
      <c r="M650" t="s">
        <v>227</v>
      </c>
      <c r="N650" t="s">
        <v>1549</v>
      </c>
      <c r="O650" t="s">
        <v>215</v>
      </c>
      <c r="P650" t="s">
        <v>248</v>
      </c>
      <c r="Q650" t="s">
        <v>1550</v>
      </c>
      <c r="R650" s="13">
        <v>14.8</v>
      </c>
      <c r="S650">
        <v>4</v>
      </c>
      <c r="T650" s="14">
        <v>0</v>
      </c>
      <c r="U650" s="13">
        <v>6.0679999999999996</v>
      </c>
      <c r="V650">
        <f t="shared" si="140"/>
        <v>2016</v>
      </c>
      <c r="W650" t="str">
        <f t="shared" si="141"/>
        <v>Dec</v>
      </c>
      <c r="X650" t="str">
        <f t="shared" si="142"/>
        <v>Q4</v>
      </c>
      <c r="Y650" t="str">
        <f t="shared" si="143"/>
        <v>Sun</v>
      </c>
      <c r="Z650" s="16">
        <f t="shared" si="144"/>
        <v>5</v>
      </c>
      <c r="AA650" s="13">
        <f t="shared" si="145"/>
        <v>3.7</v>
      </c>
      <c r="AB650" s="14">
        <f t="shared" si="146"/>
        <v>0.41</v>
      </c>
      <c r="AC650" t="str">
        <f t="shared" si="147"/>
        <v>No Discount</v>
      </c>
      <c r="AD650" t="str">
        <f t="shared" si="148"/>
        <v>Low (&lt;$50)</v>
      </c>
      <c r="AE650" t="str">
        <f t="shared" si="149"/>
        <v>Medium (3-5 units)</v>
      </c>
      <c r="AF650" t="str">
        <f t="shared" si="150"/>
        <v>Profitable</v>
      </c>
      <c r="AG650" t="str">
        <f t="shared" si="151"/>
        <v>High Margin</v>
      </c>
      <c r="AH650" t="str">
        <f t="shared" si="152"/>
        <v>Repeat Customer</v>
      </c>
      <c r="AI650" t="str">
        <f t="shared" si="153"/>
        <v>Standard (3-5 days)</v>
      </c>
    </row>
    <row r="651" spans="1:35" ht="15" customHeight="1" x14ac:dyDescent="0.3">
      <c r="A651">
        <v>650</v>
      </c>
      <c r="B651" t="s">
        <v>2327</v>
      </c>
      <c r="C651" s="12">
        <v>42715</v>
      </c>
      <c r="D651" s="12">
        <v>42720</v>
      </c>
      <c r="E651" t="s">
        <v>206</v>
      </c>
      <c r="F651" t="s">
        <v>2328</v>
      </c>
      <c r="G651" t="s">
        <v>2329</v>
      </c>
      <c r="H651" t="s">
        <v>224</v>
      </c>
      <c r="I651" t="s">
        <v>210</v>
      </c>
      <c r="J651" t="s">
        <v>2330</v>
      </c>
      <c r="K651" t="s">
        <v>279</v>
      </c>
      <c r="L651">
        <v>98661</v>
      </c>
      <c r="M651" t="s">
        <v>227</v>
      </c>
      <c r="N651" t="s">
        <v>922</v>
      </c>
      <c r="O651" t="s">
        <v>254</v>
      </c>
      <c r="P651" t="s">
        <v>255</v>
      </c>
      <c r="Q651" t="s">
        <v>923</v>
      </c>
      <c r="R651" s="13">
        <v>302.37599999999998</v>
      </c>
      <c r="S651">
        <v>3</v>
      </c>
      <c r="T651" s="14">
        <v>0.2</v>
      </c>
      <c r="U651" s="13">
        <v>22.6782</v>
      </c>
      <c r="V651">
        <f t="shared" si="140"/>
        <v>2016</v>
      </c>
      <c r="W651" t="str">
        <f t="shared" si="141"/>
        <v>Dec</v>
      </c>
      <c r="X651" t="str">
        <f t="shared" si="142"/>
        <v>Q4</v>
      </c>
      <c r="Y651" t="str">
        <f t="shared" si="143"/>
        <v>Sun</v>
      </c>
      <c r="Z651" s="16">
        <f t="shared" si="144"/>
        <v>5</v>
      </c>
      <c r="AA651" s="13">
        <f t="shared" si="145"/>
        <v>100.79199999999999</v>
      </c>
      <c r="AB651" s="14">
        <f t="shared" si="146"/>
        <v>7.5000000000000011E-2</v>
      </c>
      <c r="AC651" t="str">
        <f t="shared" si="147"/>
        <v>Low (1-20%)</v>
      </c>
      <c r="AD651" t="str">
        <f t="shared" si="148"/>
        <v>High ($200-$500)</v>
      </c>
      <c r="AE651" t="str">
        <f t="shared" si="149"/>
        <v>Medium (3-5 units)</v>
      </c>
      <c r="AF651" t="str">
        <f t="shared" si="150"/>
        <v>Profitable</v>
      </c>
      <c r="AG651" t="str">
        <f t="shared" si="151"/>
        <v>Low Margin</v>
      </c>
      <c r="AH651" t="str">
        <f t="shared" si="152"/>
        <v>Repeat Customer</v>
      </c>
      <c r="AI651" t="str">
        <f t="shared" si="153"/>
        <v>Standard (3-5 days)</v>
      </c>
    </row>
    <row r="652" spans="1:35" ht="15" customHeight="1" x14ac:dyDescent="0.3">
      <c r="A652">
        <v>651</v>
      </c>
      <c r="B652" t="s">
        <v>2327</v>
      </c>
      <c r="C652" s="12">
        <v>42715</v>
      </c>
      <c r="D652" s="12">
        <v>42720</v>
      </c>
      <c r="E652" t="s">
        <v>206</v>
      </c>
      <c r="F652" t="s">
        <v>2328</v>
      </c>
      <c r="G652" t="s">
        <v>2329</v>
      </c>
      <c r="H652" t="s">
        <v>224</v>
      </c>
      <c r="I652" t="s">
        <v>210</v>
      </c>
      <c r="J652" t="s">
        <v>2330</v>
      </c>
      <c r="K652" t="s">
        <v>279</v>
      </c>
      <c r="L652">
        <v>98661</v>
      </c>
      <c r="M652" t="s">
        <v>227</v>
      </c>
      <c r="N652" t="s">
        <v>2331</v>
      </c>
      <c r="O652" t="s">
        <v>254</v>
      </c>
      <c r="P652" t="s">
        <v>344</v>
      </c>
      <c r="Q652" t="s">
        <v>2332</v>
      </c>
      <c r="R652" s="13">
        <v>316</v>
      </c>
      <c r="S652">
        <v>4</v>
      </c>
      <c r="T652" s="14">
        <v>0</v>
      </c>
      <c r="U652" s="13">
        <v>31.6</v>
      </c>
      <c r="V652">
        <f t="shared" si="140"/>
        <v>2016</v>
      </c>
      <c r="W652" t="str">
        <f t="shared" si="141"/>
        <v>Dec</v>
      </c>
      <c r="X652" t="str">
        <f t="shared" si="142"/>
        <v>Q4</v>
      </c>
      <c r="Y652" t="str">
        <f t="shared" si="143"/>
        <v>Sun</v>
      </c>
      <c r="Z652" s="16">
        <f t="shared" si="144"/>
        <v>5</v>
      </c>
      <c r="AA652" s="13">
        <f t="shared" si="145"/>
        <v>79</v>
      </c>
      <c r="AB652" s="14">
        <f t="shared" si="146"/>
        <v>0.1</v>
      </c>
      <c r="AC652" t="str">
        <f t="shared" si="147"/>
        <v>No Discount</v>
      </c>
      <c r="AD652" t="str">
        <f t="shared" si="148"/>
        <v>High ($200-$500)</v>
      </c>
      <c r="AE652" t="str">
        <f t="shared" si="149"/>
        <v>Medium (3-5 units)</v>
      </c>
      <c r="AF652" t="str">
        <f t="shared" si="150"/>
        <v>Profitable</v>
      </c>
      <c r="AG652" t="str">
        <f t="shared" si="151"/>
        <v>Healthy Margin</v>
      </c>
      <c r="AH652" t="str">
        <f t="shared" si="152"/>
        <v>Repeat Customer</v>
      </c>
      <c r="AI652" t="str">
        <f t="shared" si="153"/>
        <v>Standard (3-5 days)</v>
      </c>
    </row>
    <row r="653" spans="1:35" ht="15" customHeight="1" x14ac:dyDescent="0.3">
      <c r="A653">
        <v>652</v>
      </c>
      <c r="B653" t="s">
        <v>2333</v>
      </c>
      <c r="C653" s="12">
        <v>42666</v>
      </c>
      <c r="D653" s="12">
        <v>42672</v>
      </c>
      <c r="E653" t="s">
        <v>233</v>
      </c>
      <c r="F653" t="s">
        <v>2334</v>
      </c>
      <c r="G653" t="s">
        <v>2335</v>
      </c>
      <c r="H653" t="s">
        <v>285</v>
      </c>
      <c r="I653" t="s">
        <v>210</v>
      </c>
      <c r="J653" t="s">
        <v>449</v>
      </c>
      <c r="K653" t="s">
        <v>450</v>
      </c>
      <c r="L653">
        <v>10024</v>
      </c>
      <c r="M653" t="s">
        <v>331</v>
      </c>
      <c r="N653" t="s">
        <v>503</v>
      </c>
      <c r="O653" t="s">
        <v>229</v>
      </c>
      <c r="P653" t="s">
        <v>273</v>
      </c>
      <c r="Q653" t="s">
        <v>504</v>
      </c>
      <c r="R653" s="13">
        <v>379.4</v>
      </c>
      <c r="S653">
        <v>10</v>
      </c>
      <c r="T653" s="14">
        <v>0</v>
      </c>
      <c r="U653" s="13">
        <v>178.31800000000001</v>
      </c>
      <c r="V653">
        <f t="shared" si="140"/>
        <v>2016</v>
      </c>
      <c r="W653" t="str">
        <f t="shared" si="141"/>
        <v>Oct</v>
      </c>
      <c r="X653" t="str">
        <f t="shared" si="142"/>
        <v>Q4</v>
      </c>
      <c r="Y653" t="str">
        <f t="shared" si="143"/>
        <v>Sun</v>
      </c>
      <c r="Z653" s="16">
        <f t="shared" si="144"/>
        <v>6</v>
      </c>
      <c r="AA653" s="13">
        <f t="shared" si="145"/>
        <v>37.94</v>
      </c>
      <c r="AB653" s="14">
        <f t="shared" si="146"/>
        <v>0.47000000000000008</v>
      </c>
      <c r="AC653" t="str">
        <f t="shared" si="147"/>
        <v>No Discount</v>
      </c>
      <c r="AD653" t="str">
        <f t="shared" si="148"/>
        <v>High ($200-$500)</v>
      </c>
      <c r="AE653" t="str">
        <f t="shared" si="149"/>
        <v>Large (6+ units)</v>
      </c>
      <c r="AF653" t="str">
        <f t="shared" si="150"/>
        <v>Profitable</v>
      </c>
      <c r="AG653" t="str">
        <f t="shared" si="151"/>
        <v>High Margin</v>
      </c>
      <c r="AH653" t="str">
        <f t="shared" si="152"/>
        <v>Single Purchase</v>
      </c>
      <c r="AI653" t="str">
        <f t="shared" si="153"/>
        <v>Slow (6+ days)</v>
      </c>
    </row>
    <row r="654" spans="1:35" ht="15" customHeight="1" x14ac:dyDescent="0.3">
      <c r="A654">
        <v>653</v>
      </c>
      <c r="B654" t="s">
        <v>2336</v>
      </c>
      <c r="C654" s="12">
        <v>42905</v>
      </c>
      <c r="D654" s="12">
        <v>42909</v>
      </c>
      <c r="E654" t="s">
        <v>233</v>
      </c>
      <c r="F654" t="s">
        <v>1511</v>
      </c>
      <c r="G654" t="s">
        <v>1512</v>
      </c>
      <c r="H654" t="s">
        <v>224</v>
      </c>
      <c r="I654" t="s">
        <v>210</v>
      </c>
      <c r="J654" t="s">
        <v>449</v>
      </c>
      <c r="K654" t="s">
        <v>450</v>
      </c>
      <c r="L654">
        <v>10035</v>
      </c>
      <c r="M654" t="s">
        <v>331</v>
      </c>
      <c r="N654" t="s">
        <v>479</v>
      </c>
      <c r="O654" t="s">
        <v>229</v>
      </c>
      <c r="P654" t="s">
        <v>273</v>
      </c>
      <c r="Q654" t="s">
        <v>480</v>
      </c>
      <c r="R654" s="13">
        <v>97.82</v>
      </c>
      <c r="S654">
        <v>2</v>
      </c>
      <c r="T654" s="14">
        <v>0</v>
      </c>
      <c r="U654" s="13">
        <v>45.9754</v>
      </c>
      <c r="V654">
        <f t="shared" si="140"/>
        <v>2017</v>
      </c>
      <c r="W654" t="str">
        <f t="shared" si="141"/>
        <v>Jun</v>
      </c>
      <c r="X654" t="str">
        <f t="shared" si="142"/>
        <v>Q2</v>
      </c>
      <c r="Y654" t="str">
        <f t="shared" si="143"/>
        <v>Mon</v>
      </c>
      <c r="Z654" s="16">
        <f t="shared" si="144"/>
        <v>4</v>
      </c>
      <c r="AA654" s="13">
        <f t="shared" si="145"/>
        <v>48.91</v>
      </c>
      <c r="AB654" s="14">
        <f t="shared" si="146"/>
        <v>0.47000000000000003</v>
      </c>
      <c r="AC654" t="str">
        <f t="shared" si="147"/>
        <v>No Discount</v>
      </c>
      <c r="AD654" t="str">
        <f t="shared" si="148"/>
        <v>Medium ($50-$200)</v>
      </c>
      <c r="AE654" t="str">
        <f t="shared" si="149"/>
        <v>Small (1-2 units)</v>
      </c>
      <c r="AF654" t="str">
        <f t="shared" si="150"/>
        <v>Profitable</v>
      </c>
      <c r="AG654" t="str">
        <f t="shared" si="151"/>
        <v>High Margin</v>
      </c>
      <c r="AH654" t="str">
        <f t="shared" si="152"/>
        <v>Repeat Customer</v>
      </c>
      <c r="AI654" t="str">
        <f t="shared" si="153"/>
        <v>Standard (3-5 days)</v>
      </c>
    </row>
    <row r="655" spans="1:35" ht="15" customHeight="1" x14ac:dyDescent="0.3">
      <c r="A655">
        <v>654</v>
      </c>
      <c r="B655" t="s">
        <v>2336</v>
      </c>
      <c r="C655" s="12">
        <v>42905</v>
      </c>
      <c r="D655" s="12">
        <v>42909</v>
      </c>
      <c r="E655" t="s">
        <v>233</v>
      </c>
      <c r="F655" t="s">
        <v>1511</v>
      </c>
      <c r="G655" t="s">
        <v>1512</v>
      </c>
      <c r="H655" t="s">
        <v>224</v>
      </c>
      <c r="I655" t="s">
        <v>210</v>
      </c>
      <c r="J655" t="s">
        <v>449</v>
      </c>
      <c r="K655" t="s">
        <v>450</v>
      </c>
      <c r="L655">
        <v>10035</v>
      </c>
      <c r="M655" t="s">
        <v>331</v>
      </c>
      <c r="N655" t="s">
        <v>2337</v>
      </c>
      <c r="O655" t="s">
        <v>254</v>
      </c>
      <c r="P655" t="s">
        <v>344</v>
      </c>
      <c r="Q655" t="s">
        <v>2338</v>
      </c>
      <c r="R655" s="13">
        <v>103.12</v>
      </c>
      <c r="S655">
        <v>8</v>
      </c>
      <c r="T655" s="14">
        <v>0</v>
      </c>
      <c r="U655" s="13">
        <v>10.311999999999999</v>
      </c>
      <c r="V655">
        <f t="shared" si="140"/>
        <v>2017</v>
      </c>
      <c r="W655" t="str">
        <f t="shared" si="141"/>
        <v>Jun</v>
      </c>
      <c r="X655" t="str">
        <f t="shared" si="142"/>
        <v>Q2</v>
      </c>
      <c r="Y655" t="str">
        <f t="shared" si="143"/>
        <v>Mon</v>
      </c>
      <c r="Z655" s="16">
        <f t="shared" si="144"/>
        <v>4</v>
      </c>
      <c r="AA655" s="13">
        <f t="shared" si="145"/>
        <v>12.89</v>
      </c>
      <c r="AB655" s="14">
        <f t="shared" si="146"/>
        <v>9.9999999999999992E-2</v>
      </c>
      <c r="AC655" t="str">
        <f t="shared" si="147"/>
        <v>No Discount</v>
      </c>
      <c r="AD655" t="str">
        <f t="shared" si="148"/>
        <v>Medium ($50-$200)</v>
      </c>
      <c r="AE655" t="str">
        <f t="shared" si="149"/>
        <v>Large (6+ units)</v>
      </c>
      <c r="AF655" t="str">
        <f t="shared" si="150"/>
        <v>Profitable</v>
      </c>
      <c r="AG655" t="str">
        <f t="shared" si="151"/>
        <v>Healthy Margin</v>
      </c>
      <c r="AH655" t="str">
        <f t="shared" si="152"/>
        <v>Repeat Customer</v>
      </c>
      <c r="AI655" t="str">
        <f t="shared" si="153"/>
        <v>Standard (3-5 days)</v>
      </c>
    </row>
    <row r="656" spans="1:35" ht="15" customHeight="1" x14ac:dyDescent="0.3">
      <c r="A656">
        <v>655</v>
      </c>
      <c r="B656" t="s">
        <v>2339</v>
      </c>
      <c r="C656" s="12">
        <v>42604</v>
      </c>
      <c r="D656" s="12">
        <v>42610</v>
      </c>
      <c r="E656" t="s">
        <v>233</v>
      </c>
      <c r="F656" t="s">
        <v>2340</v>
      </c>
      <c r="G656" t="s">
        <v>2341</v>
      </c>
      <c r="H656" t="s">
        <v>209</v>
      </c>
      <c r="I656" t="s">
        <v>210</v>
      </c>
      <c r="J656" t="s">
        <v>680</v>
      </c>
      <c r="K656" t="s">
        <v>681</v>
      </c>
      <c r="L656">
        <v>43229</v>
      </c>
      <c r="M656" t="s">
        <v>331</v>
      </c>
      <c r="N656" t="s">
        <v>2342</v>
      </c>
      <c r="O656" t="s">
        <v>229</v>
      </c>
      <c r="P656" t="s">
        <v>261</v>
      </c>
      <c r="Q656" t="s">
        <v>2343</v>
      </c>
      <c r="R656" s="13">
        <v>113.55200000000001</v>
      </c>
      <c r="S656">
        <v>2</v>
      </c>
      <c r="T656" s="14">
        <v>0.2</v>
      </c>
      <c r="U656" s="13">
        <v>8.5163999999999902</v>
      </c>
      <c r="V656">
        <f t="shared" si="140"/>
        <v>2016</v>
      </c>
      <c r="W656" t="str">
        <f t="shared" si="141"/>
        <v>Aug</v>
      </c>
      <c r="X656" t="str">
        <f t="shared" si="142"/>
        <v>Q3</v>
      </c>
      <c r="Y656" t="str">
        <f t="shared" si="143"/>
        <v>Mon</v>
      </c>
      <c r="Z656" s="16">
        <f t="shared" si="144"/>
        <v>6</v>
      </c>
      <c r="AA656" s="13">
        <f t="shared" si="145"/>
        <v>56.776000000000003</v>
      </c>
      <c r="AB656" s="14">
        <f t="shared" si="146"/>
        <v>7.4999999999999914E-2</v>
      </c>
      <c r="AC656" t="str">
        <f t="shared" si="147"/>
        <v>Low (1-20%)</v>
      </c>
      <c r="AD656" t="str">
        <f t="shared" si="148"/>
        <v>Medium ($50-$200)</v>
      </c>
      <c r="AE656" t="str">
        <f t="shared" si="149"/>
        <v>Small (1-2 units)</v>
      </c>
      <c r="AF656" t="str">
        <f t="shared" si="150"/>
        <v>Profitable</v>
      </c>
      <c r="AG656" t="str">
        <f t="shared" si="151"/>
        <v>Low Margin</v>
      </c>
      <c r="AH656" t="str">
        <f t="shared" si="152"/>
        <v>Repeat Customer</v>
      </c>
      <c r="AI656" t="str">
        <f t="shared" si="153"/>
        <v>Slow (6+ days)</v>
      </c>
    </row>
    <row r="657" spans="1:35" ht="15" customHeight="1" x14ac:dyDescent="0.3">
      <c r="A657">
        <v>656</v>
      </c>
      <c r="B657" t="s">
        <v>2339</v>
      </c>
      <c r="C657" s="12">
        <v>42604</v>
      </c>
      <c r="D657" s="12">
        <v>42610</v>
      </c>
      <c r="E657" t="s">
        <v>233</v>
      </c>
      <c r="F657" t="s">
        <v>2340</v>
      </c>
      <c r="G657" t="s">
        <v>2341</v>
      </c>
      <c r="H657" t="s">
        <v>209</v>
      </c>
      <c r="I657" t="s">
        <v>210</v>
      </c>
      <c r="J657" t="s">
        <v>680</v>
      </c>
      <c r="K657" t="s">
        <v>681</v>
      </c>
      <c r="L657">
        <v>43229</v>
      </c>
      <c r="M657" t="s">
        <v>331</v>
      </c>
      <c r="N657" t="s">
        <v>2344</v>
      </c>
      <c r="O657" t="s">
        <v>229</v>
      </c>
      <c r="P657" t="s">
        <v>258</v>
      </c>
      <c r="Q657" t="s">
        <v>2345</v>
      </c>
      <c r="R657" s="13">
        <v>3.3180000000000001</v>
      </c>
      <c r="S657">
        <v>2</v>
      </c>
      <c r="T657" s="14">
        <v>0.7</v>
      </c>
      <c r="U657" s="13">
        <v>-2.6543999999999999</v>
      </c>
      <c r="V657">
        <f t="shared" si="140"/>
        <v>2016</v>
      </c>
      <c r="W657" t="str">
        <f t="shared" si="141"/>
        <v>Aug</v>
      </c>
      <c r="X657" t="str">
        <f t="shared" si="142"/>
        <v>Q3</v>
      </c>
      <c r="Y657" t="str">
        <f t="shared" si="143"/>
        <v>Mon</v>
      </c>
      <c r="Z657" s="16">
        <f t="shared" si="144"/>
        <v>6</v>
      </c>
      <c r="AA657" s="13">
        <f t="shared" si="145"/>
        <v>1.659</v>
      </c>
      <c r="AB657" s="14">
        <f t="shared" si="146"/>
        <v>-0.79999999999999993</v>
      </c>
      <c r="AC657" t="str">
        <f t="shared" si="147"/>
        <v>High (40%+)</v>
      </c>
      <c r="AD657" t="str">
        <f t="shared" si="148"/>
        <v>Low (&lt;$50)</v>
      </c>
      <c r="AE657" t="str">
        <f t="shared" si="149"/>
        <v>Small (1-2 units)</v>
      </c>
      <c r="AF657" t="str">
        <f t="shared" si="150"/>
        <v>Loss-Making</v>
      </c>
      <c r="AG657" t="str">
        <f t="shared" si="151"/>
        <v>Underperforming</v>
      </c>
      <c r="AH657" t="str">
        <f t="shared" si="152"/>
        <v>Repeat Customer</v>
      </c>
      <c r="AI657" t="str">
        <f t="shared" si="153"/>
        <v>Slow (6+ days)</v>
      </c>
    </row>
    <row r="658" spans="1:35" ht="15" customHeight="1" x14ac:dyDescent="0.3">
      <c r="A658">
        <v>657</v>
      </c>
      <c r="B658" t="s">
        <v>2339</v>
      </c>
      <c r="C658" s="12">
        <v>42604</v>
      </c>
      <c r="D658" s="12">
        <v>42610</v>
      </c>
      <c r="E658" t="s">
        <v>233</v>
      </c>
      <c r="F658" t="s">
        <v>2340</v>
      </c>
      <c r="G658" t="s">
        <v>2341</v>
      </c>
      <c r="H658" t="s">
        <v>209</v>
      </c>
      <c r="I658" t="s">
        <v>210</v>
      </c>
      <c r="J658" t="s">
        <v>680</v>
      </c>
      <c r="K658" t="s">
        <v>681</v>
      </c>
      <c r="L658">
        <v>43229</v>
      </c>
      <c r="M658" t="s">
        <v>331</v>
      </c>
      <c r="N658" t="s">
        <v>2346</v>
      </c>
      <c r="O658" t="s">
        <v>229</v>
      </c>
      <c r="P658" t="s">
        <v>356</v>
      </c>
      <c r="Q658" t="s">
        <v>2347</v>
      </c>
      <c r="R658" s="13">
        <v>134.28800000000001</v>
      </c>
      <c r="S658">
        <v>2</v>
      </c>
      <c r="T658" s="14">
        <v>0.2</v>
      </c>
      <c r="U658" s="13">
        <v>45.322200000000002</v>
      </c>
      <c r="V658">
        <f t="shared" si="140"/>
        <v>2016</v>
      </c>
      <c r="W658" t="str">
        <f t="shared" si="141"/>
        <v>Aug</v>
      </c>
      <c r="X658" t="str">
        <f t="shared" si="142"/>
        <v>Q3</v>
      </c>
      <c r="Y658" t="str">
        <f t="shared" si="143"/>
        <v>Mon</v>
      </c>
      <c r="Z658" s="16">
        <f t="shared" si="144"/>
        <v>6</v>
      </c>
      <c r="AA658" s="13">
        <f t="shared" si="145"/>
        <v>67.144000000000005</v>
      </c>
      <c r="AB658" s="14">
        <f t="shared" si="146"/>
        <v>0.33749999999999997</v>
      </c>
      <c r="AC658" t="str">
        <f t="shared" si="147"/>
        <v>Low (1-20%)</v>
      </c>
      <c r="AD658" t="str">
        <f t="shared" si="148"/>
        <v>Medium ($50-$200)</v>
      </c>
      <c r="AE658" t="str">
        <f t="shared" si="149"/>
        <v>Small (1-2 units)</v>
      </c>
      <c r="AF658" t="str">
        <f t="shared" si="150"/>
        <v>Profitable</v>
      </c>
      <c r="AG658" t="str">
        <f t="shared" si="151"/>
        <v>High Margin</v>
      </c>
      <c r="AH658" t="str">
        <f t="shared" si="152"/>
        <v>Repeat Customer</v>
      </c>
      <c r="AI658" t="str">
        <f t="shared" si="153"/>
        <v>Slow (6+ days)</v>
      </c>
    </row>
    <row r="659" spans="1:35" ht="15" customHeight="1" x14ac:dyDescent="0.3">
      <c r="A659">
        <v>658</v>
      </c>
      <c r="B659" t="s">
        <v>2348</v>
      </c>
      <c r="C659" s="12">
        <v>42632</v>
      </c>
      <c r="D659" s="12">
        <v>42632</v>
      </c>
      <c r="E659" t="s">
        <v>1476</v>
      </c>
      <c r="F659" t="s">
        <v>2349</v>
      </c>
      <c r="G659" t="s">
        <v>2350</v>
      </c>
      <c r="H659" t="s">
        <v>285</v>
      </c>
      <c r="I659" t="s">
        <v>210</v>
      </c>
      <c r="J659" t="s">
        <v>639</v>
      </c>
      <c r="K659" t="s">
        <v>394</v>
      </c>
      <c r="L659">
        <v>60505</v>
      </c>
      <c r="M659" t="s">
        <v>288</v>
      </c>
      <c r="N659" t="s">
        <v>1914</v>
      </c>
      <c r="O659" t="s">
        <v>215</v>
      </c>
      <c r="P659" t="s">
        <v>219</v>
      </c>
      <c r="Q659" t="s">
        <v>1915</v>
      </c>
      <c r="R659" s="13">
        <v>701.37199999999996</v>
      </c>
      <c r="S659">
        <v>2</v>
      </c>
      <c r="T659" s="14">
        <v>0.3</v>
      </c>
      <c r="U659" s="13">
        <v>-50.097999999999999</v>
      </c>
      <c r="V659">
        <f t="shared" si="140"/>
        <v>2016</v>
      </c>
      <c r="W659" t="str">
        <f t="shared" si="141"/>
        <v>Sep</v>
      </c>
      <c r="X659" t="str">
        <f t="shared" si="142"/>
        <v>Q3</v>
      </c>
      <c r="Y659" t="str">
        <f t="shared" si="143"/>
        <v>Mon</v>
      </c>
      <c r="Z659" s="16">
        <f t="shared" si="144"/>
        <v>0</v>
      </c>
      <c r="AA659" s="13">
        <f t="shared" si="145"/>
        <v>350.68599999999998</v>
      </c>
      <c r="AB659" s="14">
        <f t="shared" si="146"/>
        <v>-7.1428571428571425E-2</v>
      </c>
      <c r="AC659" t="str">
        <f t="shared" si="147"/>
        <v>Medium (21-40%)</v>
      </c>
      <c r="AD659" t="str">
        <f t="shared" si="148"/>
        <v>Premium ($500+)</v>
      </c>
      <c r="AE659" t="str">
        <f t="shared" si="149"/>
        <v>Small (1-2 units)</v>
      </c>
      <c r="AF659" t="str">
        <f t="shared" si="150"/>
        <v>Loss-Making</v>
      </c>
      <c r="AG659" t="str">
        <f t="shared" si="151"/>
        <v>Underperforming</v>
      </c>
      <c r="AH659" t="str">
        <f t="shared" si="152"/>
        <v>Repeat Customer</v>
      </c>
      <c r="AI659" t="str">
        <f t="shared" si="153"/>
        <v>Fast (&lt;=2 days)</v>
      </c>
    </row>
    <row r="660" spans="1:35" ht="15" customHeight="1" x14ac:dyDescent="0.3">
      <c r="A660">
        <v>659</v>
      </c>
      <c r="B660" t="s">
        <v>2348</v>
      </c>
      <c r="C660" s="12">
        <v>42632</v>
      </c>
      <c r="D660" s="12">
        <v>42632</v>
      </c>
      <c r="E660" t="s">
        <v>1476</v>
      </c>
      <c r="F660" t="s">
        <v>2349</v>
      </c>
      <c r="G660" t="s">
        <v>2350</v>
      </c>
      <c r="H660" t="s">
        <v>285</v>
      </c>
      <c r="I660" t="s">
        <v>210</v>
      </c>
      <c r="J660" t="s">
        <v>639</v>
      </c>
      <c r="K660" t="s">
        <v>394</v>
      </c>
      <c r="L660">
        <v>60505</v>
      </c>
      <c r="M660" t="s">
        <v>288</v>
      </c>
      <c r="N660" t="s">
        <v>508</v>
      </c>
      <c r="O660" t="s">
        <v>229</v>
      </c>
      <c r="P660" t="s">
        <v>258</v>
      </c>
      <c r="Q660" t="s">
        <v>509</v>
      </c>
      <c r="R660" s="13">
        <v>2.3079999999999998</v>
      </c>
      <c r="S660">
        <v>2</v>
      </c>
      <c r="T660" s="14">
        <v>0.8</v>
      </c>
      <c r="U660" s="13">
        <v>-3.4620000000000002</v>
      </c>
      <c r="V660">
        <f t="shared" si="140"/>
        <v>2016</v>
      </c>
      <c r="W660" t="str">
        <f t="shared" si="141"/>
        <v>Sep</v>
      </c>
      <c r="X660" t="str">
        <f t="shared" si="142"/>
        <v>Q3</v>
      </c>
      <c r="Y660" t="str">
        <f t="shared" si="143"/>
        <v>Mon</v>
      </c>
      <c r="Z660" s="16">
        <f t="shared" si="144"/>
        <v>0</v>
      </c>
      <c r="AA660" s="13">
        <f t="shared" si="145"/>
        <v>1.1539999999999999</v>
      </c>
      <c r="AB660" s="14">
        <f t="shared" si="146"/>
        <v>-1.5000000000000002</v>
      </c>
      <c r="AC660" t="str">
        <f t="shared" si="147"/>
        <v>High (40%+)</v>
      </c>
      <c r="AD660" t="str">
        <f t="shared" si="148"/>
        <v>Low (&lt;$50)</v>
      </c>
      <c r="AE660" t="str">
        <f t="shared" si="149"/>
        <v>Small (1-2 units)</v>
      </c>
      <c r="AF660" t="str">
        <f t="shared" si="150"/>
        <v>Loss-Making</v>
      </c>
      <c r="AG660" t="str">
        <f t="shared" si="151"/>
        <v>Underperforming</v>
      </c>
      <c r="AH660" t="str">
        <f t="shared" si="152"/>
        <v>Repeat Customer</v>
      </c>
      <c r="AI660" t="str">
        <f t="shared" si="153"/>
        <v>Fast (&lt;=2 days)</v>
      </c>
    </row>
    <row r="661" spans="1:35" ht="15" customHeight="1" x14ac:dyDescent="0.3">
      <c r="A661">
        <v>660</v>
      </c>
      <c r="B661" t="s">
        <v>2351</v>
      </c>
      <c r="C661" s="12">
        <v>42240</v>
      </c>
      <c r="D661" s="12">
        <v>42244</v>
      </c>
      <c r="E661" t="s">
        <v>233</v>
      </c>
      <c r="F661" t="s">
        <v>962</v>
      </c>
      <c r="G661" t="s">
        <v>963</v>
      </c>
      <c r="H661" t="s">
        <v>209</v>
      </c>
      <c r="I661" t="s">
        <v>210</v>
      </c>
      <c r="J661" t="s">
        <v>1313</v>
      </c>
      <c r="K661" t="s">
        <v>287</v>
      </c>
      <c r="L661">
        <v>76017</v>
      </c>
      <c r="M661" t="s">
        <v>288</v>
      </c>
      <c r="N661" t="s">
        <v>2199</v>
      </c>
      <c r="O661" t="s">
        <v>229</v>
      </c>
      <c r="P661" t="s">
        <v>242</v>
      </c>
      <c r="Q661" t="s">
        <v>2200</v>
      </c>
      <c r="R661" s="13">
        <v>999.43200000000002</v>
      </c>
      <c r="S661">
        <v>7</v>
      </c>
      <c r="T661" s="14">
        <v>0.2</v>
      </c>
      <c r="U661" s="13">
        <v>124.929</v>
      </c>
      <c r="V661">
        <f t="shared" si="140"/>
        <v>2015</v>
      </c>
      <c r="W661" t="str">
        <f t="shared" si="141"/>
        <v>Aug</v>
      </c>
      <c r="X661" t="str">
        <f t="shared" si="142"/>
        <v>Q3</v>
      </c>
      <c r="Y661" t="str">
        <f t="shared" si="143"/>
        <v>Mon</v>
      </c>
      <c r="Z661" s="16">
        <f t="shared" si="144"/>
        <v>4</v>
      </c>
      <c r="AA661" s="13">
        <f t="shared" si="145"/>
        <v>142.77600000000001</v>
      </c>
      <c r="AB661" s="14">
        <f t="shared" si="146"/>
        <v>0.125</v>
      </c>
      <c r="AC661" t="str">
        <f t="shared" si="147"/>
        <v>Low (1-20%)</v>
      </c>
      <c r="AD661" t="str">
        <f t="shared" si="148"/>
        <v>Premium ($500+)</v>
      </c>
      <c r="AE661" t="str">
        <f t="shared" si="149"/>
        <v>Large (6+ units)</v>
      </c>
      <c r="AF661" t="str">
        <f t="shared" si="150"/>
        <v>Profitable</v>
      </c>
      <c r="AG661" t="str">
        <f t="shared" si="151"/>
        <v>Healthy Margin</v>
      </c>
      <c r="AH661" t="str">
        <f t="shared" si="152"/>
        <v>Repeat Customer</v>
      </c>
      <c r="AI661" t="str">
        <f t="shared" si="153"/>
        <v>Standard (3-5 days)</v>
      </c>
    </row>
    <row r="662" spans="1:35" ht="15" customHeight="1" x14ac:dyDescent="0.3">
      <c r="A662">
        <v>661</v>
      </c>
      <c r="B662" t="s">
        <v>2351</v>
      </c>
      <c r="C662" s="12">
        <v>42240</v>
      </c>
      <c r="D662" s="12">
        <v>42244</v>
      </c>
      <c r="E662" t="s">
        <v>233</v>
      </c>
      <c r="F662" t="s">
        <v>962</v>
      </c>
      <c r="G662" t="s">
        <v>963</v>
      </c>
      <c r="H662" t="s">
        <v>209</v>
      </c>
      <c r="I662" t="s">
        <v>210</v>
      </c>
      <c r="J662" t="s">
        <v>1313</v>
      </c>
      <c r="K662" t="s">
        <v>287</v>
      </c>
      <c r="L662">
        <v>76017</v>
      </c>
      <c r="M662" t="s">
        <v>288</v>
      </c>
      <c r="N662" t="s">
        <v>2352</v>
      </c>
      <c r="O662" t="s">
        <v>229</v>
      </c>
      <c r="P662" t="s">
        <v>242</v>
      </c>
      <c r="Q662" t="s">
        <v>2353</v>
      </c>
      <c r="R662" s="13">
        <v>724.08</v>
      </c>
      <c r="S662">
        <v>14</v>
      </c>
      <c r="T662" s="14">
        <v>0.2</v>
      </c>
      <c r="U662" s="13">
        <v>-135.76499999999999</v>
      </c>
      <c r="V662">
        <f t="shared" si="140"/>
        <v>2015</v>
      </c>
      <c r="W662" t="str">
        <f t="shared" si="141"/>
        <v>Aug</v>
      </c>
      <c r="X662" t="str">
        <f t="shared" si="142"/>
        <v>Q3</v>
      </c>
      <c r="Y662" t="str">
        <f t="shared" si="143"/>
        <v>Mon</v>
      </c>
      <c r="Z662" s="16">
        <f t="shared" si="144"/>
        <v>4</v>
      </c>
      <c r="AA662" s="13">
        <f t="shared" si="145"/>
        <v>51.720000000000006</v>
      </c>
      <c r="AB662" s="14">
        <f t="shared" si="146"/>
        <v>-0.18749999999999997</v>
      </c>
      <c r="AC662" t="str">
        <f t="shared" si="147"/>
        <v>Low (1-20%)</v>
      </c>
      <c r="AD662" t="str">
        <f t="shared" si="148"/>
        <v>Premium ($500+)</v>
      </c>
      <c r="AE662" t="str">
        <f t="shared" si="149"/>
        <v>Large (6+ units)</v>
      </c>
      <c r="AF662" t="str">
        <f t="shared" si="150"/>
        <v>Loss-Making</v>
      </c>
      <c r="AG662" t="str">
        <f t="shared" si="151"/>
        <v>Underperforming</v>
      </c>
      <c r="AH662" t="str">
        <f t="shared" si="152"/>
        <v>Repeat Customer</v>
      </c>
      <c r="AI662" t="str">
        <f t="shared" si="153"/>
        <v>Standard (3-5 days)</v>
      </c>
    </row>
    <row r="663" spans="1:35" ht="15" customHeight="1" x14ac:dyDescent="0.3">
      <c r="A663">
        <v>662</v>
      </c>
      <c r="B663" t="s">
        <v>2351</v>
      </c>
      <c r="C663" s="12">
        <v>42240</v>
      </c>
      <c r="D663" s="12">
        <v>42244</v>
      </c>
      <c r="E663" t="s">
        <v>233</v>
      </c>
      <c r="F663" t="s">
        <v>962</v>
      </c>
      <c r="G663" t="s">
        <v>963</v>
      </c>
      <c r="H663" t="s">
        <v>209</v>
      </c>
      <c r="I663" t="s">
        <v>210</v>
      </c>
      <c r="J663" t="s">
        <v>1313</v>
      </c>
      <c r="K663" t="s">
        <v>287</v>
      </c>
      <c r="L663">
        <v>76017</v>
      </c>
      <c r="M663" t="s">
        <v>288</v>
      </c>
      <c r="N663" t="s">
        <v>693</v>
      </c>
      <c r="O663" t="s">
        <v>215</v>
      </c>
      <c r="P663" t="s">
        <v>239</v>
      </c>
      <c r="Q663" t="s">
        <v>694</v>
      </c>
      <c r="R663" s="13">
        <v>918.78499999999997</v>
      </c>
      <c r="S663">
        <v>5</v>
      </c>
      <c r="T663" s="14">
        <v>0.3</v>
      </c>
      <c r="U663" s="13">
        <v>-118.12949999999999</v>
      </c>
      <c r="V663">
        <f t="shared" si="140"/>
        <v>2015</v>
      </c>
      <c r="W663" t="str">
        <f t="shared" si="141"/>
        <v>Aug</v>
      </c>
      <c r="X663" t="str">
        <f t="shared" si="142"/>
        <v>Q3</v>
      </c>
      <c r="Y663" t="str">
        <f t="shared" si="143"/>
        <v>Mon</v>
      </c>
      <c r="Z663" s="16">
        <f t="shared" si="144"/>
        <v>4</v>
      </c>
      <c r="AA663" s="13">
        <f t="shared" si="145"/>
        <v>183.75700000000001</v>
      </c>
      <c r="AB663" s="14">
        <f t="shared" si="146"/>
        <v>-0.12857142857142856</v>
      </c>
      <c r="AC663" t="str">
        <f t="shared" si="147"/>
        <v>Medium (21-40%)</v>
      </c>
      <c r="AD663" t="str">
        <f t="shared" si="148"/>
        <v>Premium ($500+)</v>
      </c>
      <c r="AE663" t="str">
        <f t="shared" si="149"/>
        <v>Medium (3-5 units)</v>
      </c>
      <c r="AF663" t="str">
        <f t="shared" si="150"/>
        <v>Loss-Making</v>
      </c>
      <c r="AG663" t="str">
        <f t="shared" si="151"/>
        <v>Underperforming</v>
      </c>
      <c r="AH663" t="str">
        <f t="shared" si="152"/>
        <v>Repeat Customer</v>
      </c>
      <c r="AI663" t="str">
        <f t="shared" si="153"/>
        <v>Standard (3-5 days)</v>
      </c>
    </row>
    <row r="664" spans="1:35" ht="15" customHeight="1" x14ac:dyDescent="0.3">
      <c r="A664">
        <v>663</v>
      </c>
      <c r="B664" t="s">
        <v>2351</v>
      </c>
      <c r="C664" s="12">
        <v>42240</v>
      </c>
      <c r="D664" s="12">
        <v>42244</v>
      </c>
      <c r="E664" t="s">
        <v>233</v>
      </c>
      <c r="F664" t="s">
        <v>962</v>
      </c>
      <c r="G664" t="s">
        <v>963</v>
      </c>
      <c r="H664" t="s">
        <v>209</v>
      </c>
      <c r="I664" t="s">
        <v>210</v>
      </c>
      <c r="J664" t="s">
        <v>1313</v>
      </c>
      <c r="K664" t="s">
        <v>287</v>
      </c>
      <c r="L664">
        <v>76017</v>
      </c>
      <c r="M664" t="s">
        <v>288</v>
      </c>
      <c r="N664" t="s">
        <v>675</v>
      </c>
      <c r="O664" t="s">
        <v>229</v>
      </c>
      <c r="P664" t="s">
        <v>258</v>
      </c>
      <c r="Q664" t="s">
        <v>676</v>
      </c>
      <c r="R664" s="13">
        <v>2.7240000000000002</v>
      </c>
      <c r="S664">
        <v>3</v>
      </c>
      <c r="T664" s="14">
        <v>0.8</v>
      </c>
      <c r="U664" s="13">
        <v>-4.2222</v>
      </c>
      <c r="V664">
        <f t="shared" si="140"/>
        <v>2015</v>
      </c>
      <c r="W664" t="str">
        <f t="shared" si="141"/>
        <v>Aug</v>
      </c>
      <c r="X664" t="str">
        <f t="shared" si="142"/>
        <v>Q3</v>
      </c>
      <c r="Y664" t="str">
        <f t="shared" si="143"/>
        <v>Mon</v>
      </c>
      <c r="Z664" s="16">
        <f t="shared" si="144"/>
        <v>4</v>
      </c>
      <c r="AA664" s="13">
        <f t="shared" si="145"/>
        <v>0.90800000000000003</v>
      </c>
      <c r="AB664" s="14">
        <f t="shared" si="146"/>
        <v>-1.5499999999999998</v>
      </c>
      <c r="AC664" t="str">
        <f t="shared" si="147"/>
        <v>High (40%+)</v>
      </c>
      <c r="AD664" t="str">
        <f t="shared" si="148"/>
        <v>Low (&lt;$50)</v>
      </c>
      <c r="AE664" t="str">
        <f t="shared" si="149"/>
        <v>Medium (3-5 units)</v>
      </c>
      <c r="AF664" t="str">
        <f t="shared" si="150"/>
        <v>Loss-Making</v>
      </c>
      <c r="AG664" t="str">
        <f t="shared" si="151"/>
        <v>Underperforming</v>
      </c>
      <c r="AH664" t="str">
        <f t="shared" si="152"/>
        <v>Repeat Customer</v>
      </c>
      <c r="AI664" t="str">
        <f t="shared" si="153"/>
        <v>Standard (3-5 days)</v>
      </c>
    </row>
    <row r="665" spans="1:35" ht="15" customHeight="1" x14ac:dyDescent="0.3">
      <c r="A665">
        <v>664</v>
      </c>
      <c r="B665" t="s">
        <v>2354</v>
      </c>
      <c r="C665" s="12">
        <v>42455</v>
      </c>
      <c r="D665" s="12">
        <v>42459</v>
      </c>
      <c r="E665" t="s">
        <v>233</v>
      </c>
      <c r="F665" t="s">
        <v>2355</v>
      </c>
      <c r="G665" t="s">
        <v>2356</v>
      </c>
      <c r="H665" t="s">
        <v>224</v>
      </c>
      <c r="I665" t="s">
        <v>210</v>
      </c>
      <c r="J665" t="s">
        <v>449</v>
      </c>
      <c r="K665" t="s">
        <v>450</v>
      </c>
      <c r="L665">
        <v>10011</v>
      </c>
      <c r="M665" t="s">
        <v>331</v>
      </c>
      <c r="N665" t="s">
        <v>1024</v>
      </c>
      <c r="O665" t="s">
        <v>229</v>
      </c>
      <c r="P665" t="s">
        <v>242</v>
      </c>
      <c r="Q665" t="s">
        <v>1025</v>
      </c>
      <c r="R665" s="13">
        <v>459.95</v>
      </c>
      <c r="S665">
        <v>5</v>
      </c>
      <c r="T665" s="14">
        <v>0</v>
      </c>
      <c r="U665" s="13">
        <v>18.398</v>
      </c>
      <c r="V665">
        <f t="shared" si="140"/>
        <v>2016</v>
      </c>
      <c r="W665" t="str">
        <f t="shared" si="141"/>
        <v>Mar</v>
      </c>
      <c r="X665" t="str">
        <f t="shared" si="142"/>
        <v>Q1</v>
      </c>
      <c r="Y665" t="str">
        <f t="shared" si="143"/>
        <v>Sat</v>
      </c>
      <c r="Z665" s="16">
        <f t="shared" si="144"/>
        <v>4</v>
      </c>
      <c r="AA665" s="13">
        <f t="shared" si="145"/>
        <v>91.99</v>
      </c>
      <c r="AB665" s="14">
        <f t="shared" si="146"/>
        <v>0.04</v>
      </c>
      <c r="AC665" t="str">
        <f t="shared" si="147"/>
        <v>No Discount</v>
      </c>
      <c r="AD665" t="str">
        <f t="shared" si="148"/>
        <v>High ($200-$500)</v>
      </c>
      <c r="AE665" t="str">
        <f t="shared" si="149"/>
        <v>Medium (3-5 units)</v>
      </c>
      <c r="AF665" t="str">
        <f t="shared" si="150"/>
        <v>Profitable</v>
      </c>
      <c r="AG665" t="str">
        <f t="shared" si="151"/>
        <v>Low Margin</v>
      </c>
      <c r="AH665" t="str">
        <f t="shared" si="152"/>
        <v>Single Purchase</v>
      </c>
      <c r="AI665" t="str">
        <f t="shared" si="153"/>
        <v>Standard (3-5 days)</v>
      </c>
    </row>
    <row r="666" spans="1:35" ht="15" customHeight="1" x14ac:dyDescent="0.3">
      <c r="A666">
        <v>665</v>
      </c>
      <c r="B666" t="s">
        <v>2357</v>
      </c>
      <c r="C666" s="12">
        <v>42678</v>
      </c>
      <c r="D666" s="12">
        <v>42678</v>
      </c>
      <c r="E666" t="s">
        <v>1476</v>
      </c>
      <c r="F666" t="s">
        <v>1170</v>
      </c>
      <c r="G666" t="s">
        <v>1171</v>
      </c>
      <c r="H666" t="s">
        <v>209</v>
      </c>
      <c r="I666" t="s">
        <v>210</v>
      </c>
      <c r="J666" t="s">
        <v>1661</v>
      </c>
      <c r="K666" t="s">
        <v>212</v>
      </c>
      <c r="L666">
        <v>40214</v>
      </c>
      <c r="M666" t="s">
        <v>213</v>
      </c>
      <c r="N666" t="s">
        <v>682</v>
      </c>
      <c r="O666" t="s">
        <v>229</v>
      </c>
      <c r="P666" t="s">
        <v>452</v>
      </c>
      <c r="Q666" t="s">
        <v>683</v>
      </c>
      <c r="R666" s="13">
        <v>10.74</v>
      </c>
      <c r="S666">
        <v>3</v>
      </c>
      <c r="T666" s="14">
        <v>0</v>
      </c>
      <c r="U666" s="13">
        <v>5.2625999999999999</v>
      </c>
      <c r="V666">
        <f t="shared" si="140"/>
        <v>2016</v>
      </c>
      <c r="W666" t="str">
        <f t="shared" si="141"/>
        <v>Nov</v>
      </c>
      <c r="X666" t="str">
        <f t="shared" si="142"/>
        <v>Q4</v>
      </c>
      <c r="Y666" t="str">
        <f t="shared" si="143"/>
        <v>Fri</v>
      </c>
      <c r="Z666" s="16">
        <f t="shared" si="144"/>
        <v>0</v>
      </c>
      <c r="AA666" s="13">
        <f t="shared" si="145"/>
        <v>3.58</v>
      </c>
      <c r="AB666" s="14">
        <f t="shared" si="146"/>
        <v>0.49</v>
      </c>
      <c r="AC666" t="str">
        <f t="shared" si="147"/>
        <v>No Discount</v>
      </c>
      <c r="AD666" t="str">
        <f t="shared" si="148"/>
        <v>Low (&lt;$50)</v>
      </c>
      <c r="AE666" t="str">
        <f t="shared" si="149"/>
        <v>Medium (3-5 units)</v>
      </c>
      <c r="AF666" t="str">
        <f t="shared" si="150"/>
        <v>Profitable</v>
      </c>
      <c r="AG666" t="str">
        <f t="shared" si="151"/>
        <v>High Margin</v>
      </c>
      <c r="AH666" t="str">
        <f t="shared" si="152"/>
        <v>Repeat Customer</v>
      </c>
      <c r="AI666" t="str">
        <f t="shared" si="153"/>
        <v>Fast (&lt;=2 days)</v>
      </c>
    </row>
    <row r="667" spans="1:35" ht="15" customHeight="1" x14ac:dyDescent="0.3">
      <c r="A667">
        <v>666</v>
      </c>
      <c r="B667" t="s">
        <v>2358</v>
      </c>
      <c r="C667" s="12">
        <v>42894</v>
      </c>
      <c r="D667" s="12">
        <v>42896</v>
      </c>
      <c r="E667" t="s">
        <v>206</v>
      </c>
      <c r="F667" t="s">
        <v>2359</v>
      </c>
      <c r="G667" t="s">
        <v>2360</v>
      </c>
      <c r="H667" t="s">
        <v>224</v>
      </c>
      <c r="I667" t="s">
        <v>210</v>
      </c>
      <c r="J667" t="s">
        <v>1000</v>
      </c>
      <c r="K667" t="s">
        <v>287</v>
      </c>
      <c r="L667">
        <v>75081</v>
      </c>
      <c r="M667" t="s">
        <v>288</v>
      </c>
      <c r="N667" t="s">
        <v>2361</v>
      </c>
      <c r="O667" t="s">
        <v>229</v>
      </c>
      <c r="P667" t="s">
        <v>762</v>
      </c>
      <c r="Q667" t="s">
        <v>2362</v>
      </c>
      <c r="R667" s="13">
        <v>23.76</v>
      </c>
      <c r="S667">
        <v>3</v>
      </c>
      <c r="T667" s="14">
        <v>0.2</v>
      </c>
      <c r="U667" s="13">
        <v>2.0790000000000002</v>
      </c>
      <c r="V667">
        <f t="shared" si="140"/>
        <v>2017</v>
      </c>
      <c r="W667" t="str">
        <f t="shared" si="141"/>
        <v>Jun</v>
      </c>
      <c r="X667" t="str">
        <f t="shared" si="142"/>
        <v>Q2</v>
      </c>
      <c r="Y667" t="str">
        <f t="shared" si="143"/>
        <v>Thu</v>
      </c>
      <c r="Z667" s="16">
        <f t="shared" si="144"/>
        <v>2</v>
      </c>
      <c r="AA667" s="13">
        <f t="shared" si="145"/>
        <v>7.9200000000000008</v>
      </c>
      <c r="AB667" s="14">
        <f t="shared" si="146"/>
        <v>8.7500000000000008E-2</v>
      </c>
      <c r="AC667" t="str">
        <f t="shared" si="147"/>
        <v>Low (1-20%)</v>
      </c>
      <c r="AD667" t="str">
        <f t="shared" si="148"/>
        <v>Low (&lt;$50)</v>
      </c>
      <c r="AE667" t="str">
        <f t="shared" si="149"/>
        <v>Medium (3-5 units)</v>
      </c>
      <c r="AF667" t="str">
        <f t="shared" si="150"/>
        <v>Profitable</v>
      </c>
      <c r="AG667" t="str">
        <f t="shared" si="151"/>
        <v>Low Margin</v>
      </c>
      <c r="AH667" t="str">
        <f t="shared" si="152"/>
        <v>Repeat Customer</v>
      </c>
      <c r="AI667" t="str">
        <f t="shared" si="153"/>
        <v>Fast (&lt;=2 days)</v>
      </c>
    </row>
    <row r="668" spans="1:35" ht="15" customHeight="1" x14ac:dyDescent="0.3">
      <c r="A668">
        <v>667</v>
      </c>
      <c r="B668" t="s">
        <v>2358</v>
      </c>
      <c r="C668" s="12">
        <v>42894</v>
      </c>
      <c r="D668" s="12">
        <v>42896</v>
      </c>
      <c r="E668" t="s">
        <v>206</v>
      </c>
      <c r="F668" t="s">
        <v>2359</v>
      </c>
      <c r="G668" t="s">
        <v>2360</v>
      </c>
      <c r="H668" t="s">
        <v>224</v>
      </c>
      <c r="I668" t="s">
        <v>210</v>
      </c>
      <c r="J668" t="s">
        <v>1000</v>
      </c>
      <c r="K668" t="s">
        <v>287</v>
      </c>
      <c r="L668">
        <v>75081</v>
      </c>
      <c r="M668" t="s">
        <v>288</v>
      </c>
      <c r="N668" t="s">
        <v>1240</v>
      </c>
      <c r="O668" t="s">
        <v>229</v>
      </c>
      <c r="P668" t="s">
        <v>273</v>
      </c>
      <c r="Q668" t="s">
        <v>369</v>
      </c>
      <c r="R668" s="13">
        <v>85.055999999999997</v>
      </c>
      <c r="S668">
        <v>3</v>
      </c>
      <c r="T668" s="14">
        <v>0.2</v>
      </c>
      <c r="U668" s="13">
        <v>28.706399999999999</v>
      </c>
      <c r="V668">
        <f t="shared" si="140"/>
        <v>2017</v>
      </c>
      <c r="W668" t="str">
        <f t="shared" si="141"/>
        <v>Jun</v>
      </c>
      <c r="X668" t="str">
        <f t="shared" si="142"/>
        <v>Q2</v>
      </c>
      <c r="Y668" t="str">
        <f t="shared" si="143"/>
        <v>Thu</v>
      </c>
      <c r="Z668" s="16">
        <f t="shared" si="144"/>
        <v>2</v>
      </c>
      <c r="AA668" s="13">
        <f t="shared" si="145"/>
        <v>28.352</v>
      </c>
      <c r="AB668" s="14">
        <f t="shared" si="146"/>
        <v>0.33749999999999997</v>
      </c>
      <c r="AC668" t="str">
        <f t="shared" si="147"/>
        <v>Low (1-20%)</v>
      </c>
      <c r="AD668" t="str">
        <f t="shared" si="148"/>
        <v>Medium ($50-$200)</v>
      </c>
      <c r="AE668" t="str">
        <f t="shared" si="149"/>
        <v>Medium (3-5 units)</v>
      </c>
      <c r="AF668" t="str">
        <f t="shared" si="150"/>
        <v>Profitable</v>
      </c>
      <c r="AG668" t="str">
        <f t="shared" si="151"/>
        <v>High Margin</v>
      </c>
      <c r="AH668" t="str">
        <f t="shared" si="152"/>
        <v>Repeat Customer</v>
      </c>
      <c r="AI668" t="str">
        <f t="shared" si="153"/>
        <v>Fast (&lt;=2 days)</v>
      </c>
    </row>
    <row r="669" spans="1:35" ht="15" customHeight="1" x14ac:dyDescent="0.3">
      <c r="A669">
        <v>668</v>
      </c>
      <c r="B669" t="s">
        <v>2358</v>
      </c>
      <c r="C669" s="12">
        <v>42894</v>
      </c>
      <c r="D669" s="12">
        <v>42896</v>
      </c>
      <c r="E669" t="s">
        <v>206</v>
      </c>
      <c r="F669" t="s">
        <v>2359</v>
      </c>
      <c r="G669" t="s">
        <v>2360</v>
      </c>
      <c r="H669" t="s">
        <v>224</v>
      </c>
      <c r="I669" t="s">
        <v>210</v>
      </c>
      <c r="J669" t="s">
        <v>1000</v>
      </c>
      <c r="K669" t="s">
        <v>287</v>
      </c>
      <c r="L669">
        <v>75081</v>
      </c>
      <c r="M669" t="s">
        <v>288</v>
      </c>
      <c r="N669" t="s">
        <v>2363</v>
      </c>
      <c r="O669" t="s">
        <v>254</v>
      </c>
      <c r="P669" t="s">
        <v>255</v>
      </c>
      <c r="Q669" t="s">
        <v>2364</v>
      </c>
      <c r="R669" s="13">
        <v>381.57600000000002</v>
      </c>
      <c r="S669">
        <v>3</v>
      </c>
      <c r="T669" s="14">
        <v>0.2</v>
      </c>
      <c r="U669" s="13">
        <v>28.618200000000002</v>
      </c>
      <c r="V669">
        <f t="shared" si="140"/>
        <v>2017</v>
      </c>
      <c r="W669" t="str">
        <f t="shared" si="141"/>
        <v>Jun</v>
      </c>
      <c r="X669" t="str">
        <f t="shared" si="142"/>
        <v>Q2</v>
      </c>
      <c r="Y669" t="str">
        <f t="shared" si="143"/>
        <v>Thu</v>
      </c>
      <c r="Z669" s="16">
        <f t="shared" si="144"/>
        <v>2</v>
      </c>
      <c r="AA669" s="13">
        <f t="shared" si="145"/>
        <v>127.19200000000001</v>
      </c>
      <c r="AB669" s="14">
        <f t="shared" si="146"/>
        <v>7.4999999999999997E-2</v>
      </c>
      <c r="AC669" t="str">
        <f t="shared" si="147"/>
        <v>Low (1-20%)</v>
      </c>
      <c r="AD669" t="str">
        <f t="shared" si="148"/>
        <v>High ($200-$500)</v>
      </c>
      <c r="AE669" t="str">
        <f t="shared" si="149"/>
        <v>Medium (3-5 units)</v>
      </c>
      <c r="AF669" t="str">
        <f t="shared" si="150"/>
        <v>Profitable</v>
      </c>
      <c r="AG669" t="str">
        <f t="shared" si="151"/>
        <v>Low Margin</v>
      </c>
      <c r="AH669" t="str">
        <f t="shared" si="152"/>
        <v>Repeat Customer</v>
      </c>
      <c r="AI669" t="str">
        <f t="shared" si="153"/>
        <v>Fast (&lt;=2 days)</v>
      </c>
    </row>
    <row r="670" spans="1:35" ht="15" customHeight="1" x14ac:dyDescent="0.3">
      <c r="A670">
        <v>669</v>
      </c>
      <c r="B670" t="s">
        <v>2365</v>
      </c>
      <c r="C670" s="12">
        <v>41997</v>
      </c>
      <c r="D670" s="12">
        <v>41999</v>
      </c>
      <c r="E670" t="s">
        <v>371</v>
      </c>
      <c r="F670" t="s">
        <v>2366</v>
      </c>
      <c r="G670" t="s">
        <v>2367</v>
      </c>
      <c r="H670" t="s">
        <v>209</v>
      </c>
      <c r="I670" t="s">
        <v>210</v>
      </c>
      <c r="J670" t="s">
        <v>2368</v>
      </c>
      <c r="K670" t="s">
        <v>681</v>
      </c>
      <c r="L670">
        <v>44105</v>
      </c>
      <c r="M670" t="s">
        <v>331</v>
      </c>
      <c r="N670" t="s">
        <v>2369</v>
      </c>
      <c r="O670" t="s">
        <v>215</v>
      </c>
      <c r="P670" t="s">
        <v>248</v>
      </c>
      <c r="Q670" t="s">
        <v>2370</v>
      </c>
      <c r="R670" s="13">
        <v>30.36</v>
      </c>
      <c r="S670">
        <v>5</v>
      </c>
      <c r="T670" s="14">
        <v>0.2</v>
      </c>
      <c r="U670" s="13">
        <v>8.7285000000000004</v>
      </c>
      <c r="V670">
        <f t="shared" si="140"/>
        <v>2014</v>
      </c>
      <c r="W670" t="str">
        <f t="shared" si="141"/>
        <v>Dec</v>
      </c>
      <c r="X670" t="str">
        <f t="shared" si="142"/>
        <v>Q4</v>
      </c>
      <c r="Y670" t="str">
        <f t="shared" si="143"/>
        <v>Wed</v>
      </c>
      <c r="Z670" s="16">
        <f t="shared" si="144"/>
        <v>2</v>
      </c>
      <c r="AA670" s="13">
        <f t="shared" si="145"/>
        <v>6.0720000000000001</v>
      </c>
      <c r="AB670" s="14">
        <f t="shared" si="146"/>
        <v>0.28750000000000003</v>
      </c>
      <c r="AC670" t="str">
        <f t="shared" si="147"/>
        <v>Low (1-20%)</v>
      </c>
      <c r="AD670" t="str">
        <f t="shared" si="148"/>
        <v>Low (&lt;$50)</v>
      </c>
      <c r="AE670" t="str">
        <f t="shared" si="149"/>
        <v>Medium (3-5 units)</v>
      </c>
      <c r="AF670" t="str">
        <f t="shared" si="150"/>
        <v>Profitable</v>
      </c>
      <c r="AG670" t="str">
        <f t="shared" si="151"/>
        <v>High Margin</v>
      </c>
      <c r="AH670" t="str">
        <f t="shared" si="152"/>
        <v>Single Purchase</v>
      </c>
      <c r="AI670" t="str">
        <f t="shared" si="153"/>
        <v>Fast (&lt;=2 days)</v>
      </c>
    </row>
    <row r="671" spans="1:35" ht="15" customHeight="1" x14ac:dyDescent="0.3">
      <c r="A671">
        <v>670</v>
      </c>
      <c r="B671" t="s">
        <v>2371</v>
      </c>
      <c r="C671" s="12">
        <v>42895</v>
      </c>
      <c r="D671" s="12">
        <v>42899</v>
      </c>
      <c r="E671" t="s">
        <v>233</v>
      </c>
      <c r="F671" t="s">
        <v>2255</v>
      </c>
      <c r="G671" t="s">
        <v>2256</v>
      </c>
      <c r="H671" t="s">
        <v>285</v>
      </c>
      <c r="I671" t="s">
        <v>210</v>
      </c>
      <c r="J671" t="s">
        <v>486</v>
      </c>
      <c r="K671" t="s">
        <v>394</v>
      </c>
      <c r="L671">
        <v>60653</v>
      </c>
      <c r="M671" t="s">
        <v>288</v>
      </c>
      <c r="N671" t="s">
        <v>2372</v>
      </c>
      <c r="O671" t="s">
        <v>215</v>
      </c>
      <c r="P671" t="s">
        <v>248</v>
      </c>
      <c r="Q671" t="s">
        <v>2373</v>
      </c>
      <c r="R671" s="13">
        <v>23.975999999999999</v>
      </c>
      <c r="S671">
        <v>3</v>
      </c>
      <c r="T671" s="14">
        <v>0.6</v>
      </c>
      <c r="U671" s="13">
        <v>-14.3856</v>
      </c>
      <c r="V671">
        <f t="shared" si="140"/>
        <v>2017</v>
      </c>
      <c r="W671" t="str">
        <f t="shared" si="141"/>
        <v>Jun</v>
      </c>
      <c r="X671" t="str">
        <f t="shared" si="142"/>
        <v>Q2</v>
      </c>
      <c r="Y671" t="str">
        <f t="shared" si="143"/>
        <v>Fri</v>
      </c>
      <c r="Z671" s="16">
        <f t="shared" si="144"/>
        <v>4</v>
      </c>
      <c r="AA671" s="13">
        <f t="shared" si="145"/>
        <v>7.992</v>
      </c>
      <c r="AB671" s="14">
        <f t="shared" si="146"/>
        <v>-0.6</v>
      </c>
      <c r="AC671" t="str">
        <f t="shared" si="147"/>
        <v>High (40%+)</v>
      </c>
      <c r="AD671" t="str">
        <f t="shared" si="148"/>
        <v>Low (&lt;$50)</v>
      </c>
      <c r="AE671" t="str">
        <f t="shared" si="149"/>
        <v>Medium (3-5 units)</v>
      </c>
      <c r="AF671" t="str">
        <f t="shared" si="150"/>
        <v>Loss-Making</v>
      </c>
      <c r="AG671" t="str">
        <f t="shared" si="151"/>
        <v>Underperforming</v>
      </c>
      <c r="AH671" t="str">
        <f t="shared" si="152"/>
        <v>Repeat Customer</v>
      </c>
      <c r="AI671" t="str">
        <f t="shared" si="153"/>
        <v>Standard (3-5 days)</v>
      </c>
    </row>
    <row r="672" spans="1:35" ht="15" customHeight="1" x14ac:dyDescent="0.3">
      <c r="A672">
        <v>671</v>
      </c>
      <c r="B672" t="s">
        <v>2371</v>
      </c>
      <c r="C672" s="12">
        <v>42895</v>
      </c>
      <c r="D672" s="12">
        <v>42899</v>
      </c>
      <c r="E672" t="s">
        <v>233</v>
      </c>
      <c r="F672" t="s">
        <v>2255</v>
      </c>
      <c r="G672" t="s">
        <v>2256</v>
      </c>
      <c r="H672" t="s">
        <v>285</v>
      </c>
      <c r="I672" t="s">
        <v>210</v>
      </c>
      <c r="J672" t="s">
        <v>486</v>
      </c>
      <c r="K672" t="s">
        <v>394</v>
      </c>
      <c r="L672">
        <v>60653</v>
      </c>
      <c r="M672" t="s">
        <v>288</v>
      </c>
      <c r="N672" t="s">
        <v>2374</v>
      </c>
      <c r="O672" t="s">
        <v>215</v>
      </c>
      <c r="P672" t="s">
        <v>239</v>
      </c>
      <c r="Q672" t="s">
        <v>2375</v>
      </c>
      <c r="R672" s="13">
        <v>108.925</v>
      </c>
      <c r="S672">
        <v>1</v>
      </c>
      <c r="T672" s="14">
        <v>0.5</v>
      </c>
      <c r="U672" s="13">
        <v>-71.890500000000003</v>
      </c>
      <c r="V672">
        <f t="shared" si="140"/>
        <v>2017</v>
      </c>
      <c r="W672" t="str">
        <f t="shared" si="141"/>
        <v>Jun</v>
      </c>
      <c r="X672" t="str">
        <f t="shared" si="142"/>
        <v>Q2</v>
      </c>
      <c r="Y672" t="str">
        <f t="shared" si="143"/>
        <v>Fri</v>
      </c>
      <c r="Z672" s="16">
        <f t="shared" si="144"/>
        <v>4</v>
      </c>
      <c r="AA672" s="13">
        <f t="shared" si="145"/>
        <v>108.925</v>
      </c>
      <c r="AB672" s="14">
        <f t="shared" si="146"/>
        <v>-0.66</v>
      </c>
      <c r="AC672" t="str">
        <f t="shared" si="147"/>
        <v>High (40%+)</v>
      </c>
      <c r="AD672" t="str">
        <f t="shared" si="148"/>
        <v>Medium ($50-$200)</v>
      </c>
      <c r="AE672" t="str">
        <f t="shared" si="149"/>
        <v>Small (1-2 units)</v>
      </c>
      <c r="AF672" t="str">
        <f t="shared" si="150"/>
        <v>Loss-Making</v>
      </c>
      <c r="AG672" t="str">
        <f t="shared" si="151"/>
        <v>Underperforming</v>
      </c>
      <c r="AH672" t="str">
        <f t="shared" si="152"/>
        <v>Repeat Customer</v>
      </c>
      <c r="AI672" t="str">
        <f t="shared" si="153"/>
        <v>Standard (3-5 days)</v>
      </c>
    </row>
    <row r="673" spans="1:35" ht="15" customHeight="1" x14ac:dyDescent="0.3">
      <c r="A673">
        <v>672</v>
      </c>
      <c r="B673" t="s">
        <v>2371</v>
      </c>
      <c r="C673" s="12">
        <v>42895</v>
      </c>
      <c r="D673" s="12">
        <v>42899</v>
      </c>
      <c r="E673" t="s">
        <v>233</v>
      </c>
      <c r="F673" t="s">
        <v>2255</v>
      </c>
      <c r="G673" t="s">
        <v>2256</v>
      </c>
      <c r="H673" t="s">
        <v>285</v>
      </c>
      <c r="I673" t="s">
        <v>210</v>
      </c>
      <c r="J673" t="s">
        <v>486</v>
      </c>
      <c r="K673" t="s">
        <v>394</v>
      </c>
      <c r="L673">
        <v>60653</v>
      </c>
      <c r="M673" t="s">
        <v>288</v>
      </c>
      <c r="N673" t="s">
        <v>743</v>
      </c>
      <c r="O673" t="s">
        <v>229</v>
      </c>
      <c r="P673" t="s">
        <v>273</v>
      </c>
      <c r="Q673" t="s">
        <v>2376</v>
      </c>
      <c r="R673" s="13">
        <v>36.351999999999997</v>
      </c>
      <c r="S673">
        <v>8</v>
      </c>
      <c r="T673" s="14">
        <v>0.2</v>
      </c>
      <c r="U673" s="13">
        <v>11.36</v>
      </c>
      <c r="V673">
        <f t="shared" si="140"/>
        <v>2017</v>
      </c>
      <c r="W673" t="str">
        <f t="shared" si="141"/>
        <v>Jun</v>
      </c>
      <c r="X673" t="str">
        <f t="shared" si="142"/>
        <v>Q2</v>
      </c>
      <c r="Y673" t="str">
        <f t="shared" si="143"/>
        <v>Fri</v>
      </c>
      <c r="Z673" s="16">
        <f t="shared" si="144"/>
        <v>4</v>
      </c>
      <c r="AA673" s="13">
        <f t="shared" si="145"/>
        <v>4.5439999999999996</v>
      </c>
      <c r="AB673" s="14">
        <f t="shared" si="146"/>
        <v>0.3125</v>
      </c>
      <c r="AC673" t="str">
        <f t="shared" si="147"/>
        <v>Low (1-20%)</v>
      </c>
      <c r="AD673" t="str">
        <f t="shared" si="148"/>
        <v>Low (&lt;$50)</v>
      </c>
      <c r="AE673" t="str">
        <f t="shared" si="149"/>
        <v>Large (6+ units)</v>
      </c>
      <c r="AF673" t="str">
        <f t="shared" si="150"/>
        <v>Profitable</v>
      </c>
      <c r="AG673" t="str">
        <f t="shared" si="151"/>
        <v>High Margin</v>
      </c>
      <c r="AH673" t="str">
        <f t="shared" si="152"/>
        <v>Repeat Customer</v>
      </c>
      <c r="AI673" t="str">
        <f t="shared" si="153"/>
        <v>Standard (3-5 days)</v>
      </c>
    </row>
    <row r="674" spans="1:35" ht="15" customHeight="1" x14ac:dyDescent="0.3">
      <c r="A674">
        <v>673</v>
      </c>
      <c r="B674" t="s">
        <v>2377</v>
      </c>
      <c r="C674" s="12">
        <v>42901</v>
      </c>
      <c r="D674" s="12">
        <v>42908</v>
      </c>
      <c r="E674" t="s">
        <v>233</v>
      </c>
      <c r="F674" t="s">
        <v>1428</v>
      </c>
      <c r="G674" t="s">
        <v>1429</v>
      </c>
      <c r="H674" t="s">
        <v>209</v>
      </c>
      <c r="I674" t="s">
        <v>210</v>
      </c>
      <c r="J674" t="s">
        <v>1507</v>
      </c>
      <c r="K674" t="s">
        <v>394</v>
      </c>
      <c r="L674">
        <v>62301</v>
      </c>
      <c r="M674" t="s">
        <v>288</v>
      </c>
      <c r="N674" t="s">
        <v>2378</v>
      </c>
      <c r="O674" t="s">
        <v>229</v>
      </c>
      <c r="P674" t="s">
        <v>251</v>
      </c>
      <c r="Q674" t="s">
        <v>2379</v>
      </c>
      <c r="R674" s="13">
        <v>19.559999999999999</v>
      </c>
      <c r="S674">
        <v>5</v>
      </c>
      <c r="T674" s="14">
        <v>0.2</v>
      </c>
      <c r="U674" s="13">
        <v>1.7115</v>
      </c>
      <c r="V674">
        <f t="shared" si="140"/>
        <v>2017</v>
      </c>
      <c r="W674" t="str">
        <f t="shared" si="141"/>
        <v>Jun</v>
      </c>
      <c r="X674" t="str">
        <f t="shared" si="142"/>
        <v>Q2</v>
      </c>
      <c r="Y674" t="str">
        <f t="shared" si="143"/>
        <v>Thu</v>
      </c>
      <c r="Z674" s="16">
        <f t="shared" si="144"/>
        <v>7</v>
      </c>
      <c r="AA674" s="13">
        <f t="shared" si="145"/>
        <v>3.9119999999999999</v>
      </c>
      <c r="AB674" s="14">
        <f t="shared" si="146"/>
        <v>8.7500000000000008E-2</v>
      </c>
      <c r="AC674" t="str">
        <f t="shared" si="147"/>
        <v>Low (1-20%)</v>
      </c>
      <c r="AD674" t="str">
        <f t="shared" si="148"/>
        <v>Low (&lt;$50)</v>
      </c>
      <c r="AE674" t="str">
        <f t="shared" si="149"/>
        <v>Medium (3-5 units)</v>
      </c>
      <c r="AF674" t="str">
        <f t="shared" si="150"/>
        <v>Profitable</v>
      </c>
      <c r="AG674" t="str">
        <f t="shared" si="151"/>
        <v>Low Margin</v>
      </c>
      <c r="AH674" t="str">
        <f t="shared" si="152"/>
        <v>Repeat Customer</v>
      </c>
      <c r="AI674" t="str">
        <f t="shared" si="153"/>
        <v>Slow (6+ days)</v>
      </c>
    </row>
    <row r="675" spans="1:35" ht="15" customHeight="1" x14ac:dyDescent="0.3">
      <c r="A675">
        <v>674</v>
      </c>
      <c r="B675" t="s">
        <v>2380</v>
      </c>
      <c r="C675" s="12">
        <v>43074</v>
      </c>
      <c r="D675" s="12">
        <v>43077</v>
      </c>
      <c r="E675" t="s">
        <v>371</v>
      </c>
      <c r="F675" t="s">
        <v>2381</v>
      </c>
      <c r="G675" t="s">
        <v>2382</v>
      </c>
      <c r="H675" t="s">
        <v>209</v>
      </c>
      <c r="I675" t="s">
        <v>210</v>
      </c>
      <c r="J675" t="s">
        <v>680</v>
      </c>
      <c r="K675" t="s">
        <v>437</v>
      </c>
      <c r="L675">
        <v>47201</v>
      </c>
      <c r="M675" t="s">
        <v>288</v>
      </c>
      <c r="N675" t="s">
        <v>2383</v>
      </c>
      <c r="O675" t="s">
        <v>229</v>
      </c>
      <c r="P675" t="s">
        <v>261</v>
      </c>
      <c r="Q675" t="s">
        <v>2384</v>
      </c>
      <c r="R675" s="13">
        <v>61.44</v>
      </c>
      <c r="S675">
        <v>3</v>
      </c>
      <c r="T675" s="14">
        <v>0</v>
      </c>
      <c r="U675" s="13">
        <v>16.588799999999999</v>
      </c>
      <c r="V675">
        <f t="shared" si="140"/>
        <v>2017</v>
      </c>
      <c r="W675" t="str">
        <f t="shared" si="141"/>
        <v>Dec</v>
      </c>
      <c r="X675" t="str">
        <f t="shared" si="142"/>
        <v>Q4</v>
      </c>
      <c r="Y675" t="str">
        <f t="shared" si="143"/>
        <v>Tue</v>
      </c>
      <c r="Z675" s="16">
        <f t="shared" si="144"/>
        <v>3</v>
      </c>
      <c r="AA675" s="13">
        <f t="shared" si="145"/>
        <v>20.48</v>
      </c>
      <c r="AB675" s="14">
        <f t="shared" si="146"/>
        <v>0.27</v>
      </c>
      <c r="AC675" t="str">
        <f t="shared" si="147"/>
        <v>No Discount</v>
      </c>
      <c r="AD675" t="str">
        <f t="shared" si="148"/>
        <v>Medium ($50-$200)</v>
      </c>
      <c r="AE675" t="str">
        <f t="shared" si="149"/>
        <v>Medium (3-5 units)</v>
      </c>
      <c r="AF675" t="str">
        <f t="shared" si="150"/>
        <v>Profitable</v>
      </c>
      <c r="AG675" t="str">
        <f t="shared" si="151"/>
        <v>High Margin</v>
      </c>
      <c r="AH675" t="str">
        <f t="shared" si="152"/>
        <v>Repeat Customer</v>
      </c>
      <c r="AI675" t="str">
        <f t="shared" si="153"/>
        <v>Standard (3-5 days)</v>
      </c>
    </row>
    <row r="676" spans="1:35" ht="15" customHeight="1" x14ac:dyDescent="0.3">
      <c r="A676">
        <v>675</v>
      </c>
      <c r="B676" t="s">
        <v>2380</v>
      </c>
      <c r="C676" s="12">
        <v>43074</v>
      </c>
      <c r="D676" s="12">
        <v>43077</v>
      </c>
      <c r="E676" t="s">
        <v>371</v>
      </c>
      <c r="F676" t="s">
        <v>2381</v>
      </c>
      <c r="G676" t="s">
        <v>2382</v>
      </c>
      <c r="H676" t="s">
        <v>209</v>
      </c>
      <c r="I676" t="s">
        <v>210</v>
      </c>
      <c r="J676" t="s">
        <v>680</v>
      </c>
      <c r="K676" t="s">
        <v>437</v>
      </c>
      <c r="L676">
        <v>47201</v>
      </c>
      <c r="M676" t="s">
        <v>288</v>
      </c>
      <c r="N676" t="s">
        <v>2385</v>
      </c>
      <c r="O676" t="s">
        <v>229</v>
      </c>
      <c r="P676" t="s">
        <v>273</v>
      </c>
      <c r="Q676" t="s">
        <v>2386</v>
      </c>
      <c r="R676" s="13">
        <v>38.9</v>
      </c>
      <c r="S676">
        <v>5</v>
      </c>
      <c r="T676" s="14">
        <v>0</v>
      </c>
      <c r="U676" s="13">
        <v>17.504999999999999</v>
      </c>
      <c r="V676">
        <f t="shared" si="140"/>
        <v>2017</v>
      </c>
      <c r="W676" t="str">
        <f t="shared" si="141"/>
        <v>Dec</v>
      </c>
      <c r="X676" t="str">
        <f t="shared" si="142"/>
        <v>Q4</v>
      </c>
      <c r="Y676" t="str">
        <f t="shared" si="143"/>
        <v>Tue</v>
      </c>
      <c r="Z676" s="16">
        <f t="shared" si="144"/>
        <v>3</v>
      </c>
      <c r="AA676" s="13">
        <f t="shared" si="145"/>
        <v>7.7799999999999994</v>
      </c>
      <c r="AB676" s="14">
        <f t="shared" si="146"/>
        <v>0.45</v>
      </c>
      <c r="AC676" t="str">
        <f t="shared" si="147"/>
        <v>No Discount</v>
      </c>
      <c r="AD676" t="str">
        <f t="shared" si="148"/>
        <v>Low (&lt;$50)</v>
      </c>
      <c r="AE676" t="str">
        <f t="shared" si="149"/>
        <v>Medium (3-5 units)</v>
      </c>
      <c r="AF676" t="str">
        <f t="shared" si="150"/>
        <v>Profitable</v>
      </c>
      <c r="AG676" t="str">
        <f t="shared" si="151"/>
        <v>High Margin</v>
      </c>
      <c r="AH676" t="str">
        <f t="shared" si="152"/>
        <v>Repeat Customer</v>
      </c>
      <c r="AI676" t="str">
        <f t="shared" si="153"/>
        <v>Standard (3-5 days)</v>
      </c>
    </row>
    <row r="677" spans="1:35" ht="15" customHeight="1" x14ac:dyDescent="0.3">
      <c r="A677">
        <v>676</v>
      </c>
      <c r="B677" t="s">
        <v>2380</v>
      </c>
      <c r="C677" s="12">
        <v>43074</v>
      </c>
      <c r="D677" s="12">
        <v>43077</v>
      </c>
      <c r="E677" t="s">
        <v>371</v>
      </c>
      <c r="F677" t="s">
        <v>2381</v>
      </c>
      <c r="G677" t="s">
        <v>2382</v>
      </c>
      <c r="H677" t="s">
        <v>209</v>
      </c>
      <c r="I677" t="s">
        <v>210</v>
      </c>
      <c r="J677" t="s">
        <v>680</v>
      </c>
      <c r="K677" t="s">
        <v>437</v>
      </c>
      <c r="L677">
        <v>47201</v>
      </c>
      <c r="M677" t="s">
        <v>288</v>
      </c>
      <c r="N677" t="s">
        <v>1092</v>
      </c>
      <c r="O677" t="s">
        <v>254</v>
      </c>
      <c r="P677" t="s">
        <v>344</v>
      </c>
      <c r="Q677" t="s">
        <v>1972</v>
      </c>
      <c r="R677" s="13">
        <v>99.39</v>
      </c>
      <c r="S677">
        <v>3</v>
      </c>
      <c r="T677" s="14">
        <v>0</v>
      </c>
      <c r="U677" s="13">
        <v>40.749899999999997</v>
      </c>
      <c r="V677">
        <f t="shared" si="140"/>
        <v>2017</v>
      </c>
      <c r="W677" t="str">
        <f t="shared" si="141"/>
        <v>Dec</v>
      </c>
      <c r="X677" t="str">
        <f t="shared" si="142"/>
        <v>Q4</v>
      </c>
      <c r="Y677" t="str">
        <f t="shared" si="143"/>
        <v>Tue</v>
      </c>
      <c r="Z677" s="16">
        <f t="shared" si="144"/>
        <v>3</v>
      </c>
      <c r="AA677" s="13">
        <f t="shared" si="145"/>
        <v>33.130000000000003</v>
      </c>
      <c r="AB677" s="14">
        <f t="shared" si="146"/>
        <v>0.41</v>
      </c>
      <c r="AC677" t="str">
        <f t="shared" si="147"/>
        <v>No Discount</v>
      </c>
      <c r="AD677" t="str">
        <f t="shared" si="148"/>
        <v>Medium ($50-$200)</v>
      </c>
      <c r="AE677" t="str">
        <f t="shared" si="149"/>
        <v>Medium (3-5 units)</v>
      </c>
      <c r="AF677" t="str">
        <f t="shared" si="150"/>
        <v>Profitable</v>
      </c>
      <c r="AG677" t="str">
        <f t="shared" si="151"/>
        <v>High Margin</v>
      </c>
      <c r="AH677" t="str">
        <f t="shared" si="152"/>
        <v>Repeat Customer</v>
      </c>
      <c r="AI677" t="str">
        <f t="shared" si="153"/>
        <v>Standard (3-5 days)</v>
      </c>
    </row>
    <row r="678" spans="1:35" ht="15" customHeight="1" x14ac:dyDescent="0.3">
      <c r="A678">
        <v>677</v>
      </c>
      <c r="B678" t="s">
        <v>2387</v>
      </c>
      <c r="C678" s="12">
        <v>42812</v>
      </c>
      <c r="D678" s="12">
        <v>42817</v>
      </c>
      <c r="E678" t="s">
        <v>233</v>
      </c>
      <c r="F678" t="s">
        <v>2388</v>
      </c>
      <c r="G678" t="s">
        <v>2389</v>
      </c>
      <c r="H678" t="s">
        <v>209</v>
      </c>
      <c r="I678" t="s">
        <v>210</v>
      </c>
      <c r="J678" t="s">
        <v>2390</v>
      </c>
      <c r="K678" t="s">
        <v>287</v>
      </c>
      <c r="L678">
        <v>75701</v>
      </c>
      <c r="M678" t="s">
        <v>288</v>
      </c>
      <c r="N678" t="s">
        <v>2391</v>
      </c>
      <c r="O678" t="s">
        <v>229</v>
      </c>
      <c r="P678" t="s">
        <v>261</v>
      </c>
      <c r="Q678" t="s">
        <v>2392</v>
      </c>
      <c r="R678" s="13">
        <v>2.6880000000000002</v>
      </c>
      <c r="S678">
        <v>3</v>
      </c>
      <c r="T678" s="14">
        <v>0.8</v>
      </c>
      <c r="U678" s="13">
        <v>-7.3920000000000003</v>
      </c>
      <c r="V678">
        <f t="shared" si="140"/>
        <v>2017</v>
      </c>
      <c r="W678" t="str">
        <f t="shared" si="141"/>
        <v>Mar</v>
      </c>
      <c r="X678" t="str">
        <f t="shared" si="142"/>
        <v>Q1</v>
      </c>
      <c r="Y678" t="str">
        <f t="shared" si="143"/>
        <v>Sat</v>
      </c>
      <c r="Z678" s="16">
        <f t="shared" si="144"/>
        <v>5</v>
      </c>
      <c r="AA678" s="13">
        <f t="shared" si="145"/>
        <v>0.89600000000000002</v>
      </c>
      <c r="AB678" s="14">
        <f t="shared" si="146"/>
        <v>-2.75</v>
      </c>
      <c r="AC678" t="str">
        <f t="shared" si="147"/>
        <v>High (40%+)</v>
      </c>
      <c r="AD678" t="str">
        <f t="shared" si="148"/>
        <v>Low (&lt;$50)</v>
      </c>
      <c r="AE678" t="str">
        <f t="shared" si="149"/>
        <v>Medium (3-5 units)</v>
      </c>
      <c r="AF678" t="str">
        <f t="shared" si="150"/>
        <v>Loss-Making</v>
      </c>
      <c r="AG678" t="str">
        <f t="shared" si="151"/>
        <v>Underperforming</v>
      </c>
      <c r="AH678" t="str">
        <f t="shared" si="152"/>
        <v>Repeat Customer</v>
      </c>
      <c r="AI678" t="str">
        <f t="shared" si="153"/>
        <v>Standard (3-5 days)</v>
      </c>
    </row>
    <row r="679" spans="1:35" ht="15" customHeight="1" x14ac:dyDescent="0.3">
      <c r="A679">
        <v>678</v>
      </c>
      <c r="B679" t="s">
        <v>2387</v>
      </c>
      <c r="C679" s="12">
        <v>42812</v>
      </c>
      <c r="D679" s="12">
        <v>42817</v>
      </c>
      <c r="E679" t="s">
        <v>233</v>
      </c>
      <c r="F679" t="s">
        <v>2388</v>
      </c>
      <c r="G679" t="s">
        <v>2389</v>
      </c>
      <c r="H679" t="s">
        <v>209</v>
      </c>
      <c r="I679" t="s">
        <v>210</v>
      </c>
      <c r="J679" t="s">
        <v>2390</v>
      </c>
      <c r="K679" t="s">
        <v>287</v>
      </c>
      <c r="L679">
        <v>75701</v>
      </c>
      <c r="M679" t="s">
        <v>288</v>
      </c>
      <c r="N679" t="s">
        <v>2393</v>
      </c>
      <c r="O679" t="s">
        <v>254</v>
      </c>
      <c r="P679" t="s">
        <v>344</v>
      </c>
      <c r="Q679" t="s">
        <v>2394</v>
      </c>
      <c r="R679" s="13">
        <v>27.815999999999999</v>
      </c>
      <c r="S679">
        <v>3</v>
      </c>
      <c r="T679" s="14">
        <v>0.2</v>
      </c>
      <c r="U679" s="13">
        <v>4.5201000000000002</v>
      </c>
      <c r="V679">
        <f t="shared" si="140"/>
        <v>2017</v>
      </c>
      <c r="W679" t="str">
        <f t="shared" si="141"/>
        <v>Mar</v>
      </c>
      <c r="X679" t="str">
        <f t="shared" si="142"/>
        <v>Q1</v>
      </c>
      <c r="Y679" t="str">
        <f t="shared" si="143"/>
        <v>Sat</v>
      </c>
      <c r="Z679" s="16">
        <f t="shared" si="144"/>
        <v>5</v>
      </c>
      <c r="AA679" s="13">
        <f t="shared" si="145"/>
        <v>9.2720000000000002</v>
      </c>
      <c r="AB679" s="14">
        <f t="shared" si="146"/>
        <v>0.16250000000000001</v>
      </c>
      <c r="AC679" t="str">
        <f t="shared" si="147"/>
        <v>Low (1-20%)</v>
      </c>
      <c r="AD679" t="str">
        <f t="shared" si="148"/>
        <v>Low (&lt;$50)</v>
      </c>
      <c r="AE679" t="str">
        <f t="shared" si="149"/>
        <v>Medium (3-5 units)</v>
      </c>
      <c r="AF679" t="str">
        <f t="shared" si="150"/>
        <v>Profitable</v>
      </c>
      <c r="AG679" t="str">
        <f t="shared" si="151"/>
        <v>Healthy Margin</v>
      </c>
      <c r="AH679" t="str">
        <f t="shared" si="152"/>
        <v>Repeat Customer</v>
      </c>
      <c r="AI679" t="str">
        <f t="shared" si="153"/>
        <v>Standard (3-5 days)</v>
      </c>
    </row>
    <row r="680" spans="1:35" ht="15" customHeight="1" x14ac:dyDescent="0.3">
      <c r="A680">
        <v>679</v>
      </c>
      <c r="B680" t="s">
        <v>2387</v>
      </c>
      <c r="C680" s="12">
        <v>42812</v>
      </c>
      <c r="D680" s="12">
        <v>42817</v>
      </c>
      <c r="E680" t="s">
        <v>233</v>
      </c>
      <c r="F680" t="s">
        <v>2388</v>
      </c>
      <c r="G680" t="s">
        <v>2389</v>
      </c>
      <c r="H680" t="s">
        <v>209</v>
      </c>
      <c r="I680" t="s">
        <v>210</v>
      </c>
      <c r="J680" t="s">
        <v>2390</v>
      </c>
      <c r="K680" t="s">
        <v>287</v>
      </c>
      <c r="L680">
        <v>75701</v>
      </c>
      <c r="M680" t="s">
        <v>288</v>
      </c>
      <c r="N680" t="s">
        <v>2395</v>
      </c>
      <c r="O680" t="s">
        <v>215</v>
      </c>
      <c r="P680" t="s">
        <v>248</v>
      </c>
      <c r="Q680" t="s">
        <v>2396</v>
      </c>
      <c r="R680" s="13">
        <v>82.524000000000001</v>
      </c>
      <c r="S680">
        <v>3</v>
      </c>
      <c r="T680" s="14">
        <v>0.6</v>
      </c>
      <c r="U680" s="13">
        <v>-41.262</v>
      </c>
      <c r="V680">
        <f t="shared" si="140"/>
        <v>2017</v>
      </c>
      <c r="W680" t="str">
        <f t="shared" si="141"/>
        <v>Mar</v>
      </c>
      <c r="X680" t="str">
        <f t="shared" si="142"/>
        <v>Q1</v>
      </c>
      <c r="Y680" t="str">
        <f t="shared" si="143"/>
        <v>Sat</v>
      </c>
      <c r="Z680" s="16">
        <f t="shared" si="144"/>
        <v>5</v>
      </c>
      <c r="AA680" s="13">
        <f t="shared" si="145"/>
        <v>27.507999999999999</v>
      </c>
      <c r="AB680" s="14">
        <f t="shared" si="146"/>
        <v>-0.5</v>
      </c>
      <c r="AC680" t="str">
        <f t="shared" si="147"/>
        <v>High (40%+)</v>
      </c>
      <c r="AD680" t="str">
        <f t="shared" si="148"/>
        <v>Medium ($50-$200)</v>
      </c>
      <c r="AE680" t="str">
        <f t="shared" si="149"/>
        <v>Medium (3-5 units)</v>
      </c>
      <c r="AF680" t="str">
        <f t="shared" si="150"/>
        <v>Loss-Making</v>
      </c>
      <c r="AG680" t="str">
        <f t="shared" si="151"/>
        <v>Underperforming</v>
      </c>
      <c r="AH680" t="str">
        <f t="shared" si="152"/>
        <v>Repeat Customer</v>
      </c>
      <c r="AI680" t="str">
        <f t="shared" si="153"/>
        <v>Standard (3-5 days)</v>
      </c>
    </row>
    <row r="681" spans="1:35" ht="15" customHeight="1" x14ac:dyDescent="0.3">
      <c r="A681">
        <v>680</v>
      </c>
      <c r="B681" t="s">
        <v>2387</v>
      </c>
      <c r="C681" s="12">
        <v>42812</v>
      </c>
      <c r="D681" s="12">
        <v>42817</v>
      </c>
      <c r="E681" t="s">
        <v>233</v>
      </c>
      <c r="F681" t="s">
        <v>2388</v>
      </c>
      <c r="G681" t="s">
        <v>2389</v>
      </c>
      <c r="H681" t="s">
        <v>209</v>
      </c>
      <c r="I681" t="s">
        <v>210</v>
      </c>
      <c r="J681" t="s">
        <v>2390</v>
      </c>
      <c r="K681" t="s">
        <v>287</v>
      </c>
      <c r="L681">
        <v>75701</v>
      </c>
      <c r="M681" t="s">
        <v>288</v>
      </c>
      <c r="N681" t="s">
        <v>2397</v>
      </c>
      <c r="O681" t="s">
        <v>229</v>
      </c>
      <c r="P681" t="s">
        <v>258</v>
      </c>
      <c r="Q681" t="s">
        <v>2398</v>
      </c>
      <c r="R681" s="13">
        <v>182.994</v>
      </c>
      <c r="S681">
        <v>3</v>
      </c>
      <c r="T681" s="14">
        <v>0.8</v>
      </c>
      <c r="U681" s="13">
        <v>-320.23950000000002</v>
      </c>
      <c r="V681">
        <f t="shared" si="140"/>
        <v>2017</v>
      </c>
      <c r="W681" t="str">
        <f t="shared" si="141"/>
        <v>Mar</v>
      </c>
      <c r="X681" t="str">
        <f t="shared" si="142"/>
        <v>Q1</v>
      </c>
      <c r="Y681" t="str">
        <f t="shared" si="143"/>
        <v>Sat</v>
      </c>
      <c r="Z681" s="16">
        <f t="shared" si="144"/>
        <v>5</v>
      </c>
      <c r="AA681" s="13">
        <f t="shared" si="145"/>
        <v>60.997999999999998</v>
      </c>
      <c r="AB681" s="14">
        <f t="shared" si="146"/>
        <v>-1.7500000000000002</v>
      </c>
      <c r="AC681" t="str">
        <f t="shared" si="147"/>
        <v>High (40%+)</v>
      </c>
      <c r="AD681" t="str">
        <f t="shared" si="148"/>
        <v>Medium ($50-$200)</v>
      </c>
      <c r="AE681" t="str">
        <f t="shared" si="149"/>
        <v>Medium (3-5 units)</v>
      </c>
      <c r="AF681" t="str">
        <f t="shared" si="150"/>
        <v>Loss-Making</v>
      </c>
      <c r="AG681" t="str">
        <f t="shared" si="151"/>
        <v>Underperforming</v>
      </c>
      <c r="AH681" t="str">
        <f t="shared" si="152"/>
        <v>Repeat Customer</v>
      </c>
      <c r="AI681" t="str">
        <f t="shared" si="153"/>
        <v>Standard (3-5 days)</v>
      </c>
    </row>
    <row r="682" spans="1:35" ht="15" customHeight="1" x14ac:dyDescent="0.3">
      <c r="A682">
        <v>681</v>
      </c>
      <c r="B682" t="s">
        <v>2399</v>
      </c>
      <c r="C682" s="12">
        <v>42693</v>
      </c>
      <c r="D682" s="12">
        <v>42698</v>
      </c>
      <c r="E682" t="s">
        <v>233</v>
      </c>
      <c r="F682" t="s">
        <v>2400</v>
      </c>
      <c r="G682" t="s">
        <v>2401</v>
      </c>
      <c r="H682" t="s">
        <v>209</v>
      </c>
      <c r="I682" t="s">
        <v>210</v>
      </c>
      <c r="J682" t="s">
        <v>449</v>
      </c>
      <c r="K682" t="s">
        <v>450</v>
      </c>
      <c r="L682">
        <v>10024</v>
      </c>
      <c r="M682" t="s">
        <v>331</v>
      </c>
      <c r="N682" t="s">
        <v>2402</v>
      </c>
      <c r="O682" t="s">
        <v>229</v>
      </c>
      <c r="P682" t="s">
        <v>258</v>
      </c>
      <c r="Q682" t="s">
        <v>2403</v>
      </c>
      <c r="R682" s="13">
        <v>14.352</v>
      </c>
      <c r="S682">
        <v>3</v>
      </c>
      <c r="T682" s="14">
        <v>0.2</v>
      </c>
      <c r="U682" s="13">
        <v>4.6643999999999997</v>
      </c>
      <c r="V682">
        <f t="shared" si="140"/>
        <v>2016</v>
      </c>
      <c r="W682" t="str">
        <f t="shared" si="141"/>
        <v>Nov</v>
      </c>
      <c r="X682" t="str">
        <f t="shared" si="142"/>
        <v>Q4</v>
      </c>
      <c r="Y682" t="str">
        <f t="shared" si="143"/>
        <v>Sat</v>
      </c>
      <c r="Z682" s="16">
        <f t="shared" si="144"/>
        <v>5</v>
      </c>
      <c r="AA682" s="13">
        <f t="shared" si="145"/>
        <v>4.7839999999999998</v>
      </c>
      <c r="AB682" s="14">
        <f t="shared" si="146"/>
        <v>0.32499999999999996</v>
      </c>
      <c r="AC682" t="str">
        <f t="shared" si="147"/>
        <v>Low (1-20%)</v>
      </c>
      <c r="AD682" t="str">
        <f t="shared" si="148"/>
        <v>Low (&lt;$50)</v>
      </c>
      <c r="AE682" t="str">
        <f t="shared" si="149"/>
        <v>Medium (3-5 units)</v>
      </c>
      <c r="AF682" t="str">
        <f t="shared" si="150"/>
        <v>Profitable</v>
      </c>
      <c r="AG682" t="str">
        <f t="shared" si="151"/>
        <v>High Margin</v>
      </c>
      <c r="AH682" t="str">
        <f t="shared" si="152"/>
        <v>Repeat Customer</v>
      </c>
      <c r="AI682" t="str">
        <f t="shared" si="153"/>
        <v>Standard (3-5 days)</v>
      </c>
    </row>
    <row r="683" spans="1:35" ht="15" customHeight="1" x14ac:dyDescent="0.3">
      <c r="A683">
        <v>682</v>
      </c>
      <c r="B683" t="s">
        <v>2399</v>
      </c>
      <c r="C683" s="12">
        <v>42693</v>
      </c>
      <c r="D683" s="12">
        <v>42698</v>
      </c>
      <c r="E683" t="s">
        <v>233</v>
      </c>
      <c r="F683" t="s">
        <v>2400</v>
      </c>
      <c r="G683" t="s">
        <v>2401</v>
      </c>
      <c r="H683" t="s">
        <v>209</v>
      </c>
      <c r="I683" t="s">
        <v>210</v>
      </c>
      <c r="J683" t="s">
        <v>449</v>
      </c>
      <c r="K683" t="s">
        <v>450</v>
      </c>
      <c r="L683">
        <v>10024</v>
      </c>
      <c r="M683" t="s">
        <v>331</v>
      </c>
      <c r="N683" t="s">
        <v>2404</v>
      </c>
      <c r="O683" t="s">
        <v>229</v>
      </c>
      <c r="P683" t="s">
        <v>242</v>
      </c>
      <c r="Q683" t="s">
        <v>2405</v>
      </c>
      <c r="R683" s="13">
        <v>64.959999999999994</v>
      </c>
      <c r="S683">
        <v>2</v>
      </c>
      <c r="T683" s="14">
        <v>0</v>
      </c>
      <c r="U683" s="13">
        <v>2.5983999999999998</v>
      </c>
      <c r="V683">
        <f t="shared" si="140"/>
        <v>2016</v>
      </c>
      <c r="W683" t="str">
        <f t="shared" si="141"/>
        <v>Nov</v>
      </c>
      <c r="X683" t="str">
        <f t="shared" si="142"/>
        <v>Q4</v>
      </c>
      <c r="Y683" t="str">
        <f t="shared" si="143"/>
        <v>Sat</v>
      </c>
      <c r="Z683" s="16">
        <f t="shared" si="144"/>
        <v>5</v>
      </c>
      <c r="AA683" s="13">
        <f t="shared" si="145"/>
        <v>32.479999999999997</v>
      </c>
      <c r="AB683" s="14">
        <f t="shared" si="146"/>
        <v>0.04</v>
      </c>
      <c r="AC683" t="str">
        <f t="shared" si="147"/>
        <v>No Discount</v>
      </c>
      <c r="AD683" t="str">
        <f t="shared" si="148"/>
        <v>Medium ($50-$200)</v>
      </c>
      <c r="AE683" t="str">
        <f t="shared" si="149"/>
        <v>Small (1-2 units)</v>
      </c>
      <c r="AF683" t="str">
        <f t="shared" si="150"/>
        <v>Profitable</v>
      </c>
      <c r="AG683" t="str">
        <f t="shared" si="151"/>
        <v>Low Margin</v>
      </c>
      <c r="AH683" t="str">
        <f t="shared" si="152"/>
        <v>Repeat Customer</v>
      </c>
      <c r="AI683" t="str">
        <f t="shared" si="153"/>
        <v>Standard (3-5 days)</v>
      </c>
    </row>
    <row r="684" spans="1:35" ht="15" customHeight="1" x14ac:dyDescent="0.3">
      <c r="A684">
        <v>683</v>
      </c>
      <c r="B684" t="s">
        <v>2399</v>
      </c>
      <c r="C684" s="12">
        <v>42693</v>
      </c>
      <c r="D684" s="12">
        <v>42698</v>
      </c>
      <c r="E684" t="s">
        <v>233</v>
      </c>
      <c r="F684" t="s">
        <v>2400</v>
      </c>
      <c r="G684" t="s">
        <v>2401</v>
      </c>
      <c r="H684" t="s">
        <v>209</v>
      </c>
      <c r="I684" t="s">
        <v>210</v>
      </c>
      <c r="J684" t="s">
        <v>449</v>
      </c>
      <c r="K684" t="s">
        <v>450</v>
      </c>
      <c r="L684">
        <v>10024</v>
      </c>
      <c r="M684" t="s">
        <v>331</v>
      </c>
      <c r="N684" t="s">
        <v>1953</v>
      </c>
      <c r="O684" t="s">
        <v>229</v>
      </c>
      <c r="P684" t="s">
        <v>242</v>
      </c>
      <c r="Q684" t="s">
        <v>1954</v>
      </c>
      <c r="R684" s="13">
        <v>68.599999999999994</v>
      </c>
      <c r="S684">
        <v>4</v>
      </c>
      <c r="T684" s="14">
        <v>0</v>
      </c>
      <c r="U684" s="13">
        <v>18.521999999999998</v>
      </c>
      <c r="V684">
        <f t="shared" si="140"/>
        <v>2016</v>
      </c>
      <c r="W684" t="str">
        <f t="shared" si="141"/>
        <v>Nov</v>
      </c>
      <c r="X684" t="str">
        <f t="shared" si="142"/>
        <v>Q4</v>
      </c>
      <c r="Y684" t="str">
        <f t="shared" si="143"/>
        <v>Sat</v>
      </c>
      <c r="Z684" s="16">
        <f t="shared" si="144"/>
        <v>5</v>
      </c>
      <c r="AA684" s="13">
        <f t="shared" si="145"/>
        <v>17.149999999999999</v>
      </c>
      <c r="AB684" s="14">
        <f t="shared" si="146"/>
        <v>0.27</v>
      </c>
      <c r="AC684" t="str">
        <f t="shared" si="147"/>
        <v>No Discount</v>
      </c>
      <c r="AD684" t="str">
        <f t="shared" si="148"/>
        <v>Medium ($50-$200)</v>
      </c>
      <c r="AE684" t="str">
        <f t="shared" si="149"/>
        <v>Medium (3-5 units)</v>
      </c>
      <c r="AF684" t="str">
        <f t="shared" si="150"/>
        <v>Profitable</v>
      </c>
      <c r="AG684" t="str">
        <f t="shared" si="151"/>
        <v>High Margin</v>
      </c>
      <c r="AH684" t="str">
        <f t="shared" si="152"/>
        <v>Repeat Customer</v>
      </c>
      <c r="AI684" t="str">
        <f t="shared" si="153"/>
        <v>Standard (3-5 days)</v>
      </c>
    </row>
    <row r="685" spans="1:35" ht="15" customHeight="1" x14ac:dyDescent="0.3">
      <c r="A685">
        <v>684</v>
      </c>
      <c r="B685" t="s">
        <v>2406</v>
      </c>
      <c r="C685" s="12">
        <v>43043</v>
      </c>
      <c r="D685" s="12">
        <v>43043</v>
      </c>
      <c r="E685" t="s">
        <v>1476</v>
      </c>
      <c r="F685" t="s">
        <v>2407</v>
      </c>
      <c r="G685" t="s">
        <v>2408</v>
      </c>
      <c r="H685" t="s">
        <v>224</v>
      </c>
      <c r="I685" t="s">
        <v>210</v>
      </c>
      <c r="J685" t="s">
        <v>2409</v>
      </c>
      <c r="K685" t="s">
        <v>271</v>
      </c>
      <c r="L685">
        <v>27217</v>
      </c>
      <c r="M685" t="s">
        <v>213</v>
      </c>
      <c r="N685" t="s">
        <v>2410</v>
      </c>
      <c r="O685" t="s">
        <v>254</v>
      </c>
      <c r="P685" t="s">
        <v>867</v>
      </c>
      <c r="Q685" t="s">
        <v>2411</v>
      </c>
      <c r="R685" s="13">
        <v>7999.98</v>
      </c>
      <c r="S685">
        <v>4</v>
      </c>
      <c r="T685" s="14">
        <v>0.5</v>
      </c>
      <c r="U685" s="13">
        <v>-3839.9904000000001</v>
      </c>
      <c r="V685">
        <f t="shared" si="140"/>
        <v>2017</v>
      </c>
      <c r="W685" t="str">
        <f t="shared" si="141"/>
        <v>Nov</v>
      </c>
      <c r="X685" t="str">
        <f t="shared" si="142"/>
        <v>Q4</v>
      </c>
      <c r="Y685" t="str">
        <f t="shared" si="143"/>
        <v>Sat</v>
      </c>
      <c r="Z685" s="16">
        <f t="shared" si="144"/>
        <v>0</v>
      </c>
      <c r="AA685" s="13">
        <f t="shared" si="145"/>
        <v>1999.9949999999999</v>
      </c>
      <c r="AB685" s="14">
        <f t="shared" si="146"/>
        <v>-0.48000000000000004</v>
      </c>
      <c r="AC685" t="str">
        <f t="shared" si="147"/>
        <v>High (40%+)</v>
      </c>
      <c r="AD685" t="str">
        <f t="shared" si="148"/>
        <v>Premium ($500+)</v>
      </c>
      <c r="AE685" t="str">
        <f t="shared" si="149"/>
        <v>Medium (3-5 units)</v>
      </c>
      <c r="AF685" t="str">
        <f t="shared" si="150"/>
        <v>Loss-Making</v>
      </c>
      <c r="AG685" t="str">
        <f t="shared" si="151"/>
        <v>Underperforming</v>
      </c>
      <c r="AH685" t="str">
        <f t="shared" si="152"/>
        <v>Repeat Customer</v>
      </c>
      <c r="AI685" t="str">
        <f t="shared" si="153"/>
        <v>Fast (&lt;=2 days)</v>
      </c>
    </row>
    <row r="686" spans="1:35" ht="15" customHeight="1" x14ac:dyDescent="0.3">
      <c r="A686">
        <v>685</v>
      </c>
      <c r="B686" t="s">
        <v>2406</v>
      </c>
      <c r="C686" s="12">
        <v>43043</v>
      </c>
      <c r="D686" s="12">
        <v>43043</v>
      </c>
      <c r="E686" t="s">
        <v>1476</v>
      </c>
      <c r="F686" t="s">
        <v>2407</v>
      </c>
      <c r="G686" t="s">
        <v>2408</v>
      </c>
      <c r="H686" t="s">
        <v>224</v>
      </c>
      <c r="I686" t="s">
        <v>210</v>
      </c>
      <c r="J686" t="s">
        <v>2409</v>
      </c>
      <c r="K686" t="s">
        <v>271</v>
      </c>
      <c r="L686">
        <v>27217</v>
      </c>
      <c r="M686" t="s">
        <v>213</v>
      </c>
      <c r="N686" t="s">
        <v>2320</v>
      </c>
      <c r="O686" t="s">
        <v>229</v>
      </c>
      <c r="P686" t="s">
        <v>261</v>
      </c>
      <c r="Q686" t="s">
        <v>2321</v>
      </c>
      <c r="R686" s="13">
        <v>167.44</v>
      </c>
      <c r="S686">
        <v>2</v>
      </c>
      <c r="T686" s="14">
        <v>0.2</v>
      </c>
      <c r="U686" s="13">
        <v>14.651</v>
      </c>
      <c r="V686">
        <f t="shared" si="140"/>
        <v>2017</v>
      </c>
      <c r="W686" t="str">
        <f t="shared" si="141"/>
        <v>Nov</v>
      </c>
      <c r="X686" t="str">
        <f t="shared" si="142"/>
        <v>Q4</v>
      </c>
      <c r="Y686" t="str">
        <f t="shared" si="143"/>
        <v>Sat</v>
      </c>
      <c r="Z686" s="16">
        <f t="shared" si="144"/>
        <v>0</v>
      </c>
      <c r="AA686" s="13">
        <f t="shared" si="145"/>
        <v>83.72</v>
      </c>
      <c r="AB686" s="14">
        <f t="shared" si="146"/>
        <v>8.7499999999999994E-2</v>
      </c>
      <c r="AC686" t="str">
        <f t="shared" si="147"/>
        <v>Low (1-20%)</v>
      </c>
      <c r="AD686" t="str">
        <f t="shared" si="148"/>
        <v>Medium ($50-$200)</v>
      </c>
      <c r="AE686" t="str">
        <f t="shared" si="149"/>
        <v>Small (1-2 units)</v>
      </c>
      <c r="AF686" t="str">
        <f t="shared" si="150"/>
        <v>Profitable</v>
      </c>
      <c r="AG686" t="str">
        <f t="shared" si="151"/>
        <v>Low Margin</v>
      </c>
      <c r="AH686" t="str">
        <f t="shared" si="152"/>
        <v>Repeat Customer</v>
      </c>
      <c r="AI686" t="str">
        <f t="shared" si="153"/>
        <v>Fast (&lt;=2 days)</v>
      </c>
    </row>
    <row r="687" spans="1:35" ht="15" customHeight="1" x14ac:dyDescent="0.3">
      <c r="A687">
        <v>686</v>
      </c>
      <c r="B687" t="s">
        <v>2412</v>
      </c>
      <c r="C687" s="12">
        <v>41825</v>
      </c>
      <c r="D687" s="12">
        <v>41828</v>
      </c>
      <c r="E687" t="s">
        <v>371</v>
      </c>
      <c r="F687" t="s">
        <v>2413</v>
      </c>
      <c r="G687" t="s">
        <v>2414</v>
      </c>
      <c r="H687" t="s">
        <v>209</v>
      </c>
      <c r="I687" t="s">
        <v>210</v>
      </c>
      <c r="J687" t="s">
        <v>511</v>
      </c>
      <c r="K687" t="s">
        <v>1675</v>
      </c>
      <c r="L687">
        <v>39212</v>
      </c>
      <c r="M687" t="s">
        <v>213</v>
      </c>
      <c r="N687" t="s">
        <v>1498</v>
      </c>
      <c r="O687" t="s">
        <v>254</v>
      </c>
      <c r="P687" t="s">
        <v>344</v>
      </c>
      <c r="Q687" t="s">
        <v>1499</v>
      </c>
      <c r="R687" s="13">
        <v>479.97</v>
      </c>
      <c r="S687">
        <v>3</v>
      </c>
      <c r="T687" s="14">
        <v>0</v>
      </c>
      <c r="U687" s="13">
        <v>163.18979999999999</v>
      </c>
      <c r="V687">
        <f t="shared" si="140"/>
        <v>2014</v>
      </c>
      <c r="W687" t="str">
        <f t="shared" si="141"/>
        <v>Jul</v>
      </c>
      <c r="X687" t="str">
        <f t="shared" si="142"/>
        <v>Q3</v>
      </c>
      <c r="Y687" t="str">
        <f t="shared" si="143"/>
        <v>Sat</v>
      </c>
      <c r="Z687" s="16">
        <f t="shared" si="144"/>
        <v>3</v>
      </c>
      <c r="AA687" s="13">
        <f t="shared" si="145"/>
        <v>159.99</v>
      </c>
      <c r="AB687" s="14">
        <f t="shared" si="146"/>
        <v>0.33999999999999997</v>
      </c>
      <c r="AC687" t="str">
        <f t="shared" si="147"/>
        <v>No Discount</v>
      </c>
      <c r="AD687" t="str">
        <f t="shared" si="148"/>
        <v>High ($200-$500)</v>
      </c>
      <c r="AE687" t="str">
        <f t="shared" si="149"/>
        <v>Medium (3-5 units)</v>
      </c>
      <c r="AF687" t="str">
        <f t="shared" si="150"/>
        <v>Profitable</v>
      </c>
      <c r="AG687" t="str">
        <f t="shared" si="151"/>
        <v>High Margin</v>
      </c>
      <c r="AH687" t="str">
        <f t="shared" si="152"/>
        <v>Repeat Customer</v>
      </c>
      <c r="AI687" t="str">
        <f t="shared" si="153"/>
        <v>Standard (3-5 days)</v>
      </c>
    </row>
    <row r="688" spans="1:35" ht="15" customHeight="1" x14ac:dyDescent="0.3">
      <c r="A688">
        <v>687</v>
      </c>
      <c r="B688" t="s">
        <v>2412</v>
      </c>
      <c r="C688" s="12">
        <v>41825</v>
      </c>
      <c r="D688" s="12">
        <v>41828</v>
      </c>
      <c r="E688" t="s">
        <v>371</v>
      </c>
      <c r="F688" t="s">
        <v>2413</v>
      </c>
      <c r="G688" t="s">
        <v>2414</v>
      </c>
      <c r="H688" t="s">
        <v>209</v>
      </c>
      <c r="I688" t="s">
        <v>210</v>
      </c>
      <c r="J688" t="s">
        <v>511</v>
      </c>
      <c r="K688" t="s">
        <v>1675</v>
      </c>
      <c r="L688">
        <v>39212</v>
      </c>
      <c r="M688" t="s">
        <v>213</v>
      </c>
      <c r="N688" t="s">
        <v>2415</v>
      </c>
      <c r="O688" t="s">
        <v>229</v>
      </c>
      <c r="P688" t="s">
        <v>230</v>
      </c>
      <c r="Q688" t="s">
        <v>2416</v>
      </c>
      <c r="R688" s="13">
        <v>14.62</v>
      </c>
      <c r="S688">
        <v>2</v>
      </c>
      <c r="T688" s="14">
        <v>0</v>
      </c>
      <c r="U688" s="13">
        <v>6.8714000000000004</v>
      </c>
      <c r="V688">
        <f t="shared" si="140"/>
        <v>2014</v>
      </c>
      <c r="W688" t="str">
        <f t="shared" si="141"/>
        <v>Jul</v>
      </c>
      <c r="X688" t="str">
        <f t="shared" si="142"/>
        <v>Q3</v>
      </c>
      <c r="Y688" t="str">
        <f t="shared" si="143"/>
        <v>Sat</v>
      </c>
      <c r="Z688" s="16">
        <f t="shared" si="144"/>
        <v>3</v>
      </c>
      <c r="AA688" s="13">
        <f t="shared" si="145"/>
        <v>7.31</v>
      </c>
      <c r="AB688" s="14">
        <f t="shared" si="146"/>
        <v>0.47000000000000003</v>
      </c>
      <c r="AC688" t="str">
        <f t="shared" si="147"/>
        <v>No Discount</v>
      </c>
      <c r="AD688" t="str">
        <f t="shared" si="148"/>
        <v>Low (&lt;$50)</v>
      </c>
      <c r="AE688" t="str">
        <f t="shared" si="149"/>
        <v>Small (1-2 units)</v>
      </c>
      <c r="AF688" t="str">
        <f t="shared" si="150"/>
        <v>Profitable</v>
      </c>
      <c r="AG688" t="str">
        <f t="shared" si="151"/>
        <v>High Margin</v>
      </c>
      <c r="AH688" t="str">
        <f t="shared" si="152"/>
        <v>Repeat Customer</v>
      </c>
      <c r="AI688" t="str">
        <f t="shared" si="153"/>
        <v>Standard (3-5 days)</v>
      </c>
    </row>
    <row r="689" spans="1:35" ht="15" customHeight="1" x14ac:dyDescent="0.3">
      <c r="A689">
        <v>688</v>
      </c>
      <c r="B689" t="s">
        <v>2412</v>
      </c>
      <c r="C689" s="12">
        <v>41825</v>
      </c>
      <c r="D689" s="12">
        <v>41828</v>
      </c>
      <c r="E689" t="s">
        <v>371</v>
      </c>
      <c r="F689" t="s">
        <v>2413</v>
      </c>
      <c r="G689" t="s">
        <v>2414</v>
      </c>
      <c r="H689" t="s">
        <v>209</v>
      </c>
      <c r="I689" t="s">
        <v>210</v>
      </c>
      <c r="J689" t="s">
        <v>511</v>
      </c>
      <c r="K689" t="s">
        <v>1675</v>
      </c>
      <c r="L689">
        <v>39212</v>
      </c>
      <c r="M689" t="s">
        <v>213</v>
      </c>
      <c r="N689" t="s">
        <v>587</v>
      </c>
      <c r="O689" t="s">
        <v>229</v>
      </c>
      <c r="P689" t="s">
        <v>273</v>
      </c>
      <c r="Q689" t="s">
        <v>588</v>
      </c>
      <c r="R689" s="13">
        <v>19.440000000000001</v>
      </c>
      <c r="S689">
        <v>3</v>
      </c>
      <c r="T689" s="14">
        <v>0</v>
      </c>
      <c r="U689" s="13">
        <v>9.3312000000000008</v>
      </c>
      <c r="V689">
        <f t="shared" si="140"/>
        <v>2014</v>
      </c>
      <c r="W689" t="str">
        <f t="shared" si="141"/>
        <v>Jul</v>
      </c>
      <c r="X689" t="str">
        <f t="shared" si="142"/>
        <v>Q3</v>
      </c>
      <c r="Y689" t="str">
        <f t="shared" si="143"/>
        <v>Sat</v>
      </c>
      <c r="Z689" s="16">
        <f t="shared" si="144"/>
        <v>3</v>
      </c>
      <c r="AA689" s="13">
        <f t="shared" si="145"/>
        <v>6.48</v>
      </c>
      <c r="AB689" s="14">
        <f t="shared" si="146"/>
        <v>0.48000000000000004</v>
      </c>
      <c r="AC689" t="str">
        <f t="shared" si="147"/>
        <v>No Discount</v>
      </c>
      <c r="AD689" t="str">
        <f t="shared" si="148"/>
        <v>Low (&lt;$50)</v>
      </c>
      <c r="AE689" t="str">
        <f t="shared" si="149"/>
        <v>Medium (3-5 units)</v>
      </c>
      <c r="AF689" t="str">
        <f t="shared" si="150"/>
        <v>Profitable</v>
      </c>
      <c r="AG689" t="str">
        <f t="shared" si="151"/>
        <v>High Margin</v>
      </c>
      <c r="AH689" t="str">
        <f t="shared" si="152"/>
        <v>Repeat Customer</v>
      </c>
      <c r="AI689" t="str">
        <f t="shared" si="153"/>
        <v>Standard (3-5 days)</v>
      </c>
    </row>
    <row r="690" spans="1:35" ht="15" customHeight="1" x14ac:dyDescent="0.3">
      <c r="A690">
        <v>689</v>
      </c>
      <c r="B690" t="s">
        <v>2417</v>
      </c>
      <c r="C690" s="12">
        <v>43094</v>
      </c>
      <c r="D690" s="12">
        <v>43098</v>
      </c>
      <c r="E690" t="s">
        <v>233</v>
      </c>
      <c r="F690" t="s">
        <v>2418</v>
      </c>
      <c r="G690" t="s">
        <v>2419</v>
      </c>
      <c r="H690" t="s">
        <v>209</v>
      </c>
      <c r="I690" t="s">
        <v>210</v>
      </c>
      <c r="J690" t="s">
        <v>449</v>
      </c>
      <c r="K690" t="s">
        <v>450</v>
      </c>
      <c r="L690">
        <v>10035</v>
      </c>
      <c r="M690" t="s">
        <v>331</v>
      </c>
      <c r="N690" t="s">
        <v>2420</v>
      </c>
      <c r="O690" t="s">
        <v>215</v>
      </c>
      <c r="P690" t="s">
        <v>216</v>
      </c>
      <c r="Q690" t="s">
        <v>2421</v>
      </c>
      <c r="R690" s="13">
        <v>191.98400000000001</v>
      </c>
      <c r="S690">
        <v>2</v>
      </c>
      <c r="T690" s="14">
        <v>0.2</v>
      </c>
      <c r="U690" s="13">
        <v>4.7995999999999803</v>
      </c>
      <c r="V690">
        <f t="shared" si="140"/>
        <v>2017</v>
      </c>
      <c r="W690" t="str">
        <f t="shared" si="141"/>
        <v>Dec</v>
      </c>
      <c r="X690" t="str">
        <f t="shared" si="142"/>
        <v>Q4</v>
      </c>
      <c r="Y690" t="str">
        <f t="shared" si="143"/>
        <v>Mon</v>
      </c>
      <c r="Z690" s="16">
        <f t="shared" si="144"/>
        <v>4</v>
      </c>
      <c r="AA690" s="13">
        <f t="shared" si="145"/>
        <v>95.992000000000004</v>
      </c>
      <c r="AB690" s="14">
        <f t="shared" si="146"/>
        <v>2.4999999999999897E-2</v>
      </c>
      <c r="AC690" t="str">
        <f t="shared" si="147"/>
        <v>Low (1-20%)</v>
      </c>
      <c r="AD690" t="str">
        <f t="shared" si="148"/>
        <v>Medium ($50-$200)</v>
      </c>
      <c r="AE690" t="str">
        <f t="shared" si="149"/>
        <v>Small (1-2 units)</v>
      </c>
      <c r="AF690" t="str">
        <f t="shared" si="150"/>
        <v>Profitable</v>
      </c>
      <c r="AG690" t="str">
        <f t="shared" si="151"/>
        <v>Low Margin</v>
      </c>
      <c r="AH690" t="str">
        <f t="shared" si="152"/>
        <v>Single Purchase</v>
      </c>
      <c r="AI690" t="str">
        <f t="shared" si="153"/>
        <v>Standard (3-5 days)</v>
      </c>
    </row>
    <row r="691" spans="1:35" ht="15" customHeight="1" x14ac:dyDescent="0.3">
      <c r="A691">
        <v>690</v>
      </c>
      <c r="B691" t="s">
        <v>2422</v>
      </c>
      <c r="C691" s="12">
        <v>41811</v>
      </c>
      <c r="D691" s="12">
        <v>41813</v>
      </c>
      <c r="E691" t="s">
        <v>206</v>
      </c>
      <c r="F691" t="s">
        <v>2423</v>
      </c>
      <c r="G691" t="s">
        <v>2424</v>
      </c>
      <c r="H691" t="s">
        <v>209</v>
      </c>
      <c r="I691" t="s">
        <v>210</v>
      </c>
      <c r="J691" t="s">
        <v>2425</v>
      </c>
      <c r="K691" t="s">
        <v>502</v>
      </c>
      <c r="L691">
        <v>22980</v>
      </c>
      <c r="M691" t="s">
        <v>213</v>
      </c>
      <c r="N691" t="s">
        <v>2426</v>
      </c>
      <c r="O691" t="s">
        <v>215</v>
      </c>
      <c r="P691" t="s">
        <v>248</v>
      </c>
      <c r="Q691" t="s">
        <v>2427</v>
      </c>
      <c r="R691" s="13">
        <v>104.01</v>
      </c>
      <c r="S691">
        <v>1</v>
      </c>
      <c r="T691" s="14">
        <v>0</v>
      </c>
      <c r="U691" s="13">
        <v>14.561400000000001</v>
      </c>
      <c r="V691">
        <f t="shared" si="140"/>
        <v>2014</v>
      </c>
      <c r="W691" t="str">
        <f t="shared" si="141"/>
        <v>Jun</v>
      </c>
      <c r="X691" t="str">
        <f t="shared" si="142"/>
        <v>Q2</v>
      </c>
      <c r="Y691" t="str">
        <f t="shared" si="143"/>
        <v>Sat</v>
      </c>
      <c r="Z691" s="16">
        <f t="shared" si="144"/>
        <v>2</v>
      </c>
      <c r="AA691" s="13">
        <f t="shared" si="145"/>
        <v>104.01</v>
      </c>
      <c r="AB691" s="14">
        <f t="shared" si="146"/>
        <v>0.14000000000000001</v>
      </c>
      <c r="AC691" t="str">
        <f t="shared" si="147"/>
        <v>No Discount</v>
      </c>
      <c r="AD691" t="str">
        <f t="shared" si="148"/>
        <v>Medium ($50-$200)</v>
      </c>
      <c r="AE691" t="str">
        <f t="shared" si="149"/>
        <v>Small (1-2 units)</v>
      </c>
      <c r="AF691" t="str">
        <f t="shared" si="150"/>
        <v>Profitable</v>
      </c>
      <c r="AG691" t="str">
        <f t="shared" si="151"/>
        <v>Healthy Margin</v>
      </c>
      <c r="AH691" t="str">
        <f t="shared" si="152"/>
        <v>Repeat Customer</v>
      </c>
      <c r="AI691" t="str">
        <f t="shared" si="153"/>
        <v>Fast (&lt;=2 days)</v>
      </c>
    </row>
    <row r="692" spans="1:35" ht="15" customHeight="1" x14ac:dyDescent="0.3">
      <c r="A692">
        <v>691</v>
      </c>
      <c r="B692" t="s">
        <v>2422</v>
      </c>
      <c r="C692" s="12">
        <v>41811</v>
      </c>
      <c r="D692" s="12">
        <v>41813</v>
      </c>
      <c r="E692" t="s">
        <v>206</v>
      </c>
      <c r="F692" t="s">
        <v>2423</v>
      </c>
      <c r="G692" t="s">
        <v>2424</v>
      </c>
      <c r="H692" t="s">
        <v>209</v>
      </c>
      <c r="I692" t="s">
        <v>210</v>
      </c>
      <c r="J692" t="s">
        <v>2425</v>
      </c>
      <c r="K692" t="s">
        <v>502</v>
      </c>
      <c r="L692">
        <v>22980</v>
      </c>
      <c r="M692" t="s">
        <v>213</v>
      </c>
      <c r="N692" t="s">
        <v>265</v>
      </c>
      <c r="O692" t="s">
        <v>254</v>
      </c>
      <c r="P692" t="s">
        <v>255</v>
      </c>
      <c r="Q692" t="s">
        <v>266</v>
      </c>
      <c r="R692" s="13">
        <v>284.82</v>
      </c>
      <c r="S692">
        <v>1</v>
      </c>
      <c r="T692" s="14">
        <v>0</v>
      </c>
      <c r="U692" s="13">
        <v>74.053200000000004</v>
      </c>
      <c r="V692">
        <f t="shared" si="140"/>
        <v>2014</v>
      </c>
      <c r="W692" t="str">
        <f t="shared" si="141"/>
        <v>Jun</v>
      </c>
      <c r="X692" t="str">
        <f t="shared" si="142"/>
        <v>Q2</v>
      </c>
      <c r="Y692" t="str">
        <f t="shared" si="143"/>
        <v>Sat</v>
      </c>
      <c r="Z692" s="16">
        <f t="shared" si="144"/>
        <v>2</v>
      </c>
      <c r="AA692" s="13">
        <f t="shared" si="145"/>
        <v>284.82</v>
      </c>
      <c r="AB692" s="14">
        <f t="shared" si="146"/>
        <v>0.26</v>
      </c>
      <c r="AC692" t="str">
        <f t="shared" si="147"/>
        <v>No Discount</v>
      </c>
      <c r="AD692" t="str">
        <f t="shared" si="148"/>
        <v>High ($200-$500)</v>
      </c>
      <c r="AE692" t="str">
        <f t="shared" si="149"/>
        <v>Small (1-2 units)</v>
      </c>
      <c r="AF692" t="str">
        <f t="shared" si="150"/>
        <v>Profitable</v>
      </c>
      <c r="AG692" t="str">
        <f t="shared" si="151"/>
        <v>High Margin</v>
      </c>
      <c r="AH692" t="str">
        <f t="shared" si="152"/>
        <v>Repeat Customer</v>
      </c>
      <c r="AI692" t="str">
        <f t="shared" si="153"/>
        <v>Fast (&lt;=2 days)</v>
      </c>
    </row>
    <row r="693" spans="1:35" ht="15" customHeight="1" x14ac:dyDescent="0.3">
      <c r="A693">
        <v>692</v>
      </c>
      <c r="B693" t="s">
        <v>2422</v>
      </c>
      <c r="C693" s="12">
        <v>41811</v>
      </c>
      <c r="D693" s="12">
        <v>41813</v>
      </c>
      <c r="E693" t="s">
        <v>206</v>
      </c>
      <c r="F693" t="s">
        <v>2423</v>
      </c>
      <c r="G693" t="s">
        <v>2424</v>
      </c>
      <c r="H693" t="s">
        <v>209</v>
      </c>
      <c r="I693" t="s">
        <v>210</v>
      </c>
      <c r="J693" t="s">
        <v>2425</v>
      </c>
      <c r="K693" t="s">
        <v>502</v>
      </c>
      <c r="L693">
        <v>22980</v>
      </c>
      <c r="M693" t="s">
        <v>213</v>
      </c>
      <c r="N693" t="s">
        <v>2428</v>
      </c>
      <c r="O693" t="s">
        <v>229</v>
      </c>
      <c r="P693" t="s">
        <v>242</v>
      </c>
      <c r="Q693" t="s">
        <v>2429</v>
      </c>
      <c r="R693" s="13">
        <v>36.840000000000003</v>
      </c>
      <c r="S693">
        <v>3</v>
      </c>
      <c r="T693" s="14">
        <v>0</v>
      </c>
      <c r="U693" s="13">
        <v>10.315200000000001</v>
      </c>
      <c r="V693">
        <f t="shared" si="140"/>
        <v>2014</v>
      </c>
      <c r="W693" t="str">
        <f t="shared" si="141"/>
        <v>Jun</v>
      </c>
      <c r="X693" t="str">
        <f t="shared" si="142"/>
        <v>Q2</v>
      </c>
      <c r="Y693" t="str">
        <f t="shared" si="143"/>
        <v>Sat</v>
      </c>
      <c r="Z693" s="16">
        <f t="shared" si="144"/>
        <v>2</v>
      </c>
      <c r="AA693" s="13">
        <f t="shared" si="145"/>
        <v>12.280000000000001</v>
      </c>
      <c r="AB693" s="14">
        <f t="shared" si="146"/>
        <v>0.27999999999999997</v>
      </c>
      <c r="AC693" t="str">
        <f t="shared" si="147"/>
        <v>No Discount</v>
      </c>
      <c r="AD693" t="str">
        <f t="shared" si="148"/>
        <v>Low (&lt;$50)</v>
      </c>
      <c r="AE693" t="str">
        <f t="shared" si="149"/>
        <v>Medium (3-5 units)</v>
      </c>
      <c r="AF693" t="str">
        <f t="shared" si="150"/>
        <v>Profitable</v>
      </c>
      <c r="AG693" t="str">
        <f t="shared" si="151"/>
        <v>High Margin</v>
      </c>
      <c r="AH693" t="str">
        <f t="shared" si="152"/>
        <v>Repeat Customer</v>
      </c>
      <c r="AI693" t="str">
        <f t="shared" si="153"/>
        <v>Fast (&lt;=2 days)</v>
      </c>
    </row>
    <row r="694" spans="1:35" ht="15" customHeight="1" x14ac:dyDescent="0.3">
      <c r="A694">
        <v>693</v>
      </c>
      <c r="B694" t="s">
        <v>2430</v>
      </c>
      <c r="C694" s="12">
        <v>42091</v>
      </c>
      <c r="D694" s="12">
        <v>42096</v>
      </c>
      <c r="E694" t="s">
        <v>233</v>
      </c>
      <c r="F694" t="s">
        <v>2431</v>
      </c>
      <c r="G694" t="s">
        <v>2432</v>
      </c>
      <c r="H694" t="s">
        <v>209</v>
      </c>
      <c r="I694" t="s">
        <v>210</v>
      </c>
      <c r="J694" t="s">
        <v>225</v>
      </c>
      <c r="K694" t="s">
        <v>226</v>
      </c>
      <c r="L694">
        <v>90036</v>
      </c>
      <c r="M694" t="s">
        <v>227</v>
      </c>
      <c r="N694" t="s">
        <v>2433</v>
      </c>
      <c r="O694" t="s">
        <v>254</v>
      </c>
      <c r="P694" t="s">
        <v>344</v>
      </c>
      <c r="Q694" t="s">
        <v>2434</v>
      </c>
      <c r="R694" s="13">
        <v>166.24</v>
      </c>
      <c r="S694">
        <v>1</v>
      </c>
      <c r="T694" s="14">
        <v>0</v>
      </c>
      <c r="U694" s="13">
        <v>24.936</v>
      </c>
      <c r="V694">
        <f t="shared" si="140"/>
        <v>2015</v>
      </c>
      <c r="W694" t="str">
        <f t="shared" si="141"/>
        <v>Mar</v>
      </c>
      <c r="X694" t="str">
        <f t="shared" si="142"/>
        <v>Q1</v>
      </c>
      <c r="Y694" t="str">
        <f t="shared" si="143"/>
        <v>Sat</v>
      </c>
      <c r="Z694" s="16">
        <f t="shared" si="144"/>
        <v>5</v>
      </c>
      <c r="AA694" s="13">
        <f t="shared" si="145"/>
        <v>166.24</v>
      </c>
      <c r="AB694" s="14">
        <f t="shared" si="146"/>
        <v>0.15</v>
      </c>
      <c r="AC694" t="str">
        <f t="shared" si="147"/>
        <v>No Discount</v>
      </c>
      <c r="AD694" t="str">
        <f t="shared" si="148"/>
        <v>Medium ($50-$200)</v>
      </c>
      <c r="AE694" t="str">
        <f t="shared" si="149"/>
        <v>Small (1-2 units)</v>
      </c>
      <c r="AF694" t="str">
        <f t="shared" si="150"/>
        <v>Profitable</v>
      </c>
      <c r="AG694" t="str">
        <f t="shared" si="151"/>
        <v>Healthy Margin</v>
      </c>
      <c r="AH694" t="str">
        <f t="shared" si="152"/>
        <v>Repeat Customer</v>
      </c>
      <c r="AI694" t="str">
        <f t="shared" si="153"/>
        <v>Standard (3-5 days)</v>
      </c>
    </row>
    <row r="695" spans="1:35" ht="15" customHeight="1" x14ac:dyDescent="0.3">
      <c r="A695">
        <v>694</v>
      </c>
      <c r="B695" t="s">
        <v>2430</v>
      </c>
      <c r="C695" s="12">
        <v>42091</v>
      </c>
      <c r="D695" s="12">
        <v>42096</v>
      </c>
      <c r="E695" t="s">
        <v>233</v>
      </c>
      <c r="F695" t="s">
        <v>2431</v>
      </c>
      <c r="G695" t="s">
        <v>2432</v>
      </c>
      <c r="H695" t="s">
        <v>209</v>
      </c>
      <c r="I695" t="s">
        <v>210</v>
      </c>
      <c r="J695" t="s">
        <v>225</v>
      </c>
      <c r="K695" t="s">
        <v>226</v>
      </c>
      <c r="L695">
        <v>90036</v>
      </c>
      <c r="M695" t="s">
        <v>227</v>
      </c>
      <c r="N695" t="s">
        <v>2435</v>
      </c>
      <c r="O695" t="s">
        <v>229</v>
      </c>
      <c r="P695" t="s">
        <v>273</v>
      </c>
      <c r="Q695" t="s">
        <v>2436</v>
      </c>
      <c r="R695" s="13">
        <v>33.4</v>
      </c>
      <c r="S695">
        <v>5</v>
      </c>
      <c r="T695" s="14">
        <v>0</v>
      </c>
      <c r="U695" s="13">
        <v>16.032</v>
      </c>
      <c r="V695">
        <f t="shared" si="140"/>
        <v>2015</v>
      </c>
      <c r="W695" t="str">
        <f t="shared" si="141"/>
        <v>Mar</v>
      </c>
      <c r="X695" t="str">
        <f t="shared" si="142"/>
        <v>Q1</v>
      </c>
      <c r="Y695" t="str">
        <f t="shared" si="143"/>
        <v>Sat</v>
      </c>
      <c r="Z695" s="16">
        <f t="shared" si="144"/>
        <v>5</v>
      </c>
      <c r="AA695" s="13">
        <f t="shared" si="145"/>
        <v>6.68</v>
      </c>
      <c r="AB695" s="14">
        <f t="shared" si="146"/>
        <v>0.48000000000000004</v>
      </c>
      <c r="AC695" t="str">
        <f t="shared" si="147"/>
        <v>No Discount</v>
      </c>
      <c r="AD695" t="str">
        <f t="shared" si="148"/>
        <v>Low (&lt;$50)</v>
      </c>
      <c r="AE695" t="str">
        <f t="shared" si="149"/>
        <v>Medium (3-5 units)</v>
      </c>
      <c r="AF695" t="str">
        <f t="shared" si="150"/>
        <v>Profitable</v>
      </c>
      <c r="AG695" t="str">
        <f t="shared" si="151"/>
        <v>High Margin</v>
      </c>
      <c r="AH695" t="str">
        <f t="shared" si="152"/>
        <v>Repeat Customer</v>
      </c>
      <c r="AI695" t="str">
        <f t="shared" si="153"/>
        <v>Standard (3-5 days)</v>
      </c>
    </row>
    <row r="696" spans="1:35" ht="15" customHeight="1" x14ac:dyDescent="0.3">
      <c r="A696">
        <v>695</v>
      </c>
      <c r="B696" t="s">
        <v>2437</v>
      </c>
      <c r="C696" s="12">
        <v>42138</v>
      </c>
      <c r="D696" s="12">
        <v>42141</v>
      </c>
      <c r="E696" t="s">
        <v>371</v>
      </c>
      <c r="F696" t="s">
        <v>2438</v>
      </c>
      <c r="G696" t="s">
        <v>2439</v>
      </c>
      <c r="H696" t="s">
        <v>285</v>
      </c>
      <c r="I696" t="s">
        <v>210</v>
      </c>
      <c r="J696" t="s">
        <v>2440</v>
      </c>
      <c r="K696" t="s">
        <v>330</v>
      </c>
      <c r="L696">
        <v>19013</v>
      </c>
      <c r="M696" t="s">
        <v>331</v>
      </c>
      <c r="N696" t="s">
        <v>1345</v>
      </c>
      <c r="O696" t="s">
        <v>229</v>
      </c>
      <c r="P696" t="s">
        <v>251</v>
      </c>
      <c r="Q696" t="s">
        <v>1346</v>
      </c>
      <c r="R696" s="13">
        <v>198.27199999999999</v>
      </c>
      <c r="S696">
        <v>8</v>
      </c>
      <c r="T696" s="14">
        <v>0.2</v>
      </c>
      <c r="U696" s="13">
        <v>17.348800000000001</v>
      </c>
      <c r="V696">
        <f t="shared" si="140"/>
        <v>2015</v>
      </c>
      <c r="W696" t="str">
        <f t="shared" si="141"/>
        <v>May</v>
      </c>
      <c r="X696" t="str">
        <f t="shared" si="142"/>
        <v>Q2</v>
      </c>
      <c r="Y696" t="str">
        <f t="shared" si="143"/>
        <v>Thu</v>
      </c>
      <c r="Z696" s="16">
        <f t="shared" si="144"/>
        <v>3</v>
      </c>
      <c r="AA696" s="13">
        <f t="shared" si="145"/>
        <v>24.783999999999999</v>
      </c>
      <c r="AB696" s="14">
        <f t="shared" si="146"/>
        <v>8.7500000000000008E-2</v>
      </c>
      <c r="AC696" t="str">
        <f t="shared" si="147"/>
        <v>Low (1-20%)</v>
      </c>
      <c r="AD696" t="str">
        <f t="shared" si="148"/>
        <v>Medium ($50-$200)</v>
      </c>
      <c r="AE696" t="str">
        <f t="shared" si="149"/>
        <v>Large (6+ units)</v>
      </c>
      <c r="AF696" t="str">
        <f t="shared" si="150"/>
        <v>Profitable</v>
      </c>
      <c r="AG696" t="str">
        <f t="shared" si="151"/>
        <v>Low Margin</v>
      </c>
      <c r="AH696" t="str">
        <f t="shared" si="152"/>
        <v>Repeat Customer</v>
      </c>
      <c r="AI696" t="str">
        <f t="shared" si="153"/>
        <v>Standard (3-5 days)</v>
      </c>
    </row>
    <row r="697" spans="1:35" ht="15" customHeight="1" x14ac:dyDescent="0.3">
      <c r="A697">
        <v>696</v>
      </c>
      <c r="B697" t="s">
        <v>2437</v>
      </c>
      <c r="C697" s="12">
        <v>42138</v>
      </c>
      <c r="D697" s="12">
        <v>42141</v>
      </c>
      <c r="E697" t="s">
        <v>371</v>
      </c>
      <c r="F697" t="s">
        <v>2438</v>
      </c>
      <c r="G697" t="s">
        <v>2439</v>
      </c>
      <c r="H697" t="s">
        <v>285</v>
      </c>
      <c r="I697" t="s">
        <v>210</v>
      </c>
      <c r="J697" t="s">
        <v>2440</v>
      </c>
      <c r="K697" t="s">
        <v>330</v>
      </c>
      <c r="L697">
        <v>19013</v>
      </c>
      <c r="M697" t="s">
        <v>331</v>
      </c>
      <c r="N697" t="s">
        <v>2441</v>
      </c>
      <c r="O697" t="s">
        <v>229</v>
      </c>
      <c r="P697" t="s">
        <v>230</v>
      </c>
      <c r="Q697" t="s">
        <v>2442</v>
      </c>
      <c r="R697" s="13">
        <v>47.36</v>
      </c>
      <c r="S697">
        <v>4</v>
      </c>
      <c r="T697" s="14">
        <v>0.2</v>
      </c>
      <c r="U697" s="13">
        <v>17.760000000000002</v>
      </c>
      <c r="V697">
        <f t="shared" si="140"/>
        <v>2015</v>
      </c>
      <c r="W697" t="str">
        <f t="shared" si="141"/>
        <v>May</v>
      </c>
      <c r="X697" t="str">
        <f t="shared" si="142"/>
        <v>Q2</v>
      </c>
      <c r="Y697" t="str">
        <f t="shared" si="143"/>
        <v>Thu</v>
      </c>
      <c r="Z697" s="16">
        <f t="shared" si="144"/>
        <v>3</v>
      </c>
      <c r="AA697" s="13">
        <f t="shared" si="145"/>
        <v>11.84</v>
      </c>
      <c r="AB697" s="14">
        <f t="shared" si="146"/>
        <v>0.37500000000000006</v>
      </c>
      <c r="AC697" t="str">
        <f t="shared" si="147"/>
        <v>Low (1-20%)</v>
      </c>
      <c r="AD697" t="str">
        <f t="shared" si="148"/>
        <v>Low (&lt;$50)</v>
      </c>
      <c r="AE697" t="str">
        <f t="shared" si="149"/>
        <v>Medium (3-5 units)</v>
      </c>
      <c r="AF697" t="str">
        <f t="shared" si="150"/>
        <v>Profitable</v>
      </c>
      <c r="AG697" t="str">
        <f t="shared" si="151"/>
        <v>High Margin</v>
      </c>
      <c r="AH697" t="str">
        <f t="shared" si="152"/>
        <v>Repeat Customer</v>
      </c>
      <c r="AI697" t="str">
        <f t="shared" si="153"/>
        <v>Standard (3-5 days)</v>
      </c>
    </row>
    <row r="698" spans="1:35" ht="15" customHeight="1" x14ac:dyDescent="0.3">
      <c r="A698">
        <v>697</v>
      </c>
      <c r="B698" t="s">
        <v>2437</v>
      </c>
      <c r="C698" s="12">
        <v>42138</v>
      </c>
      <c r="D698" s="12">
        <v>42141</v>
      </c>
      <c r="E698" t="s">
        <v>371</v>
      </c>
      <c r="F698" t="s">
        <v>2438</v>
      </c>
      <c r="G698" t="s">
        <v>2439</v>
      </c>
      <c r="H698" t="s">
        <v>285</v>
      </c>
      <c r="I698" t="s">
        <v>210</v>
      </c>
      <c r="J698" t="s">
        <v>2440</v>
      </c>
      <c r="K698" t="s">
        <v>330</v>
      </c>
      <c r="L698">
        <v>19013</v>
      </c>
      <c r="M698" t="s">
        <v>331</v>
      </c>
      <c r="N698" t="s">
        <v>557</v>
      </c>
      <c r="O698" t="s">
        <v>229</v>
      </c>
      <c r="P698" t="s">
        <v>356</v>
      </c>
      <c r="Q698" t="s">
        <v>558</v>
      </c>
      <c r="R698" s="13">
        <v>200.98400000000001</v>
      </c>
      <c r="S698">
        <v>7</v>
      </c>
      <c r="T698" s="14">
        <v>0.2</v>
      </c>
      <c r="U698" s="13">
        <v>62.807499999999997</v>
      </c>
      <c r="V698">
        <f t="shared" si="140"/>
        <v>2015</v>
      </c>
      <c r="W698" t="str">
        <f t="shared" si="141"/>
        <v>May</v>
      </c>
      <c r="X698" t="str">
        <f t="shared" si="142"/>
        <v>Q2</v>
      </c>
      <c r="Y698" t="str">
        <f t="shared" si="143"/>
        <v>Thu</v>
      </c>
      <c r="Z698" s="16">
        <f t="shared" si="144"/>
        <v>3</v>
      </c>
      <c r="AA698" s="13">
        <f t="shared" si="145"/>
        <v>28.712</v>
      </c>
      <c r="AB698" s="14">
        <f t="shared" si="146"/>
        <v>0.3125</v>
      </c>
      <c r="AC698" t="str">
        <f t="shared" si="147"/>
        <v>Low (1-20%)</v>
      </c>
      <c r="AD698" t="str">
        <f t="shared" si="148"/>
        <v>High ($200-$500)</v>
      </c>
      <c r="AE698" t="str">
        <f t="shared" si="149"/>
        <v>Large (6+ units)</v>
      </c>
      <c r="AF698" t="str">
        <f t="shared" si="150"/>
        <v>Profitable</v>
      </c>
      <c r="AG698" t="str">
        <f t="shared" si="151"/>
        <v>High Margin</v>
      </c>
      <c r="AH698" t="str">
        <f t="shared" si="152"/>
        <v>Repeat Customer</v>
      </c>
      <c r="AI698" t="str">
        <f t="shared" si="153"/>
        <v>Standard (3-5 days)</v>
      </c>
    </row>
    <row r="699" spans="1:35" ht="15" customHeight="1" x14ac:dyDescent="0.3">
      <c r="A699">
        <v>698</v>
      </c>
      <c r="B699" t="s">
        <v>2437</v>
      </c>
      <c r="C699" s="12">
        <v>42138</v>
      </c>
      <c r="D699" s="12">
        <v>42141</v>
      </c>
      <c r="E699" t="s">
        <v>371</v>
      </c>
      <c r="F699" t="s">
        <v>2438</v>
      </c>
      <c r="G699" t="s">
        <v>2439</v>
      </c>
      <c r="H699" t="s">
        <v>285</v>
      </c>
      <c r="I699" t="s">
        <v>210</v>
      </c>
      <c r="J699" t="s">
        <v>2440</v>
      </c>
      <c r="K699" t="s">
        <v>330</v>
      </c>
      <c r="L699">
        <v>19013</v>
      </c>
      <c r="M699" t="s">
        <v>331</v>
      </c>
      <c r="N699" t="s">
        <v>2443</v>
      </c>
      <c r="O699" t="s">
        <v>229</v>
      </c>
      <c r="P699" t="s">
        <v>230</v>
      </c>
      <c r="Q699" t="s">
        <v>2444</v>
      </c>
      <c r="R699" s="13">
        <v>97.695999999999998</v>
      </c>
      <c r="S699">
        <v>4</v>
      </c>
      <c r="T699" s="14">
        <v>0.2</v>
      </c>
      <c r="U699" s="13">
        <v>31.751200000000001</v>
      </c>
      <c r="V699">
        <f t="shared" si="140"/>
        <v>2015</v>
      </c>
      <c r="W699" t="str">
        <f t="shared" si="141"/>
        <v>May</v>
      </c>
      <c r="X699" t="str">
        <f t="shared" si="142"/>
        <v>Q2</v>
      </c>
      <c r="Y699" t="str">
        <f t="shared" si="143"/>
        <v>Thu</v>
      </c>
      <c r="Z699" s="16">
        <f t="shared" si="144"/>
        <v>3</v>
      </c>
      <c r="AA699" s="13">
        <f t="shared" si="145"/>
        <v>24.423999999999999</v>
      </c>
      <c r="AB699" s="14">
        <f t="shared" si="146"/>
        <v>0.32500000000000001</v>
      </c>
      <c r="AC699" t="str">
        <f t="shared" si="147"/>
        <v>Low (1-20%)</v>
      </c>
      <c r="AD699" t="str">
        <f t="shared" si="148"/>
        <v>Medium ($50-$200)</v>
      </c>
      <c r="AE699" t="str">
        <f t="shared" si="149"/>
        <v>Medium (3-5 units)</v>
      </c>
      <c r="AF699" t="str">
        <f t="shared" si="150"/>
        <v>Profitable</v>
      </c>
      <c r="AG699" t="str">
        <f t="shared" si="151"/>
        <v>High Margin</v>
      </c>
      <c r="AH699" t="str">
        <f t="shared" si="152"/>
        <v>Repeat Customer</v>
      </c>
      <c r="AI699" t="str">
        <f t="shared" si="153"/>
        <v>Standard (3-5 days)</v>
      </c>
    </row>
    <row r="700" spans="1:35" ht="15" customHeight="1" x14ac:dyDescent="0.3">
      <c r="A700">
        <v>699</v>
      </c>
      <c r="B700" t="s">
        <v>2437</v>
      </c>
      <c r="C700" s="12">
        <v>42138</v>
      </c>
      <c r="D700" s="12">
        <v>42141</v>
      </c>
      <c r="E700" t="s">
        <v>371</v>
      </c>
      <c r="F700" t="s">
        <v>2438</v>
      </c>
      <c r="G700" t="s">
        <v>2439</v>
      </c>
      <c r="H700" t="s">
        <v>285</v>
      </c>
      <c r="I700" t="s">
        <v>210</v>
      </c>
      <c r="J700" t="s">
        <v>2440</v>
      </c>
      <c r="K700" t="s">
        <v>330</v>
      </c>
      <c r="L700">
        <v>19013</v>
      </c>
      <c r="M700" t="s">
        <v>331</v>
      </c>
      <c r="N700" t="s">
        <v>2445</v>
      </c>
      <c r="O700" t="s">
        <v>229</v>
      </c>
      <c r="P700" t="s">
        <v>251</v>
      </c>
      <c r="Q700" t="s">
        <v>2446</v>
      </c>
      <c r="R700" s="13">
        <v>2.6960000000000002</v>
      </c>
      <c r="S700">
        <v>1</v>
      </c>
      <c r="T700" s="14">
        <v>0.2</v>
      </c>
      <c r="U700" s="13">
        <v>0.80879999999999996</v>
      </c>
      <c r="V700">
        <f t="shared" si="140"/>
        <v>2015</v>
      </c>
      <c r="W700" t="str">
        <f t="shared" si="141"/>
        <v>May</v>
      </c>
      <c r="X700" t="str">
        <f t="shared" si="142"/>
        <v>Q2</v>
      </c>
      <c r="Y700" t="str">
        <f t="shared" si="143"/>
        <v>Thu</v>
      </c>
      <c r="Z700" s="16">
        <f t="shared" si="144"/>
        <v>3</v>
      </c>
      <c r="AA700" s="13">
        <f t="shared" si="145"/>
        <v>2.6960000000000002</v>
      </c>
      <c r="AB700" s="14">
        <f t="shared" si="146"/>
        <v>0.3</v>
      </c>
      <c r="AC700" t="str">
        <f t="shared" si="147"/>
        <v>Low (1-20%)</v>
      </c>
      <c r="AD700" t="str">
        <f t="shared" si="148"/>
        <v>Low (&lt;$50)</v>
      </c>
      <c r="AE700" t="str">
        <f t="shared" si="149"/>
        <v>Small (1-2 units)</v>
      </c>
      <c r="AF700" t="str">
        <f t="shared" si="150"/>
        <v>Profitable</v>
      </c>
      <c r="AG700" t="str">
        <f t="shared" si="151"/>
        <v>High Margin</v>
      </c>
      <c r="AH700" t="str">
        <f t="shared" si="152"/>
        <v>Repeat Customer</v>
      </c>
      <c r="AI700" t="str">
        <f t="shared" si="153"/>
        <v>Standard (3-5 days)</v>
      </c>
    </row>
    <row r="701" spans="1:35" ht="15" customHeight="1" x14ac:dyDescent="0.3">
      <c r="A701">
        <v>700</v>
      </c>
      <c r="B701" t="s">
        <v>2437</v>
      </c>
      <c r="C701" s="12">
        <v>42138</v>
      </c>
      <c r="D701" s="12">
        <v>42141</v>
      </c>
      <c r="E701" t="s">
        <v>371</v>
      </c>
      <c r="F701" t="s">
        <v>2438</v>
      </c>
      <c r="G701" t="s">
        <v>2439</v>
      </c>
      <c r="H701" t="s">
        <v>285</v>
      </c>
      <c r="I701" t="s">
        <v>210</v>
      </c>
      <c r="J701" t="s">
        <v>2440</v>
      </c>
      <c r="K701" t="s">
        <v>330</v>
      </c>
      <c r="L701">
        <v>19013</v>
      </c>
      <c r="M701" t="s">
        <v>331</v>
      </c>
      <c r="N701" t="s">
        <v>2447</v>
      </c>
      <c r="O701" t="s">
        <v>229</v>
      </c>
      <c r="P701" t="s">
        <v>258</v>
      </c>
      <c r="Q701" t="s">
        <v>2448</v>
      </c>
      <c r="R701" s="13">
        <v>18.588000000000001</v>
      </c>
      <c r="S701">
        <v>2</v>
      </c>
      <c r="T701" s="14">
        <v>0.7</v>
      </c>
      <c r="U701" s="13">
        <v>-13.6312</v>
      </c>
      <c r="V701">
        <f t="shared" si="140"/>
        <v>2015</v>
      </c>
      <c r="W701" t="str">
        <f t="shared" si="141"/>
        <v>May</v>
      </c>
      <c r="X701" t="str">
        <f t="shared" si="142"/>
        <v>Q2</v>
      </c>
      <c r="Y701" t="str">
        <f t="shared" si="143"/>
        <v>Thu</v>
      </c>
      <c r="Z701" s="16">
        <f t="shared" si="144"/>
        <v>3</v>
      </c>
      <c r="AA701" s="13">
        <f t="shared" si="145"/>
        <v>9.2940000000000005</v>
      </c>
      <c r="AB701" s="14">
        <f t="shared" si="146"/>
        <v>-0.73333333333333328</v>
      </c>
      <c r="AC701" t="str">
        <f t="shared" si="147"/>
        <v>High (40%+)</v>
      </c>
      <c r="AD701" t="str">
        <f t="shared" si="148"/>
        <v>Low (&lt;$50)</v>
      </c>
      <c r="AE701" t="str">
        <f t="shared" si="149"/>
        <v>Small (1-2 units)</v>
      </c>
      <c r="AF701" t="str">
        <f t="shared" si="150"/>
        <v>Loss-Making</v>
      </c>
      <c r="AG701" t="str">
        <f t="shared" si="151"/>
        <v>Underperforming</v>
      </c>
      <c r="AH701" t="str">
        <f t="shared" si="152"/>
        <v>Repeat Customer</v>
      </c>
      <c r="AI701" t="str">
        <f t="shared" si="153"/>
        <v>Standard (3-5 days)</v>
      </c>
    </row>
    <row r="702" spans="1:35" ht="15" customHeight="1" x14ac:dyDescent="0.3">
      <c r="A702">
        <v>701</v>
      </c>
      <c r="B702" t="s">
        <v>2437</v>
      </c>
      <c r="C702" s="12">
        <v>42138</v>
      </c>
      <c r="D702" s="12">
        <v>42141</v>
      </c>
      <c r="E702" t="s">
        <v>371</v>
      </c>
      <c r="F702" t="s">
        <v>2438</v>
      </c>
      <c r="G702" t="s">
        <v>2439</v>
      </c>
      <c r="H702" t="s">
        <v>285</v>
      </c>
      <c r="I702" t="s">
        <v>210</v>
      </c>
      <c r="J702" t="s">
        <v>2440</v>
      </c>
      <c r="K702" t="s">
        <v>330</v>
      </c>
      <c r="L702">
        <v>19013</v>
      </c>
      <c r="M702" t="s">
        <v>331</v>
      </c>
      <c r="N702" t="s">
        <v>1394</v>
      </c>
      <c r="O702" t="s">
        <v>229</v>
      </c>
      <c r="P702" t="s">
        <v>258</v>
      </c>
      <c r="Q702" t="s">
        <v>1395</v>
      </c>
      <c r="R702" s="13">
        <v>4.8959999999999999</v>
      </c>
      <c r="S702">
        <v>3</v>
      </c>
      <c r="T702" s="14">
        <v>0.7</v>
      </c>
      <c r="U702" s="13">
        <v>-3.4272</v>
      </c>
      <c r="V702">
        <f t="shared" si="140"/>
        <v>2015</v>
      </c>
      <c r="W702" t="str">
        <f t="shared" si="141"/>
        <v>May</v>
      </c>
      <c r="X702" t="str">
        <f t="shared" si="142"/>
        <v>Q2</v>
      </c>
      <c r="Y702" t="str">
        <f t="shared" si="143"/>
        <v>Thu</v>
      </c>
      <c r="Z702" s="16">
        <f t="shared" si="144"/>
        <v>3</v>
      </c>
      <c r="AA702" s="13">
        <f t="shared" si="145"/>
        <v>1.6319999999999999</v>
      </c>
      <c r="AB702" s="14">
        <f t="shared" si="146"/>
        <v>-0.70000000000000007</v>
      </c>
      <c r="AC702" t="str">
        <f t="shared" si="147"/>
        <v>High (40%+)</v>
      </c>
      <c r="AD702" t="str">
        <f t="shared" si="148"/>
        <v>Low (&lt;$50)</v>
      </c>
      <c r="AE702" t="str">
        <f t="shared" si="149"/>
        <v>Medium (3-5 units)</v>
      </c>
      <c r="AF702" t="str">
        <f t="shared" si="150"/>
        <v>Loss-Making</v>
      </c>
      <c r="AG702" t="str">
        <f t="shared" si="151"/>
        <v>Underperforming</v>
      </c>
      <c r="AH702" t="str">
        <f t="shared" si="152"/>
        <v>Repeat Customer</v>
      </c>
      <c r="AI702" t="str">
        <f t="shared" si="153"/>
        <v>Standard (3-5 days)</v>
      </c>
    </row>
    <row r="703" spans="1:35" ht="15" customHeight="1" x14ac:dyDescent="0.3">
      <c r="A703">
        <v>702</v>
      </c>
      <c r="B703" t="s">
        <v>2449</v>
      </c>
      <c r="C703" s="12">
        <v>42980</v>
      </c>
      <c r="D703" s="12">
        <v>42986</v>
      </c>
      <c r="E703" t="s">
        <v>233</v>
      </c>
      <c r="F703" t="s">
        <v>1160</v>
      </c>
      <c r="G703" t="s">
        <v>1161</v>
      </c>
      <c r="H703" t="s">
        <v>224</v>
      </c>
      <c r="I703" t="s">
        <v>210</v>
      </c>
      <c r="J703" t="s">
        <v>2368</v>
      </c>
      <c r="K703" t="s">
        <v>681</v>
      </c>
      <c r="L703">
        <v>44105</v>
      </c>
      <c r="M703" t="s">
        <v>331</v>
      </c>
      <c r="N703" t="s">
        <v>1006</v>
      </c>
      <c r="O703" t="s">
        <v>215</v>
      </c>
      <c r="P703" t="s">
        <v>248</v>
      </c>
      <c r="Q703" t="s">
        <v>1007</v>
      </c>
      <c r="R703" s="13">
        <v>15.071999999999999</v>
      </c>
      <c r="S703">
        <v>3</v>
      </c>
      <c r="T703" s="14">
        <v>0.2</v>
      </c>
      <c r="U703" s="13">
        <v>4.1448</v>
      </c>
      <c r="V703">
        <f t="shared" si="140"/>
        <v>2017</v>
      </c>
      <c r="W703" t="str">
        <f t="shared" si="141"/>
        <v>Sep</v>
      </c>
      <c r="X703" t="str">
        <f t="shared" si="142"/>
        <v>Q3</v>
      </c>
      <c r="Y703" t="str">
        <f t="shared" si="143"/>
        <v>Sat</v>
      </c>
      <c r="Z703" s="16">
        <f t="shared" si="144"/>
        <v>6</v>
      </c>
      <c r="AA703" s="13">
        <f t="shared" si="145"/>
        <v>5.024</v>
      </c>
      <c r="AB703" s="14">
        <f t="shared" si="146"/>
        <v>0.27500000000000002</v>
      </c>
      <c r="AC703" t="str">
        <f t="shared" si="147"/>
        <v>Low (1-20%)</v>
      </c>
      <c r="AD703" t="str">
        <f t="shared" si="148"/>
        <v>Low (&lt;$50)</v>
      </c>
      <c r="AE703" t="str">
        <f t="shared" si="149"/>
        <v>Medium (3-5 units)</v>
      </c>
      <c r="AF703" t="str">
        <f t="shared" si="150"/>
        <v>Profitable</v>
      </c>
      <c r="AG703" t="str">
        <f t="shared" si="151"/>
        <v>High Margin</v>
      </c>
      <c r="AH703" t="str">
        <f t="shared" si="152"/>
        <v>Repeat Customer</v>
      </c>
      <c r="AI703" t="str">
        <f t="shared" si="153"/>
        <v>Slow (6+ days)</v>
      </c>
    </row>
    <row r="704" spans="1:35" ht="15" customHeight="1" x14ac:dyDescent="0.3">
      <c r="A704">
        <v>703</v>
      </c>
      <c r="B704" t="s">
        <v>2450</v>
      </c>
      <c r="C704" s="12">
        <v>42678</v>
      </c>
      <c r="D704" s="12">
        <v>42682</v>
      </c>
      <c r="E704" t="s">
        <v>206</v>
      </c>
      <c r="F704" t="s">
        <v>1525</v>
      </c>
      <c r="G704" t="s">
        <v>1526</v>
      </c>
      <c r="H704" t="s">
        <v>224</v>
      </c>
      <c r="I704" t="s">
        <v>210</v>
      </c>
      <c r="J704" t="s">
        <v>278</v>
      </c>
      <c r="K704" t="s">
        <v>279</v>
      </c>
      <c r="L704">
        <v>98103</v>
      </c>
      <c r="M704" t="s">
        <v>227</v>
      </c>
      <c r="N704" t="s">
        <v>2451</v>
      </c>
      <c r="O704" t="s">
        <v>215</v>
      </c>
      <c r="P704" t="s">
        <v>248</v>
      </c>
      <c r="Q704" t="s">
        <v>2452</v>
      </c>
      <c r="R704" s="13">
        <v>209.88</v>
      </c>
      <c r="S704">
        <v>3</v>
      </c>
      <c r="T704" s="14">
        <v>0</v>
      </c>
      <c r="U704" s="13">
        <v>35.679600000000001</v>
      </c>
      <c r="V704">
        <f t="shared" si="140"/>
        <v>2016</v>
      </c>
      <c r="W704" t="str">
        <f t="shared" si="141"/>
        <v>Nov</v>
      </c>
      <c r="X704" t="str">
        <f t="shared" si="142"/>
        <v>Q4</v>
      </c>
      <c r="Y704" t="str">
        <f t="shared" si="143"/>
        <v>Fri</v>
      </c>
      <c r="Z704" s="16">
        <f t="shared" si="144"/>
        <v>4</v>
      </c>
      <c r="AA704" s="13">
        <f t="shared" si="145"/>
        <v>69.959999999999994</v>
      </c>
      <c r="AB704" s="14">
        <f t="shared" si="146"/>
        <v>0.17</v>
      </c>
      <c r="AC704" t="str">
        <f t="shared" si="147"/>
        <v>No Discount</v>
      </c>
      <c r="AD704" t="str">
        <f t="shared" si="148"/>
        <v>High ($200-$500)</v>
      </c>
      <c r="AE704" t="str">
        <f t="shared" si="149"/>
        <v>Medium (3-5 units)</v>
      </c>
      <c r="AF704" t="str">
        <f t="shared" si="150"/>
        <v>Profitable</v>
      </c>
      <c r="AG704" t="str">
        <f t="shared" si="151"/>
        <v>Healthy Margin</v>
      </c>
      <c r="AH704" t="str">
        <f t="shared" si="152"/>
        <v>Repeat Customer</v>
      </c>
      <c r="AI704" t="str">
        <f t="shared" si="153"/>
        <v>Standard (3-5 days)</v>
      </c>
    </row>
    <row r="705" spans="1:35" ht="15" customHeight="1" x14ac:dyDescent="0.3">
      <c r="A705">
        <v>704</v>
      </c>
      <c r="B705" t="s">
        <v>2453</v>
      </c>
      <c r="C705" s="12">
        <v>42103</v>
      </c>
      <c r="D705" s="12">
        <v>42108</v>
      </c>
      <c r="E705" t="s">
        <v>233</v>
      </c>
      <c r="F705" t="s">
        <v>2454</v>
      </c>
      <c r="G705" t="s">
        <v>2455</v>
      </c>
      <c r="H705" t="s">
        <v>209</v>
      </c>
      <c r="I705" t="s">
        <v>210</v>
      </c>
      <c r="J705" t="s">
        <v>1359</v>
      </c>
      <c r="K705" t="s">
        <v>226</v>
      </c>
      <c r="L705">
        <v>90805</v>
      </c>
      <c r="M705" t="s">
        <v>227</v>
      </c>
      <c r="N705" t="s">
        <v>2456</v>
      </c>
      <c r="O705" t="s">
        <v>215</v>
      </c>
      <c r="P705" t="s">
        <v>239</v>
      </c>
      <c r="Q705" t="s">
        <v>2457</v>
      </c>
      <c r="R705" s="13">
        <v>369.91199999999998</v>
      </c>
      <c r="S705">
        <v>3</v>
      </c>
      <c r="T705" s="14">
        <v>0.2</v>
      </c>
      <c r="U705" s="13">
        <v>-13.8717000000001</v>
      </c>
      <c r="V705">
        <f t="shared" si="140"/>
        <v>2015</v>
      </c>
      <c r="W705" t="str">
        <f t="shared" si="141"/>
        <v>Apr</v>
      </c>
      <c r="X705" t="str">
        <f t="shared" si="142"/>
        <v>Q2</v>
      </c>
      <c r="Y705" t="str">
        <f t="shared" si="143"/>
        <v>Thu</v>
      </c>
      <c r="Z705" s="16">
        <f t="shared" si="144"/>
        <v>5</v>
      </c>
      <c r="AA705" s="13">
        <f t="shared" si="145"/>
        <v>123.30399999999999</v>
      </c>
      <c r="AB705" s="14">
        <f t="shared" si="146"/>
        <v>-3.7500000000000276E-2</v>
      </c>
      <c r="AC705" t="str">
        <f t="shared" si="147"/>
        <v>Low (1-20%)</v>
      </c>
      <c r="AD705" t="str">
        <f t="shared" si="148"/>
        <v>High ($200-$500)</v>
      </c>
      <c r="AE705" t="str">
        <f t="shared" si="149"/>
        <v>Medium (3-5 units)</v>
      </c>
      <c r="AF705" t="str">
        <f t="shared" si="150"/>
        <v>Loss-Making</v>
      </c>
      <c r="AG705" t="str">
        <f t="shared" si="151"/>
        <v>Underperforming</v>
      </c>
      <c r="AH705" t="str">
        <f t="shared" si="152"/>
        <v>Single Purchase</v>
      </c>
      <c r="AI705" t="str">
        <f t="shared" si="153"/>
        <v>Standard (3-5 days)</v>
      </c>
    </row>
    <row r="706" spans="1:35" ht="15" customHeight="1" x14ac:dyDescent="0.3">
      <c r="A706">
        <v>705</v>
      </c>
      <c r="B706" t="s">
        <v>2458</v>
      </c>
      <c r="C706" s="12">
        <v>41894</v>
      </c>
      <c r="D706" s="12">
        <v>41899</v>
      </c>
      <c r="E706" t="s">
        <v>233</v>
      </c>
      <c r="F706" t="s">
        <v>2459</v>
      </c>
      <c r="G706" t="s">
        <v>2460</v>
      </c>
      <c r="H706" t="s">
        <v>224</v>
      </c>
      <c r="I706" t="s">
        <v>210</v>
      </c>
      <c r="J706" t="s">
        <v>2461</v>
      </c>
      <c r="K706" t="s">
        <v>271</v>
      </c>
      <c r="L706">
        <v>27511</v>
      </c>
      <c r="M706" t="s">
        <v>213</v>
      </c>
      <c r="N706" t="s">
        <v>2462</v>
      </c>
      <c r="O706" t="s">
        <v>229</v>
      </c>
      <c r="P706" t="s">
        <v>273</v>
      </c>
      <c r="Q706" t="s">
        <v>2463</v>
      </c>
      <c r="R706" s="13">
        <v>10.368</v>
      </c>
      <c r="S706">
        <v>2</v>
      </c>
      <c r="T706" s="14">
        <v>0.2</v>
      </c>
      <c r="U706" s="13">
        <v>3.6288</v>
      </c>
      <c r="V706">
        <f t="shared" ref="V706:V769" si="154">YEAR(C706)</f>
        <v>2014</v>
      </c>
      <c r="W706" t="str">
        <f t="shared" ref="W706:W769" si="155">TEXT(C706,"mmm")</f>
        <v>Sep</v>
      </c>
      <c r="X706" t="str">
        <f t="shared" ref="X706:X769" si="156">"Q"&amp;ROUNDUP(MONTH(C706)/3,0)</f>
        <v>Q3</v>
      </c>
      <c r="Y706" t="str">
        <f t="shared" ref="Y706:Y769" si="157">TEXT(C706,"ddd")</f>
        <v>Fri</v>
      </c>
      <c r="Z706" s="16">
        <f t="shared" ref="Z706:Z769" si="158">D706-C706</f>
        <v>5</v>
      </c>
      <c r="AA706" s="13">
        <f t="shared" ref="AA706:AA769" si="159">IFERROR(R706/S706,0)</f>
        <v>5.1840000000000002</v>
      </c>
      <c r="AB706" s="14">
        <f t="shared" ref="AB706:AB769" si="160">IFERROR(U706/R706,0)</f>
        <v>0.35</v>
      </c>
      <c r="AC706" t="str">
        <f t="shared" ref="AC706:AC769" si="161">IF(T706=0,"No Discount",IF(T706&lt;=0.2,"Low (1-20%)",IF(T706&lt;=0.4,"Medium (21-40%)","High (40%+)")))</f>
        <v>Low (1-20%)</v>
      </c>
      <c r="AD706" t="str">
        <f t="shared" ref="AD706:AD769" si="162">IF(R706&lt;50,"Low (&lt;$50)",IF(R706&lt;200,"Medium ($50-$200)",IF(R706&lt;500,"High ($200-$500)","Premium ($500+)")))</f>
        <v>Low (&lt;$50)</v>
      </c>
      <c r="AE706" t="str">
        <f t="shared" ref="AE706:AE769" si="163">IF(S706&lt;=2,"Small (1-2 units)",IF(S706&lt;=5,"Medium (3-5 units)","Large (6+ units)"))</f>
        <v>Small (1-2 units)</v>
      </c>
      <c r="AF706" t="str">
        <f t="shared" ref="AF706:AF769" si="164">IF(U706&lt;0,"Loss-Making","Profitable")</f>
        <v>Profitable</v>
      </c>
      <c r="AG706" t="str">
        <f t="shared" ref="AG706:AG769" si="165">IF(AB706&lt;0,"Underperforming",IF(AB706&lt;0.1,"Low Margin",IF(AB706&lt;0.25,"Healthy Margin","High Margin")))</f>
        <v>High Margin</v>
      </c>
      <c r="AH706" t="str">
        <f t="shared" ref="AH706:AH769" si="166">IF(COUNTIF($F$2:$F$1001,F706)&gt;1,"Repeat Customer","Single Purchase")</f>
        <v>Repeat Customer</v>
      </c>
      <c r="AI706" t="str">
        <f t="shared" ref="AI706:AI769" si="167">IF(Z706&lt;=2,"Fast (&lt;=2 days)",IF(Z706&lt;=5,"Standard (3-5 days)","Slow (6+ days)"))</f>
        <v>Standard (3-5 days)</v>
      </c>
    </row>
    <row r="707" spans="1:35" ht="15" customHeight="1" x14ac:dyDescent="0.3">
      <c r="A707">
        <v>706</v>
      </c>
      <c r="B707" t="s">
        <v>2458</v>
      </c>
      <c r="C707" s="12">
        <v>41894</v>
      </c>
      <c r="D707" s="12">
        <v>41899</v>
      </c>
      <c r="E707" t="s">
        <v>233</v>
      </c>
      <c r="F707" t="s">
        <v>2459</v>
      </c>
      <c r="G707" t="s">
        <v>2460</v>
      </c>
      <c r="H707" t="s">
        <v>224</v>
      </c>
      <c r="I707" t="s">
        <v>210</v>
      </c>
      <c r="J707" t="s">
        <v>2461</v>
      </c>
      <c r="K707" t="s">
        <v>271</v>
      </c>
      <c r="L707">
        <v>27511</v>
      </c>
      <c r="M707" t="s">
        <v>213</v>
      </c>
      <c r="N707" t="s">
        <v>2464</v>
      </c>
      <c r="O707" t="s">
        <v>229</v>
      </c>
      <c r="P707" t="s">
        <v>261</v>
      </c>
      <c r="Q707" t="s">
        <v>2465</v>
      </c>
      <c r="R707" s="13">
        <v>166.84</v>
      </c>
      <c r="S707">
        <v>5</v>
      </c>
      <c r="T707" s="14">
        <v>0.2</v>
      </c>
      <c r="U707" s="13">
        <v>18.769500000000001</v>
      </c>
      <c r="V707">
        <f t="shared" si="154"/>
        <v>2014</v>
      </c>
      <c r="W707" t="str">
        <f t="shared" si="155"/>
        <v>Sep</v>
      </c>
      <c r="X707" t="str">
        <f t="shared" si="156"/>
        <v>Q3</v>
      </c>
      <c r="Y707" t="str">
        <f t="shared" si="157"/>
        <v>Fri</v>
      </c>
      <c r="Z707" s="16">
        <f t="shared" si="158"/>
        <v>5</v>
      </c>
      <c r="AA707" s="13">
        <f t="shared" si="159"/>
        <v>33.368000000000002</v>
      </c>
      <c r="AB707" s="14">
        <f t="shared" si="160"/>
        <v>0.1125</v>
      </c>
      <c r="AC707" t="str">
        <f t="shared" si="161"/>
        <v>Low (1-20%)</v>
      </c>
      <c r="AD707" t="str">
        <f t="shared" si="162"/>
        <v>Medium ($50-$200)</v>
      </c>
      <c r="AE707" t="str">
        <f t="shared" si="163"/>
        <v>Medium (3-5 units)</v>
      </c>
      <c r="AF707" t="str">
        <f t="shared" si="164"/>
        <v>Profitable</v>
      </c>
      <c r="AG707" t="str">
        <f t="shared" si="165"/>
        <v>Healthy Margin</v>
      </c>
      <c r="AH707" t="str">
        <f t="shared" si="166"/>
        <v>Repeat Customer</v>
      </c>
      <c r="AI707" t="str">
        <f t="shared" si="167"/>
        <v>Standard (3-5 days)</v>
      </c>
    </row>
    <row r="708" spans="1:35" ht="15" customHeight="1" x14ac:dyDescent="0.3">
      <c r="A708">
        <v>707</v>
      </c>
      <c r="B708" t="s">
        <v>2458</v>
      </c>
      <c r="C708" s="12">
        <v>41894</v>
      </c>
      <c r="D708" s="12">
        <v>41899</v>
      </c>
      <c r="E708" t="s">
        <v>233</v>
      </c>
      <c r="F708" t="s">
        <v>2459</v>
      </c>
      <c r="G708" t="s">
        <v>2460</v>
      </c>
      <c r="H708" t="s">
        <v>224</v>
      </c>
      <c r="I708" t="s">
        <v>210</v>
      </c>
      <c r="J708" t="s">
        <v>2461</v>
      </c>
      <c r="K708" t="s">
        <v>271</v>
      </c>
      <c r="L708">
        <v>27511</v>
      </c>
      <c r="M708" t="s">
        <v>213</v>
      </c>
      <c r="N708" t="s">
        <v>1938</v>
      </c>
      <c r="O708" t="s">
        <v>254</v>
      </c>
      <c r="P708" t="s">
        <v>344</v>
      </c>
      <c r="Q708" t="s">
        <v>1939</v>
      </c>
      <c r="R708" s="13">
        <v>15.215999999999999</v>
      </c>
      <c r="S708">
        <v>1</v>
      </c>
      <c r="T708" s="14">
        <v>0.2</v>
      </c>
      <c r="U708" s="13">
        <v>2.2824</v>
      </c>
      <c r="V708">
        <f t="shared" si="154"/>
        <v>2014</v>
      </c>
      <c r="W708" t="str">
        <f t="shared" si="155"/>
        <v>Sep</v>
      </c>
      <c r="X708" t="str">
        <f t="shared" si="156"/>
        <v>Q3</v>
      </c>
      <c r="Y708" t="str">
        <f t="shared" si="157"/>
        <v>Fri</v>
      </c>
      <c r="Z708" s="16">
        <f t="shared" si="158"/>
        <v>5</v>
      </c>
      <c r="AA708" s="13">
        <f t="shared" si="159"/>
        <v>15.215999999999999</v>
      </c>
      <c r="AB708" s="14">
        <f t="shared" si="160"/>
        <v>0.15</v>
      </c>
      <c r="AC708" t="str">
        <f t="shared" si="161"/>
        <v>Low (1-20%)</v>
      </c>
      <c r="AD708" t="str">
        <f t="shared" si="162"/>
        <v>Low (&lt;$50)</v>
      </c>
      <c r="AE708" t="str">
        <f t="shared" si="163"/>
        <v>Small (1-2 units)</v>
      </c>
      <c r="AF708" t="str">
        <f t="shared" si="164"/>
        <v>Profitable</v>
      </c>
      <c r="AG708" t="str">
        <f t="shared" si="165"/>
        <v>Healthy Margin</v>
      </c>
      <c r="AH708" t="str">
        <f t="shared" si="166"/>
        <v>Repeat Customer</v>
      </c>
      <c r="AI708" t="str">
        <f t="shared" si="167"/>
        <v>Standard (3-5 days)</v>
      </c>
    </row>
    <row r="709" spans="1:35" ht="15" customHeight="1" x14ac:dyDescent="0.3">
      <c r="A709">
        <v>708</v>
      </c>
      <c r="B709" t="s">
        <v>2466</v>
      </c>
      <c r="C709" s="12">
        <v>41975</v>
      </c>
      <c r="D709" s="12">
        <v>41977</v>
      </c>
      <c r="E709" t="s">
        <v>371</v>
      </c>
      <c r="F709" t="s">
        <v>2467</v>
      </c>
      <c r="G709" t="s">
        <v>2468</v>
      </c>
      <c r="H709" t="s">
        <v>209</v>
      </c>
      <c r="I709" t="s">
        <v>210</v>
      </c>
      <c r="J709" t="s">
        <v>449</v>
      </c>
      <c r="K709" t="s">
        <v>450</v>
      </c>
      <c r="L709">
        <v>10035</v>
      </c>
      <c r="M709" t="s">
        <v>331</v>
      </c>
      <c r="N709" t="s">
        <v>1204</v>
      </c>
      <c r="O709" t="s">
        <v>254</v>
      </c>
      <c r="P709" t="s">
        <v>344</v>
      </c>
      <c r="Q709" t="s">
        <v>1205</v>
      </c>
      <c r="R709" s="13">
        <v>119.96</v>
      </c>
      <c r="S709">
        <v>4</v>
      </c>
      <c r="T709" s="14">
        <v>0</v>
      </c>
      <c r="U709" s="13">
        <v>52.782400000000003</v>
      </c>
      <c r="V709">
        <f t="shared" si="154"/>
        <v>2014</v>
      </c>
      <c r="W709" t="str">
        <f t="shared" si="155"/>
        <v>Dec</v>
      </c>
      <c r="X709" t="str">
        <f t="shared" si="156"/>
        <v>Q4</v>
      </c>
      <c r="Y709" t="str">
        <f t="shared" si="157"/>
        <v>Tue</v>
      </c>
      <c r="Z709" s="16">
        <f t="shared" si="158"/>
        <v>2</v>
      </c>
      <c r="AA709" s="13">
        <f t="shared" si="159"/>
        <v>29.99</v>
      </c>
      <c r="AB709" s="14">
        <f t="shared" si="160"/>
        <v>0.44000000000000006</v>
      </c>
      <c r="AC709" t="str">
        <f t="shared" si="161"/>
        <v>No Discount</v>
      </c>
      <c r="AD709" t="str">
        <f t="shared" si="162"/>
        <v>Medium ($50-$200)</v>
      </c>
      <c r="AE709" t="str">
        <f t="shared" si="163"/>
        <v>Medium (3-5 units)</v>
      </c>
      <c r="AF709" t="str">
        <f t="shared" si="164"/>
        <v>Profitable</v>
      </c>
      <c r="AG709" t="str">
        <f t="shared" si="165"/>
        <v>High Margin</v>
      </c>
      <c r="AH709" t="str">
        <f t="shared" si="166"/>
        <v>Repeat Customer</v>
      </c>
      <c r="AI709" t="str">
        <f t="shared" si="167"/>
        <v>Fast (&lt;=2 days)</v>
      </c>
    </row>
    <row r="710" spans="1:35" ht="15" customHeight="1" x14ac:dyDescent="0.3">
      <c r="A710">
        <v>709</v>
      </c>
      <c r="B710" t="s">
        <v>2466</v>
      </c>
      <c r="C710" s="12">
        <v>41975</v>
      </c>
      <c r="D710" s="12">
        <v>41977</v>
      </c>
      <c r="E710" t="s">
        <v>371</v>
      </c>
      <c r="F710" t="s">
        <v>2467</v>
      </c>
      <c r="G710" t="s">
        <v>2468</v>
      </c>
      <c r="H710" t="s">
        <v>209</v>
      </c>
      <c r="I710" t="s">
        <v>210</v>
      </c>
      <c r="J710" t="s">
        <v>449</v>
      </c>
      <c r="K710" t="s">
        <v>450</v>
      </c>
      <c r="L710">
        <v>10035</v>
      </c>
      <c r="M710" t="s">
        <v>331</v>
      </c>
      <c r="N710" t="s">
        <v>2469</v>
      </c>
      <c r="O710" t="s">
        <v>215</v>
      </c>
      <c r="P710" t="s">
        <v>216</v>
      </c>
      <c r="Q710" t="s">
        <v>2470</v>
      </c>
      <c r="R710" s="13">
        <v>883.92</v>
      </c>
      <c r="S710">
        <v>5</v>
      </c>
      <c r="T710" s="14">
        <v>0.2</v>
      </c>
      <c r="U710" s="13">
        <v>-110.49</v>
      </c>
      <c r="V710">
        <f t="shared" si="154"/>
        <v>2014</v>
      </c>
      <c r="W710" t="str">
        <f t="shared" si="155"/>
        <v>Dec</v>
      </c>
      <c r="X710" t="str">
        <f t="shared" si="156"/>
        <v>Q4</v>
      </c>
      <c r="Y710" t="str">
        <f t="shared" si="157"/>
        <v>Tue</v>
      </c>
      <c r="Z710" s="16">
        <f t="shared" si="158"/>
        <v>2</v>
      </c>
      <c r="AA710" s="13">
        <f t="shared" si="159"/>
        <v>176.78399999999999</v>
      </c>
      <c r="AB710" s="14">
        <f t="shared" si="160"/>
        <v>-0.125</v>
      </c>
      <c r="AC710" t="str">
        <f t="shared" si="161"/>
        <v>Low (1-20%)</v>
      </c>
      <c r="AD710" t="str">
        <f t="shared" si="162"/>
        <v>Premium ($500+)</v>
      </c>
      <c r="AE710" t="str">
        <f t="shared" si="163"/>
        <v>Medium (3-5 units)</v>
      </c>
      <c r="AF710" t="str">
        <f t="shared" si="164"/>
        <v>Loss-Making</v>
      </c>
      <c r="AG710" t="str">
        <f t="shared" si="165"/>
        <v>Underperforming</v>
      </c>
      <c r="AH710" t="str">
        <f t="shared" si="166"/>
        <v>Repeat Customer</v>
      </c>
      <c r="AI710" t="str">
        <f t="shared" si="167"/>
        <v>Fast (&lt;=2 days)</v>
      </c>
    </row>
    <row r="711" spans="1:35" ht="15" customHeight="1" x14ac:dyDescent="0.3">
      <c r="A711">
        <v>710</v>
      </c>
      <c r="B711" t="s">
        <v>2466</v>
      </c>
      <c r="C711" s="12">
        <v>41975</v>
      </c>
      <c r="D711" s="12">
        <v>41977</v>
      </c>
      <c r="E711" t="s">
        <v>371</v>
      </c>
      <c r="F711" t="s">
        <v>2467</v>
      </c>
      <c r="G711" t="s">
        <v>2468</v>
      </c>
      <c r="H711" t="s">
        <v>209</v>
      </c>
      <c r="I711" t="s">
        <v>210</v>
      </c>
      <c r="J711" t="s">
        <v>449</v>
      </c>
      <c r="K711" t="s">
        <v>450</v>
      </c>
      <c r="L711">
        <v>10035</v>
      </c>
      <c r="M711" t="s">
        <v>331</v>
      </c>
      <c r="N711" t="s">
        <v>1559</v>
      </c>
      <c r="O711" t="s">
        <v>229</v>
      </c>
      <c r="P711" t="s">
        <v>258</v>
      </c>
      <c r="Q711" t="s">
        <v>1560</v>
      </c>
      <c r="R711" s="13">
        <v>46.72</v>
      </c>
      <c r="S711">
        <v>8</v>
      </c>
      <c r="T711" s="14">
        <v>0.2</v>
      </c>
      <c r="U711" s="13">
        <v>15.768000000000001</v>
      </c>
      <c r="V711">
        <f t="shared" si="154"/>
        <v>2014</v>
      </c>
      <c r="W711" t="str">
        <f t="shared" si="155"/>
        <v>Dec</v>
      </c>
      <c r="X711" t="str">
        <f t="shared" si="156"/>
        <v>Q4</v>
      </c>
      <c r="Y711" t="str">
        <f t="shared" si="157"/>
        <v>Tue</v>
      </c>
      <c r="Z711" s="16">
        <f t="shared" si="158"/>
        <v>2</v>
      </c>
      <c r="AA711" s="13">
        <f t="shared" si="159"/>
        <v>5.84</v>
      </c>
      <c r="AB711" s="14">
        <f t="shared" si="160"/>
        <v>0.33750000000000002</v>
      </c>
      <c r="AC711" t="str">
        <f t="shared" si="161"/>
        <v>Low (1-20%)</v>
      </c>
      <c r="AD711" t="str">
        <f t="shared" si="162"/>
        <v>Low (&lt;$50)</v>
      </c>
      <c r="AE711" t="str">
        <f t="shared" si="163"/>
        <v>Large (6+ units)</v>
      </c>
      <c r="AF711" t="str">
        <f t="shared" si="164"/>
        <v>Profitable</v>
      </c>
      <c r="AG711" t="str">
        <f t="shared" si="165"/>
        <v>High Margin</v>
      </c>
      <c r="AH711" t="str">
        <f t="shared" si="166"/>
        <v>Repeat Customer</v>
      </c>
      <c r="AI711" t="str">
        <f t="shared" si="167"/>
        <v>Fast (&lt;=2 days)</v>
      </c>
    </row>
    <row r="712" spans="1:35" ht="15" customHeight="1" x14ac:dyDescent="0.3">
      <c r="A712">
        <v>711</v>
      </c>
      <c r="B712" t="s">
        <v>2471</v>
      </c>
      <c r="C712" s="12">
        <v>41734</v>
      </c>
      <c r="D712" s="12">
        <v>41736</v>
      </c>
      <c r="E712" t="s">
        <v>371</v>
      </c>
      <c r="F712" t="s">
        <v>2472</v>
      </c>
      <c r="G712" t="s">
        <v>2473</v>
      </c>
      <c r="H712" t="s">
        <v>285</v>
      </c>
      <c r="I712" t="s">
        <v>210</v>
      </c>
      <c r="J712" t="s">
        <v>449</v>
      </c>
      <c r="K712" t="s">
        <v>450</v>
      </c>
      <c r="L712">
        <v>10035</v>
      </c>
      <c r="M712" t="s">
        <v>331</v>
      </c>
      <c r="N712" t="s">
        <v>1812</v>
      </c>
      <c r="O712" t="s">
        <v>229</v>
      </c>
      <c r="P712" t="s">
        <v>273</v>
      </c>
      <c r="Q712" t="s">
        <v>1813</v>
      </c>
      <c r="R712" s="13">
        <v>55.48</v>
      </c>
      <c r="S712">
        <v>1</v>
      </c>
      <c r="T712" s="14">
        <v>0</v>
      </c>
      <c r="U712" s="13">
        <v>26.630400000000002</v>
      </c>
      <c r="V712">
        <f t="shared" si="154"/>
        <v>2014</v>
      </c>
      <c r="W712" t="str">
        <f t="shared" si="155"/>
        <v>Apr</v>
      </c>
      <c r="X712" t="str">
        <f t="shared" si="156"/>
        <v>Q2</v>
      </c>
      <c r="Y712" t="str">
        <f t="shared" si="157"/>
        <v>Sat</v>
      </c>
      <c r="Z712" s="16">
        <f t="shared" si="158"/>
        <v>2</v>
      </c>
      <c r="AA712" s="13">
        <f t="shared" si="159"/>
        <v>55.48</v>
      </c>
      <c r="AB712" s="14">
        <f t="shared" si="160"/>
        <v>0.48000000000000004</v>
      </c>
      <c r="AC712" t="str">
        <f t="shared" si="161"/>
        <v>No Discount</v>
      </c>
      <c r="AD712" t="str">
        <f t="shared" si="162"/>
        <v>Medium ($50-$200)</v>
      </c>
      <c r="AE712" t="str">
        <f t="shared" si="163"/>
        <v>Small (1-2 units)</v>
      </c>
      <c r="AF712" t="str">
        <f t="shared" si="164"/>
        <v>Profitable</v>
      </c>
      <c r="AG712" t="str">
        <f t="shared" si="165"/>
        <v>High Margin</v>
      </c>
      <c r="AH712" t="str">
        <f t="shared" si="166"/>
        <v>Repeat Customer</v>
      </c>
      <c r="AI712" t="str">
        <f t="shared" si="167"/>
        <v>Fast (&lt;=2 days)</v>
      </c>
    </row>
    <row r="713" spans="1:35" ht="15" customHeight="1" x14ac:dyDescent="0.3">
      <c r="A713">
        <v>712</v>
      </c>
      <c r="B713" t="s">
        <v>2474</v>
      </c>
      <c r="C713" s="12">
        <v>42981</v>
      </c>
      <c r="D713" s="12">
        <v>42985</v>
      </c>
      <c r="E713" t="s">
        <v>233</v>
      </c>
      <c r="F713" t="s">
        <v>2475</v>
      </c>
      <c r="G713" t="s">
        <v>2476</v>
      </c>
      <c r="H713" t="s">
        <v>209</v>
      </c>
      <c r="I713" t="s">
        <v>210</v>
      </c>
      <c r="J713" t="s">
        <v>2477</v>
      </c>
      <c r="K713" t="s">
        <v>237</v>
      </c>
      <c r="L713">
        <v>32137</v>
      </c>
      <c r="M713" t="s">
        <v>213</v>
      </c>
      <c r="N713" t="s">
        <v>2478</v>
      </c>
      <c r="O713" t="s">
        <v>229</v>
      </c>
      <c r="P713" t="s">
        <v>356</v>
      </c>
      <c r="Q713" t="s">
        <v>2479</v>
      </c>
      <c r="R713" s="13">
        <v>24.448</v>
      </c>
      <c r="S713">
        <v>4</v>
      </c>
      <c r="T713" s="14">
        <v>0.2</v>
      </c>
      <c r="U713" s="13">
        <v>8.8623999999999992</v>
      </c>
      <c r="V713">
        <f t="shared" si="154"/>
        <v>2017</v>
      </c>
      <c r="W713" t="str">
        <f t="shared" si="155"/>
        <v>Sep</v>
      </c>
      <c r="X713" t="str">
        <f t="shared" si="156"/>
        <v>Q3</v>
      </c>
      <c r="Y713" t="str">
        <f t="shared" si="157"/>
        <v>Sun</v>
      </c>
      <c r="Z713" s="16">
        <f t="shared" si="158"/>
        <v>4</v>
      </c>
      <c r="AA713" s="13">
        <f t="shared" si="159"/>
        <v>6.1120000000000001</v>
      </c>
      <c r="AB713" s="14">
        <f t="shared" si="160"/>
        <v>0.36249999999999993</v>
      </c>
      <c r="AC713" t="str">
        <f t="shared" si="161"/>
        <v>Low (1-20%)</v>
      </c>
      <c r="AD713" t="str">
        <f t="shared" si="162"/>
        <v>Low (&lt;$50)</v>
      </c>
      <c r="AE713" t="str">
        <f t="shared" si="163"/>
        <v>Medium (3-5 units)</v>
      </c>
      <c r="AF713" t="str">
        <f t="shared" si="164"/>
        <v>Profitable</v>
      </c>
      <c r="AG713" t="str">
        <f t="shared" si="165"/>
        <v>High Margin</v>
      </c>
      <c r="AH713" t="str">
        <f t="shared" si="166"/>
        <v>Single Purchase</v>
      </c>
      <c r="AI713" t="str">
        <f t="shared" si="167"/>
        <v>Standard (3-5 days)</v>
      </c>
    </row>
    <row r="714" spans="1:35" ht="15" customHeight="1" x14ac:dyDescent="0.3">
      <c r="A714">
        <v>713</v>
      </c>
      <c r="B714" t="s">
        <v>2480</v>
      </c>
      <c r="C714" s="12">
        <v>42874</v>
      </c>
      <c r="D714" s="12">
        <v>42879</v>
      </c>
      <c r="E714" t="s">
        <v>233</v>
      </c>
      <c r="F714" t="s">
        <v>2481</v>
      </c>
      <c r="G714" t="s">
        <v>2482</v>
      </c>
      <c r="H714" t="s">
        <v>224</v>
      </c>
      <c r="I714" t="s">
        <v>210</v>
      </c>
      <c r="J714" t="s">
        <v>2483</v>
      </c>
      <c r="K714" t="s">
        <v>450</v>
      </c>
      <c r="L714">
        <v>10550</v>
      </c>
      <c r="M714" t="s">
        <v>331</v>
      </c>
      <c r="N714" t="s">
        <v>2484</v>
      </c>
      <c r="O714" t="s">
        <v>229</v>
      </c>
      <c r="P714" t="s">
        <v>261</v>
      </c>
      <c r="Q714" t="s">
        <v>2485</v>
      </c>
      <c r="R714" s="13">
        <v>281.33999999999997</v>
      </c>
      <c r="S714">
        <v>6</v>
      </c>
      <c r="T714" s="14">
        <v>0</v>
      </c>
      <c r="U714" s="13">
        <v>109.7226</v>
      </c>
      <c r="V714">
        <f t="shared" si="154"/>
        <v>2017</v>
      </c>
      <c r="W714" t="str">
        <f t="shared" si="155"/>
        <v>May</v>
      </c>
      <c r="X714" t="str">
        <f t="shared" si="156"/>
        <v>Q2</v>
      </c>
      <c r="Y714" t="str">
        <f t="shared" si="157"/>
        <v>Fri</v>
      </c>
      <c r="Z714" s="16">
        <f t="shared" si="158"/>
        <v>5</v>
      </c>
      <c r="AA714" s="13">
        <f t="shared" si="159"/>
        <v>46.889999999999993</v>
      </c>
      <c r="AB714" s="14">
        <f t="shared" si="160"/>
        <v>0.39</v>
      </c>
      <c r="AC714" t="str">
        <f t="shared" si="161"/>
        <v>No Discount</v>
      </c>
      <c r="AD714" t="str">
        <f t="shared" si="162"/>
        <v>High ($200-$500)</v>
      </c>
      <c r="AE714" t="str">
        <f t="shared" si="163"/>
        <v>Large (6+ units)</v>
      </c>
      <c r="AF714" t="str">
        <f t="shared" si="164"/>
        <v>Profitable</v>
      </c>
      <c r="AG714" t="str">
        <f t="shared" si="165"/>
        <v>High Margin</v>
      </c>
      <c r="AH714" t="str">
        <f t="shared" si="166"/>
        <v>Repeat Customer</v>
      </c>
      <c r="AI714" t="str">
        <f t="shared" si="167"/>
        <v>Standard (3-5 days)</v>
      </c>
    </row>
    <row r="715" spans="1:35" ht="15" customHeight="1" x14ac:dyDescent="0.3">
      <c r="A715">
        <v>714</v>
      </c>
      <c r="B715" t="s">
        <v>2480</v>
      </c>
      <c r="C715" s="12">
        <v>42874</v>
      </c>
      <c r="D715" s="12">
        <v>42879</v>
      </c>
      <c r="E715" t="s">
        <v>233</v>
      </c>
      <c r="F715" t="s">
        <v>2481</v>
      </c>
      <c r="G715" t="s">
        <v>2482</v>
      </c>
      <c r="H715" t="s">
        <v>224</v>
      </c>
      <c r="I715" t="s">
        <v>210</v>
      </c>
      <c r="J715" t="s">
        <v>2483</v>
      </c>
      <c r="K715" t="s">
        <v>450</v>
      </c>
      <c r="L715">
        <v>10550</v>
      </c>
      <c r="M715" t="s">
        <v>331</v>
      </c>
      <c r="N715" t="s">
        <v>1565</v>
      </c>
      <c r="O715" t="s">
        <v>254</v>
      </c>
      <c r="P715" t="s">
        <v>255</v>
      </c>
      <c r="Q715" t="s">
        <v>1566</v>
      </c>
      <c r="R715" s="13">
        <v>307.98</v>
      </c>
      <c r="S715">
        <v>2</v>
      </c>
      <c r="T715" s="14">
        <v>0</v>
      </c>
      <c r="U715" s="13">
        <v>89.3142</v>
      </c>
      <c r="V715">
        <f t="shared" si="154"/>
        <v>2017</v>
      </c>
      <c r="W715" t="str">
        <f t="shared" si="155"/>
        <v>May</v>
      </c>
      <c r="X715" t="str">
        <f t="shared" si="156"/>
        <v>Q2</v>
      </c>
      <c r="Y715" t="str">
        <f t="shared" si="157"/>
        <v>Fri</v>
      </c>
      <c r="Z715" s="16">
        <f t="shared" si="158"/>
        <v>5</v>
      </c>
      <c r="AA715" s="13">
        <f t="shared" si="159"/>
        <v>153.99</v>
      </c>
      <c r="AB715" s="14">
        <f t="shared" si="160"/>
        <v>0.28999999999999998</v>
      </c>
      <c r="AC715" t="str">
        <f t="shared" si="161"/>
        <v>No Discount</v>
      </c>
      <c r="AD715" t="str">
        <f t="shared" si="162"/>
        <v>High ($200-$500)</v>
      </c>
      <c r="AE715" t="str">
        <f t="shared" si="163"/>
        <v>Small (1-2 units)</v>
      </c>
      <c r="AF715" t="str">
        <f t="shared" si="164"/>
        <v>Profitable</v>
      </c>
      <c r="AG715" t="str">
        <f t="shared" si="165"/>
        <v>High Margin</v>
      </c>
      <c r="AH715" t="str">
        <f t="shared" si="166"/>
        <v>Repeat Customer</v>
      </c>
      <c r="AI715" t="str">
        <f t="shared" si="167"/>
        <v>Standard (3-5 days)</v>
      </c>
    </row>
    <row r="716" spans="1:35" ht="15" customHeight="1" x14ac:dyDescent="0.3">
      <c r="A716">
        <v>715</v>
      </c>
      <c r="B716" t="s">
        <v>2480</v>
      </c>
      <c r="C716" s="12">
        <v>42874</v>
      </c>
      <c r="D716" s="12">
        <v>42879</v>
      </c>
      <c r="E716" t="s">
        <v>233</v>
      </c>
      <c r="F716" t="s">
        <v>2481</v>
      </c>
      <c r="G716" t="s">
        <v>2482</v>
      </c>
      <c r="H716" t="s">
        <v>224</v>
      </c>
      <c r="I716" t="s">
        <v>210</v>
      </c>
      <c r="J716" t="s">
        <v>2483</v>
      </c>
      <c r="K716" t="s">
        <v>450</v>
      </c>
      <c r="L716">
        <v>10550</v>
      </c>
      <c r="M716" t="s">
        <v>331</v>
      </c>
      <c r="N716" t="s">
        <v>2486</v>
      </c>
      <c r="O716" t="s">
        <v>254</v>
      </c>
      <c r="P716" t="s">
        <v>344</v>
      </c>
      <c r="Q716" t="s">
        <v>2487</v>
      </c>
      <c r="R716" s="13">
        <v>299.97000000000003</v>
      </c>
      <c r="S716">
        <v>3</v>
      </c>
      <c r="T716" s="14">
        <v>0</v>
      </c>
      <c r="U716" s="13">
        <v>113.98860000000001</v>
      </c>
      <c r="V716">
        <f t="shared" si="154"/>
        <v>2017</v>
      </c>
      <c r="W716" t="str">
        <f t="shared" si="155"/>
        <v>May</v>
      </c>
      <c r="X716" t="str">
        <f t="shared" si="156"/>
        <v>Q2</v>
      </c>
      <c r="Y716" t="str">
        <f t="shared" si="157"/>
        <v>Fri</v>
      </c>
      <c r="Z716" s="16">
        <f t="shared" si="158"/>
        <v>5</v>
      </c>
      <c r="AA716" s="13">
        <f t="shared" si="159"/>
        <v>99.990000000000009</v>
      </c>
      <c r="AB716" s="14">
        <f t="shared" si="160"/>
        <v>0.38</v>
      </c>
      <c r="AC716" t="str">
        <f t="shared" si="161"/>
        <v>No Discount</v>
      </c>
      <c r="AD716" t="str">
        <f t="shared" si="162"/>
        <v>High ($200-$500)</v>
      </c>
      <c r="AE716" t="str">
        <f t="shared" si="163"/>
        <v>Medium (3-5 units)</v>
      </c>
      <c r="AF716" t="str">
        <f t="shared" si="164"/>
        <v>Profitable</v>
      </c>
      <c r="AG716" t="str">
        <f t="shared" si="165"/>
        <v>High Margin</v>
      </c>
      <c r="AH716" t="str">
        <f t="shared" si="166"/>
        <v>Repeat Customer</v>
      </c>
      <c r="AI716" t="str">
        <f t="shared" si="167"/>
        <v>Standard (3-5 days)</v>
      </c>
    </row>
    <row r="717" spans="1:35" ht="15" customHeight="1" x14ac:dyDescent="0.3">
      <c r="A717">
        <v>716</v>
      </c>
      <c r="B717" t="s">
        <v>2488</v>
      </c>
      <c r="C717" s="12">
        <v>41821</v>
      </c>
      <c r="D717" s="12">
        <v>41826</v>
      </c>
      <c r="E717" t="s">
        <v>206</v>
      </c>
      <c r="F717" t="s">
        <v>1160</v>
      </c>
      <c r="G717" t="s">
        <v>1161</v>
      </c>
      <c r="H717" t="s">
        <v>224</v>
      </c>
      <c r="I717" t="s">
        <v>210</v>
      </c>
      <c r="J717" t="s">
        <v>278</v>
      </c>
      <c r="K717" t="s">
        <v>279</v>
      </c>
      <c r="L717">
        <v>98105</v>
      </c>
      <c r="M717" t="s">
        <v>227</v>
      </c>
      <c r="N717" t="s">
        <v>2489</v>
      </c>
      <c r="O717" t="s">
        <v>229</v>
      </c>
      <c r="P717" t="s">
        <v>258</v>
      </c>
      <c r="Q717" t="s">
        <v>2490</v>
      </c>
      <c r="R717" s="13">
        <v>19.920000000000002</v>
      </c>
      <c r="S717">
        <v>5</v>
      </c>
      <c r="T717" s="14">
        <v>0.2</v>
      </c>
      <c r="U717" s="13">
        <v>6.9720000000000004</v>
      </c>
      <c r="V717">
        <f t="shared" si="154"/>
        <v>2014</v>
      </c>
      <c r="W717" t="str">
        <f t="shared" si="155"/>
        <v>Jul</v>
      </c>
      <c r="X717" t="str">
        <f t="shared" si="156"/>
        <v>Q3</v>
      </c>
      <c r="Y717" t="str">
        <f t="shared" si="157"/>
        <v>Tue</v>
      </c>
      <c r="Z717" s="16">
        <f t="shared" si="158"/>
        <v>5</v>
      </c>
      <c r="AA717" s="13">
        <f t="shared" si="159"/>
        <v>3.9840000000000004</v>
      </c>
      <c r="AB717" s="14">
        <f t="shared" si="160"/>
        <v>0.35</v>
      </c>
      <c r="AC717" t="str">
        <f t="shared" si="161"/>
        <v>Low (1-20%)</v>
      </c>
      <c r="AD717" t="str">
        <f t="shared" si="162"/>
        <v>Low (&lt;$50)</v>
      </c>
      <c r="AE717" t="str">
        <f t="shared" si="163"/>
        <v>Medium (3-5 units)</v>
      </c>
      <c r="AF717" t="str">
        <f t="shared" si="164"/>
        <v>Profitable</v>
      </c>
      <c r="AG717" t="str">
        <f t="shared" si="165"/>
        <v>High Margin</v>
      </c>
      <c r="AH717" t="str">
        <f t="shared" si="166"/>
        <v>Repeat Customer</v>
      </c>
      <c r="AI717" t="str">
        <f t="shared" si="167"/>
        <v>Standard (3-5 days)</v>
      </c>
    </row>
    <row r="718" spans="1:35" ht="15" customHeight="1" x14ac:dyDescent="0.3">
      <c r="A718">
        <v>717</v>
      </c>
      <c r="B718" t="s">
        <v>2491</v>
      </c>
      <c r="C718" s="12">
        <v>41650</v>
      </c>
      <c r="D718" s="12">
        <v>41653</v>
      </c>
      <c r="E718" t="s">
        <v>371</v>
      </c>
      <c r="F718" t="s">
        <v>2492</v>
      </c>
      <c r="G718" t="s">
        <v>2493</v>
      </c>
      <c r="H718" t="s">
        <v>209</v>
      </c>
      <c r="I718" t="s">
        <v>210</v>
      </c>
      <c r="J718" t="s">
        <v>427</v>
      </c>
      <c r="K718" t="s">
        <v>428</v>
      </c>
      <c r="L718">
        <v>19901</v>
      </c>
      <c r="M718" t="s">
        <v>331</v>
      </c>
      <c r="N718" t="s">
        <v>2233</v>
      </c>
      <c r="O718" t="s">
        <v>215</v>
      </c>
      <c r="P718" t="s">
        <v>248</v>
      </c>
      <c r="Q718" t="s">
        <v>2234</v>
      </c>
      <c r="R718" s="13">
        <v>9.94</v>
      </c>
      <c r="S718">
        <v>2</v>
      </c>
      <c r="T718" s="14">
        <v>0</v>
      </c>
      <c r="U718" s="13">
        <v>3.0813999999999999</v>
      </c>
      <c r="V718">
        <f t="shared" si="154"/>
        <v>2014</v>
      </c>
      <c r="W718" t="str">
        <f t="shared" si="155"/>
        <v>Jan</v>
      </c>
      <c r="X718" t="str">
        <f t="shared" si="156"/>
        <v>Q1</v>
      </c>
      <c r="Y718" t="str">
        <f t="shared" si="157"/>
        <v>Sat</v>
      </c>
      <c r="Z718" s="16">
        <f t="shared" si="158"/>
        <v>3</v>
      </c>
      <c r="AA718" s="13">
        <f t="shared" si="159"/>
        <v>4.97</v>
      </c>
      <c r="AB718" s="14">
        <f t="shared" si="160"/>
        <v>0.31</v>
      </c>
      <c r="AC718" t="str">
        <f t="shared" si="161"/>
        <v>No Discount</v>
      </c>
      <c r="AD718" t="str">
        <f t="shared" si="162"/>
        <v>Low (&lt;$50)</v>
      </c>
      <c r="AE718" t="str">
        <f t="shared" si="163"/>
        <v>Small (1-2 units)</v>
      </c>
      <c r="AF718" t="str">
        <f t="shared" si="164"/>
        <v>Profitable</v>
      </c>
      <c r="AG718" t="str">
        <f t="shared" si="165"/>
        <v>High Margin</v>
      </c>
      <c r="AH718" t="str">
        <f t="shared" si="166"/>
        <v>Single Purchase</v>
      </c>
      <c r="AI718" t="str">
        <f t="shared" si="167"/>
        <v>Standard (3-5 days)</v>
      </c>
    </row>
    <row r="719" spans="1:35" ht="15" customHeight="1" x14ac:dyDescent="0.3">
      <c r="A719">
        <v>718</v>
      </c>
      <c r="B719" t="s">
        <v>2494</v>
      </c>
      <c r="C719" s="12">
        <v>43002</v>
      </c>
      <c r="D719" s="12">
        <v>43007</v>
      </c>
      <c r="E719" t="s">
        <v>233</v>
      </c>
      <c r="F719" t="s">
        <v>1131</v>
      </c>
      <c r="G719" t="s">
        <v>1132</v>
      </c>
      <c r="H719" t="s">
        <v>209</v>
      </c>
      <c r="I719" t="s">
        <v>210</v>
      </c>
      <c r="J719" t="s">
        <v>790</v>
      </c>
      <c r="K719" t="s">
        <v>681</v>
      </c>
      <c r="L719">
        <v>43055</v>
      </c>
      <c r="M719" t="s">
        <v>331</v>
      </c>
      <c r="N719" t="s">
        <v>2495</v>
      </c>
      <c r="O719" t="s">
        <v>215</v>
      </c>
      <c r="P719" t="s">
        <v>248</v>
      </c>
      <c r="Q719" t="s">
        <v>2496</v>
      </c>
      <c r="R719" s="13">
        <v>103.056</v>
      </c>
      <c r="S719">
        <v>3</v>
      </c>
      <c r="T719" s="14">
        <v>0.2</v>
      </c>
      <c r="U719" s="13">
        <v>24.4758</v>
      </c>
      <c r="V719">
        <f t="shared" si="154"/>
        <v>2017</v>
      </c>
      <c r="W719" t="str">
        <f t="shared" si="155"/>
        <v>Sep</v>
      </c>
      <c r="X719" t="str">
        <f t="shared" si="156"/>
        <v>Q3</v>
      </c>
      <c r="Y719" t="str">
        <f t="shared" si="157"/>
        <v>Sun</v>
      </c>
      <c r="Z719" s="16">
        <f t="shared" si="158"/>
        <v>5</v>
      </c>
      <c r="AA719" s="13">
        <f t="shared" si="159"/>
        <v>34.351999999999997</v>
      </c>
      <c r="AB719" s="14">
        <f t="shared" si="160"/>
        <v>0.23749999999999999</v>
      </c>
      <c r="AC719" t="str">
        <f t="shared" si="161"/>
        <v>Low (1-20%)</v>
      </c>
      <c r="AD719" t="str">
        <f t="shared" si="162"/>
        <v>Medium ($50-$200)</v>
      </c>
      <c r="AE719" t="str">
        <f t="shared" si="163"/>
        <v>Medium (3-5 units)</v>
      </c>
      <c r="AF719" t="str">
        <f t="shared" si="164"/>
        <v>Profitable</v>
      </c>
      <c r="AG719" t="str">
        <f t="shared" si="165"/>
        <v>Healthy Margin</v>
      </c>
      <c r="AH719" t="str">
        <f t="shared" si="166"/>
        <v>Repeat Customer</v>
      </c>
      <c r="AI719" t="str">
        <f t="shared" si="167"/>
        <v>Standard (3-5 days)</v>
      </c>
    </row>
    <row r="720" spans="1:35" ht="15" customHeight="1" x14ac:dyDescent="0.3">
      <c r="A720">
        <v>719</v>
      </c>
      <c r="B720" t="s">
        <v>2497</v>
      </c>
      <c r="C720" s="12">
        <v>41792</v>
      </c>
      <c r="D720" s="12">
        <v>41797</v>
      </c>
      <c r="E720" t="s">
        <v>233</v>
      </c>
      <c r="F720" t="s">
        <v>2498</v>
      </c>
      <c r="G720" t="s">
        <v>2499</v>
      </c>
      <c r="H720" t="s">
        <v>285</v>
      </c>
      <c r="I720" t="s">
        <v>210</v>
      </c>
      <c r="J720" t="s">
        <v>337</v>
      </c>
      <c r="K720" t="s">
        <v>304</v>
      </c>
      <c r="L720">
        <v>84057</v>
      </c>
      <c r="M720" t="s">
        <v>227</v>
      </c>
      <c r="N720" t="s">
        <v>1912</v>
      </c>
      <c r="O720" t="s">
        <v>229</v>
      </c>
      <c r="P720" t="s">
        <v>258</v>
      </c>
      <c r="Q720" t="s">
        <v>1913</v>
      </c>
      <c r="R720" s="13">
        <v>59.808</v>
      </c>
      <c r="S720">
        <v>3</v>
      </c>
      <c r="T720" s="14">
        <v>0.2</v>
      </c>
      <c r="U720" s="13">
        <v>19.4376</v>
      </c>
      <c r="V720">
        <f t="shared" si="154"/>
        <v>2014</v>
      </c>
      <c r="W720" t="str">
        <f t="shared" si="155"/>
        <v>Jun</v>
      </c>
      <c r="X720" t="str">
        <f t="shared" si="156"/>
        <v>Q2</v>
      </c>
      <c r="Y720" t="str">
        <f t="shared" si="157"/>
        <v>Mon</v>
      </c>
      <c r="Z720" s="16">
        <f t="shared" si="158"/>
        <v>5</v>
      </c>
      <c r="AA720" s="13">
        <f t="shared" si="159"/>
        <v>19.936</v>
      </c>
      <c r="AB720" s="14">
        <f t="shared" si="160"/>
        <v>0.32500000000000001</v>
      </c>
      <c r="AC720" t="str">
        <f t="shared" si="161"/>
        <v>Low (1-20%)</v>
      </c>
      <c r="AD720" t="str">
        <f t="shared" si="162"/>
        <v>Medium ($50-$200)</v>
      </c>
      <c r="AE720" t="str">
        <f t="shared" si="163"/>
        <v>Medium (3-5 units)</v>
      </c>
      <c r="AF720" t="str">
        <f t="shared" si="164"/>
        <v>Profitable</v>
      </c>
      <c r="AG720" t="str">
        <f t="shared" si="165"/>
        <v>High Margin</v>
      </c>
      <c r="AH720" t="str">
        <f t="shared" si="166"/>
        <v>Repeat Customer</v>
      </c>
      <c r="AI720" t="str">
        <f t="shared" si="167"/>
        <v>Standard (3-5 days)</v>
      </c>
    </row>
    <row r="721" spans="1:35" ht="15" customHeight="1" x14ac:dyDescent="0.3">
      <c r="A721">
        <v>720</v>
      </c>
      <c r="B721" t="s">
        <v>2497</v>
      </c>
      <c r="C721" s="12">
        <v>41792</v>
      </c>
      <c r="D721" s="12">
        <v>41797</v>
      </c>
      <c r="E721" t="s">
        <v>233</v>
      </c>
      <c r="F721" t="s">
        <v>2498</v>
      </c>
      <c r="G721" t="s">
        <v>2499</v>
      </c>
      <c r="H721" t="s">
        <v>285</v>
      </c>
      <c r="I721" t="s">
        <v>210</v>
      </c>
      <c r="J721" t="s">
        <v>337</v>
      </c>
      <c r="K721" t="s">
        <v>304</v>
      </c>
      <c r="L721">
        <v>84057</v>
      </c>
      <c r="M721" t="s">
        <v>227</v>
      </c>
      <c r="N721" t="s">
        <v>1728</v>
      </c>
      <c r="O721" t="s">
        <v>215</v>
      </c>
      <c r="P721" t="s">
        <v>248</v>
      </c>
      <c r="Q721" t="s">
        <v>1729</v>
      </c>
      <c r="R721" s="13">
        <v>73.319999999999993</v>
      </c>
      <c r="S721">
        <v>6</v>
      </c>
      <c r="T721" s="14">
        <v>0</v>
      </c>
      <c r="U721" s="13">
        <v>21.995999999999999</v>
      </c>
      <c r="V721">
        <f t="shared" si="154"/>
        <v>2014</v>
      </c>
      <c r="W721" t="str">
        <f t="shared" si="155"/>
        <v>Jun</v>
      </c>
      <c r="X721" t="str">
        <f t="shared" si="156"/>
        <v>Q2</v>
      </c>
      <c r="Y721" t="str">
        <f t="shared" si="157"/>
        <v>Mon</v>
      </c>
      <c r="Z721" s="16">
        <f t="shared" si="158"/>
        <v>5</v>
      </c>
      <c r="AA721" s="13">
        <f t="shared" si="159"/>
        <v>12.219999999999999</v>
      </c>
      <c r="AB721" s="14">
        <f t="shared" si="160"/>
        <v>0.3</v>
      </c>
      <c r="AC721" t="str">
        <f t="shared" si="161"/>
        <v>No Discount</v>
      </c>
      <c r="AD721" t="str">
        <f t="shared" si="162"/>
        <v>Medium ($50-$200)</v>
      </c>
      <c r="AE721" t="str">
        <f t="shared" si="163"/>
        <v>Large (6+ units)</v>
      </c>
      <c r="AF721" t="str">
        <f t="shared" si="164"/>
        <v>Profitable</v>
      </c>
      <c r="AG721" t="str">
        <f t="shared" si="165"/>
        <v>High Margin</v>
      </c>
      <c r="AH721" t="str">
        <f t="shared" si="166"/>
        <v>Repeat Customer</v>
      </c>
      <c r="AI721" t="str">
        <f t="shared" si="167"/>
        <v>Standard (3-5 days)</v>
      </c>
    </row>
    <row r="722" spans="1:35" ht="15" customHeight="1" x14ac:dyDescent="0.3">
      <c r="A722">
        <v>721</v>
      </c>
      <c r="B722" t="s">
        <v>2500</v>
      </c>
      <c r="C722" s="12">
        <v>42413</v>
      </c>
      <c r="D722" s="12">
        <v>42418</v>
      </c>
      <c r="E722" t="s">
        <v>233</v>
      </c>
      <c r="F722" t="s">
        <v>2501</v>
      </c>
      <c r="G722" t="s">
        <v>2502</v>
      </c>
      <c r="H722" t="s">
        <v>285</v>
      </c>
      <c r="I722" t="s">
        <v>210</v>
      </c>
      <c r="J722" t="s">
        <v>225</v>
      </c>
      <c r="K722" t="s">
        <v>226</v>
      </c>
      <c r="L722">
        <v>90045</v>
      </c>
      <c r="M722" t="s">
        <v>227</v>
      </c>
      <c r="N722" t="s">
        <v>2503</v>
      </c>
      <c r="O722" t="s">
        <v>229</v>
      </c>
      <c r="P722" t="s">
        <v>273</v>
      </c>
      <c r="Q722" t="s">
        <v>2504</v>
      </c>
      <c r="R722" s="13">
        <v>146.82</v>
      </c>
      <c r="S722">
        <v>3</v>
      </c>
      <c r="T722" s="14">
        <v>0</v>
      </c>
      <c r="U722" s="13">
        <v>73.41</v>
      </c>
      <c r="V722">
        <f t="shared" si="154"/>
        <v>2016</v>
      </c>
      <c r="W722" t="str">
        <f t="shared" si="155"/>
        <v>Feb</v>
      </c>
      <c r="X722" t="str">
        <f t="shared" si="156"/>
        <v>Q1</v>
      </c>
      <c r="Y722" t="str">
        <f t="shared" si="157"/>
        <v>Sat</v>
      </c>
      <c r="Z722" s="16">
        <f t="shared" si="158"/>
        <v>5</v>
      </c>
      <c r="AA722" s="13">
        <f t="shared" si="159"/>
        <v>48.94</v>
      </c>
      <c r="AB722" s="14">
        <f t="shared" si="160"/>
        <v>0.5</v>
      </c>
      <c r="AC722" t="str">
        <f t="shared" si="161"/>
        <v>No Discount</v>
      </c>
      <c r="AD722" t="str">
        <f t="shared" si="162"/>
        <v>Medium ($50-$200)</v>
      </c>
      <c r="AE722" t="str">
        <f t="shared" si="163"/>
        <v>Medium (3-5 units)</v>
      </c>
      <c r="AF722" t="str">
        <f t="shared" si="164"/>
        <v>Profitable</v>
      </c>
      <c r="AG722" t="str">
        <f t="shared" si="165"/>
        <v>High Margin</v>
      </c>
      <c r="AH722" t="str">
        <f t="shared" si="166"/>
        <v>Single Purchase</v>
      </c>
      <c r="AI722" t="str">
        <f t="shared" si="167"/>
        <v>Standard (3-5 days)</v>
      </c>
    </row>
    <row r="723" spans="1:35" ht="15" customHeight="1" x14ac:dyDescent="0.3">
      <c r="A723">
        <v>722</v>
      </c>
      <c r="B723" t="s">
        <v>2505</v>
      </c>
      <c r="C723" s="12">
        <v>42719</v>
      </c>
      <c r="D723" s="12">
        <v>42723</v>
      </c>
      <c r="E723" t="s">
        <v>233</v>
      </c>
      <c r="F723" t="s">
        <v>1665</v>
      </c>
      <c r="G723" t="s">
        <v>1666</v>
      </c>
      <c r="H723" t="s">
        <v>224</v>
      </c>
      <c r="I723" t="s">
        <v>210</v>
      </c>
      <c r="J723" t="s">
        <v>1065</v>
      </c>
      <c r="K723" t="s">
        <v>421</v>
      </c>
      <c r="L723">
        <v>48205</v>
      </c>
      <c r="M723" t="s">
        <v>288</v>
      </c>
      <c r="N723" t="s">
        <v>2506</v>
      </c>
      <c r="O723" t="s">
        <v>215</v>
      </c>
      <c r="P723" t="s">
        <v>239</v>
      </c>
      <c r="Q723" t="s">
        <v>2507</v>
      </c>
      <c r="R723" s="13">
        <v>1652.94</v>
      </c>
      <c r="S723">
        <v>3</v>
      </c>
      <c r="T723" s="14">
        <v>0</v>
      </c>
      <c r="U723" s="13">
        <v>231.41159999999999</v>
      </c>
      <c r="V723">
        <f t="shared" si="154"/>
        <v>2016</v>
      </c>
      <c r="W723" t="str">
        <f t="shared" si="155"/>
        <v>Dec</v>
      </c>
      <c r="X723" t="str">
        <f t="shared" si="156"/>
        <v>Q4</v>
      </c>
      <c r="Y723" t="str">
        <f t="shared" si="157"/>
        <v>Thu</v>
      </c>
      <c r="Z723" s="16">
        <f t="shared" si="158"/>
        <v>4</v>
      </c>
      <c r="AA723" s="13">
        <f t="shared" si="159"/>
        <v>550.98</v>
      </c>
      <c r="AB723" s="14">
        <f t="shared" si="160"/>
        <v>0.13999999999999999</v>
      </c>
      <c r="AC723" t="str">
        <f t="shared" si="161"/>
        <v>No Discount</v>
      </c>
      <c r="AD723" t="str">
        <f t="shared" si="162"/>
        <v>Premium ($500+)</v>
      </c>
      <c r="AE723" t="str">
        <f t="shared" si="163"/>
        <v>Medium (3-5 units)</v>
      </c>
      <c r="AF723" t="str">
        <f t="shared" si="164"/>
        <v>Profitable</v>
      </c>
      <c r="AG723" t="str">
        <f t="shared" si="165"/>
        <v>Healthy Margin</v>
      </c>
      <c r="AH723" t="str">
        <f t="shared" si="166"/>
        <v>Repeat Customer</v>
      </c>
      <c r="AI723" t="str">
        <f t="shared" si="167"/>
        <v>Standard (3-5 days)</v>
      </c>
    </row>
    <row r="724" spans="1:35" ht="15" customHeight="1" x14ac:dyDescent="0.3">
      <c r="A724">
        <v>723</v>
      </c>
      <c r="B724" t="s">
        <v>2505</v>
      </c>
      <c r="C724" s="12">
        <v>42719</v>
      </c>
      <c r="D724" s="12">
        <v>42723</v>
      </c>
      <c r="E724" t="s">
        <v>233</v>
      </c>
      <c r="F724" t="s">
        <v>1665</v>
      </c>
      <c r="G724" t="s">
        <v>1666</v>
      </c>
      <c r="H724" t="s">
        <v>224</v>
      </c>
      <c r="I724" t="s">
        <v>210</v>
      </c>
      <c r="J724" t="s">
        <v>1065</v>
      </c>
      <c r="K724" t="s">
        <v>421</v>
      </c>
      <c r="L724">
        <v>48205</v>
      </c>
      <c r="M724" t="s">
        <v>288</v>
      </c>
      <c r="N724" t="s">
        <v>2508</v>
      </c>
      <c r="O724" t="s">
        <v>229</v>
      </c>
      <c r="P724" t="s">
        <v>242</v>
      </c>
      <c r="Q724" t="s">
        <v>2509</v>
      </c>
      <c r="R724" s="13">
        <v>296.37</v>
      </c>
      <c r="S724">
        <v>3</v>
      </c>
      <c r="T724" s="14">
        <v>0</v>
      </c>
      <c r="U724" s="13">
        <v>80.019900000000007</v>
      </c>
      <c r="V724">
        <f t="shared" si="154"/>
        <v>2016</v>
      </c>
      <c r="W724" t="str">
        <f t="shared" si="155"/>
        <v>Dec</v>
      </c>
      <c r="X724" t="str">
        <f t="shared" si="156"/>
        <v>Q4</v>
      </c>
      <c r="Y724" t="str">
        <f t="shared" si="157"/>
        <v>Thu</v>
      </c>
      <c r="Z724" s="16">
        <f t="shared" si="158"/>
        <v>4</v>
      </c>
      <c r="AA724" s="13">
        <f t="shared" si="159"/>
        <v>98.79</v>
      </c>
      <c r="AB724" s="14">
        <f t="shared" si="160"/>
        <v>0.27</v>
      </c>
      <c r="AC724" t="str">
        <f t="shared" si="161"/>
        <v>No Discount</v>
      </c>
      <c r="AD724" t="str">
        <f t="shared" si="162"/>
        <v>High ($200-$500)</v>
      </c>
      <c r="AE724" t="str">
        <f t="shared" si="163"/>
        <v>Medium (3-5 units)</v>
      </c>
      <c r="AF724" t="str">
        <f t="shared" si="164"/>
        <v>Profitable</v>
      </c>
      <c r="AG724" t="str">
        <f t="shared" si="165"/>
        <v>High Margin</v>
      </c>
      <c r="AH724" t="str">
        <f t="shared" si="166"/>
        <v>Repeat Customer</v>
      </c>
      <c r="AI724" t="str">
        <f t="shared" si="167"/>
        <v>Standard (3-5 days)</v>
      </c>
    </row>
    <row r="725" spans="1:35" ht="15" customHeight="1" x14ac:dyDescent="0.3">
      <c r="A725">
        <v>724</v>
      </c>
      <c r="B725" t="s">
        <v>2510</v>
      </c>
      <c r="C725" s="12">
        <v>41919</v>
      </c>
      <c r="D725" s="12">
        <v>41925</v>
      </c>
      <c r="E725" t="s">
        <v>233</v>
      </c>
      <c r="F725" t="s">
        <v>2511</v>
      </c>
      <c r="G725" t="s">
        <v>2512</v>
      </c>
      <c r="H725" t="s">
        <v>285</v>
      </c>
      <c r="I725" t="s">
        <v>210</v>
      </c>
      <c r="J725" t="s">
        <v>329</v>
      </c>
      <c r="K725" t="s">
        <v>330</v>
      </c>
      <c r="L725">
        <v>19140</v>
      </c>
      <c r="M725" t="s">
        <v>331</v>
      </c>
      <c r="N725" t="s">
        <v>2513</v>
      </c>
      <c r="O725" t="s">
        <v>215</v>
      </c>
      <c r="P725" t="s">
        <v>248</v>
      </c>
      <c r="Q725" t="s">
        <v>2514</v>
      </c>
      <c r="R725" s="13">
        <v>129.91999999999999</v>
      </c>
      <c r="S725">
        <v>5</v>
      </c>
      <c r="T725" s="14">
        <v>0.2</v>
      </c>
      <c r="U725" s="13">
        <v>21.111999999999998</v>
      </c>
      <c r="V725">
        <f t="shared" si="154"/>
        <v>2014</v>
      </c>
      <c r="W725" t="str">
        <f t="shared" si="155"/>
        <v>Oct</v>
      </c>
      <c r="X725" t="str">
        <f t="shared" si="156"/>
        <v>Q4</v>
      </c>
      <c r="Y725" t="str">
        <f t="shared" si="157"/>
        <v>Tue</v>
      </c>
      <c r="Z725" s="16">
        <f t="shared" si="158"/>
        <v>6</v>
      </c>
      <c r="AA725" s="13">
        <f t="shared" si="159"/>
        <v>25.983999999999998</v>
      </c>
      <c r="AB725" s="14">
        <f t="shared" si="160"/>
        <v>0.16250000000000001</v>
      </c>
      <c r="AC725" t="str">
        <f t="shared" si="161"/>
        <v>Low (1-20%)</v>
      </c>
      <c r="AD725" t="str">
        <f t="shared" si="162"/>
        <v>Medium ($50-$200)</v>
      </c>
      <c r="AE725" t="str">
        <f t="shared" si="163"/>
        <v>Medium (3-5 units)</v>
      </c>
      <c r="AF725" t="str">
        <f t="shared" si="164"/>
        <v>Profitable</v>
      </c>
      <c r="AG725" t="str">
        <f t="shared" si="165"/>
        <v>Healthy Margin</v>
      </c>
      <c r="AH725" t="str">
        <f t="shared" si="166"/>
        <v>Single Purchase</v>
      </c>
      <c r="AI725" t="str">
        <f t="shared" si="167"/>
        <v>Slow (6+ days)</v>
      </c>
    </row>
    <row r="726" spans="1:35" ht="15" customHeight="1" x14ac:dyDescent="0.3">
      <c r="A726">
        <v>725</v>
      </c>
      <c r="B726" t="s">
        <v>2515</v>
      </c>
      <c r="C726" s="12">
        <v>42558</v>
      </c>
      <c r="D726" s="12">
        <v>42563</v>
      </c>
      <c r="E726" t="s">
        <v>233</v>
      </c>
      <c r="F726" t="s">
        <v>2516</v>
      </c>
      <c r="G726" t="s">
        <v>2517</v>
      </c>
      <c r="H726" t="s">
        <v>224</v>
      </c>
      <c r="I726" t="s">
        <v>210</v>
      </c>
      <c r="J726" t="s">
        <v>2518</v>
      </c>
      <c r="K726" t="s">
        <v>237</v>
      </c>
      <c r="L726">
        <v>33012</v>
      </c>
      <c r="M726" t="s">
        <v>213</v>
      </c>
      <c r="N726" t="s">
        <v>2519</v>
      </c>
      <c r="O726" t="s">
        <v>229</v>
      </c>
      <c r="P726" t="s">
        <v>762</v>
      </c>
      <c r="Q726" t="s">
        <v>2520</v>
      </c>
      <c r="R726" s="13">
        <v>45.584000000000003</v>
      </c>
      <c r="S726">
        <v>7</v>
      </c>
      <c r="T726" s="14">
        <v>0.2</v>
      </c>
      <c r="U726" s="13">
        <v>5.1281999999999996</v>
      </c>
      <c r="V726">
        <f t="shared" si="154"/>
        <v>2016</v>
      </c>
      <c r="W726" t="str">
        <f t="shared" si="155"/>
        <v>Jul</v>
      </c>
      <c r="X726" t="str">
        <f t="shared" si="156"/>
        <v>Q3</v>
      </c>
      <c r="Y726" t="str">
        <f t="shared" si="157"/>
        <v>Thu</v>
      </c>
      <c r="Z726" s="16">
        <f t="shared" si="158"/>
        <v>5</v>
      </c>
      <c r="AA726" s="13">
        <f t="shared" si="159"/>
        <v>6.5120000000000005</v>
      </c>
      <c r="AB726" s="14">
        <f t="shared" si="160"/>
        <v>0.11249999999999999</v>
      </c>
      <c r="AC726" t="str">
        <f t="shared" si="161"/>
        <v>Low (1-20%)</v>
      </c>
      <c r="AD726" t="str">
        <f t="shared" si="162"/>
        <v>Low (&lt;$50)</v>
      </c>
      <c r="AE726" t="str">
        <f t="shared" si="163"/>
        <v>Large (6+ units)</v>
      </c>
      <c r="AF726" t="str">
        <f t="shared" si="164"/>
        <v>Profitable</v>
      </c>
      <c r="AG726" t="str">
        <f t="shared" si="165"/>
        <v>Healthy Margin</v>
      </c>
      <c r="AH726" t="str">
        <f t="shared" si="166"/>
        <v>Single Purchase</v>
      </c>
      <c r="AI726" t="str">
        <f t="shared" si="167"/>
        <v>Standard (3-5 days)</v>
      </c>
    </row>
    <row r="727" spans="1:35" ht="15" customHeight="1" x14ac:dyDescent="0.3">
      <c r="A727">
        <v>726</v>
      </c>
      <c r="B727" t="s">
        <v>2521</v>
      </c>
      <c r="C727" s="12">
        <v>42994</v>
      </c>
      <c r="D727" s="12">
        <v>42998</v>
      </c>
      <c r="E727" t="s">
        <v>233</v>
      </c>
      <c r="F727" t="s">
        <v>2522</v>
      </c>
      <c r="G727" t="s">
        <v>2523</v>
      </c>
      <c r="H727" t="s">
        <v>209</v>
      </c>
      <c r="I727" t="s">
        <v>210</v>
      </c>
      <c r="J727" t="s">
        <v>1423</v>
      </c>
      <c r="K727" t="s">
        <v>287</v>
      </c>
      <c r="L727">
        <v>78745</v>
      </c>
      <c r="M727" t="s">
        <v>288</v>
      </c>
      <c r="N727" t="s">
        <v>2524</v>
      </c>
      <c r="O727" t="s">
        <v>229</v>
      </c>
      <c r="P727" t="s">
        <v>356</v>
      </c>
      <c r="Q727" t="s">
        <v>2525</v>
      </c>
      <c r="R727" s="13">
        <v>17.568000000000001</v>
      </c>
      <c r="S727">
        <v>2</v>
      </c>
      <c r="T727" s="14">
        <v>0.2</v>
      </c>
      <c r="U727" s="13">
        <v>6.3684000000000003</v>
      </c>
      <c r="V727">
        <f t="shared" si="154"/>
        <v>2017</v>
      </c>
      <c r="W727" t="str">
        <f t="shared" si="155"/>
        <v>Sep</v>
      </c>
      <c r="X727" t="str">
        <f t="shared" si="156"/>
        <v>Q3</v>
      </c>
      <c r="Y727" t="str">
        <f t="shared" si="157"/>
        <v>Sat</v>
      </c>
      <c r="Z727" s="16">
        <f t="shared" si="158"/>
        <v>4</v>
      </c>
      <c r="AA727" s="13">
        <f t="shared" si="159"/>
        <v>8.7840000000000007</v>
      </c>
      <c r="AB727" s="14">
        <f t="shared" si="160"/>
        <v>0.36249999999999999</v>
      </c>
      <c r="AC727" t="str">
        <f t="shared" si="161"/>
        <v>Low (1-20%)</v>
      </c>
      <c r="AD727" t="str">
        <f t="shared" si="162"/>
        <v>Low (&lt;$50)</v>
      </c>
      <c r="AE727" t="str">
        <f t="shared" si="163"/>
        <v>Small (1-2 units)</v>
      </c>
      <c r="AF727" t="str">
        <f t="shared" si="164"/>
        <v>Profitable</v>
      </c>
      <c r="AG727" t="str">
        <f t="shared" si="165"/>
        <v>High Margin</v>
      </c>
      <c r="AH727" t="str">
        <f t="shared" si="166"/>
        <v>Repeat Customer</v>
      </c>
      <c r="AI727" t="str">
        <f t="shared" si="167"/>
        <v>Standard (3-5 days)</v>
      </c>
    </row>
    <row r="728" spans="1:35" ht="15" customHeight="1" x14ac:dyDescent="0.3">
      <c r="A728">
        <v>727</v>
      </c>
      <c r="B728" t="s">
        <v>2521</v>
      </c>
      <c r="C728" s="12">
        <v>42994</v>
      </c>
      <c r="D728" s="12">
        <v>42998</v>
      </c>
      <c r="E728" t="s">
        <v>233</v>
      </c>
      <c r="F728" t="s">
        <v>2522</v>
      </c>
      <c r="G728" t="s">
        <v>2523</v>
      </c>
      <c r="H728" t="s">
        <v>209</v>
      </c>
      <c r="I728" t="s">
        <v>210</v>
      </c>
      <c r="J728" t="s">
        <v>1423</v>
      </c>
      <c r="K728" t="s">
        <v>287</v>
      </c>
      <c r="L728">
        <v>78745</v>
      </c>
      <c r="M728" t="s">
        <v>288</v>
      </c>
      <c r="N728" t="s">
        <v>2526</v>
      </c>
      <c r="O728" t="s">
        <v>254</v>
      </c>
      <c r="P728" t="s">
        <v>255</v>
      </c>
      <c r="Q728" t="s">
        <v>2527</v>
      </c>
      <c r="R728" s="13">
        <v>55.991999999999997</v>
      </c>
      <c r="S728">
        <v>1</v>
      </c>
      <c r="T728" s="14">
        <v>0.2</v>
      </c>
      <c r="U728" s="13">
        <v>5.5991999999999997</v>
      </c>
      <c r="V728">
        <f t="shared" si="154"/>
        <v>2017</v>
      </c>
      <c r="W728" t="str">
        <f t="shared" si="155"/>
        <v>Sep</v>
      </c>
      <c r="X728" t="str">
        <f t="shared" si="156"/>
        <v>Q3</v>
      </c>
      <c r="Y728" t="str">
        <f t="shared" si="157"/>
        <v>Sat</v>
      </c>
      <c r="Z728" s="16">
        <f t="shared" si="158"/>
        <v>4</v>
      </c>
      <c r="AA728" s="13">
        <f t="shared" si="159"/>
        <v>55.991999999999997</v>
      </c>
      <c r="AB728" s="14">
        <f t="shared" si="160"/>
        <v>0.1</v>
      </c>
      <c r="AC728" t="str">
        <f t="shared" si="161"/>
        <v>Low (1-20%)</v>
      </c>
      <c r="AD728" t="str">
        <f t="shared" si="162"/>
        <v>Medium ($50-$200)</v>
      </c>
      <c r="AE728" t="str">
        <f t="shared" si="163"/>
        <v>Small (1-2 units)</v>
      </c>
      <c r="AF728" t="str">
        <f t="shared" si="164"/>
        <v>Profitable</v>
      </c>
      <c r="AG728" t="str">
        <f t="shared" si="165"/>
        <v>Healthy Margin</v>
      </c>
      <c r="AH728" t="str">
        <f t="shared" si="166"/>
        <v>Repeat Customer</v>
      </c>
      <c r="AI728" t="str">
        <f t="shared" si="167"/>
        <v>Standard (3-5 days)</v>
      </c>
    </row>
    <row r="729" spans="1:35" ht="15" customHeight="1" x14ac:dyDescent="0.3">
      <c r="A729">
        <v>728</v>
      </c>
      <c r="B729" t="s">
        <v>2528</v>
      </c>
      <c r="C729" s="12">
        <v>42707</v>
      </c>
      <c r="D729" s="12">
        <v>42710</v>
      </c>
      <c r="E729" t="s">
        <v>371</v>
      </c>
      <c r="F729" t="s">
        <v>2529</v>
      </c>
      <c r="G729" t="s">
        <v>2530</v>
      </c>
      <c r="H729" t="s">
        <v>209</v>
      </c>
      <c r="I729" t="s">
        <v>210</v>
      </c>
      <c r="J729" t="s">
        <v>2531</v>
      </c>
      <c r="K729" t="s">
        <v>450</v>
      </c>
      <c r="L729">
        <v>11572</v>
      </c>
      <c r="M729" t="s">
        <v>331</v>
      </c>
      <c r="N729" t="s">
        <v>2532</v>
      </c>
      <c r="O729" t="s">
        <v>229</v>
      </c>
      <c r="P729" t="s">
        <v>273</v>
      </c>
      <c r="Q729" t="s">
        <v>2533</v>
      </c>
      <c r="R729" s="13">
        <v>182.72</v>
      </c>
      <c r="S729">
        <v>8</v>
      </c>
      <c r="T729" s="14">
        <v>0</v>
      </c>
      <c r="U729" s="13">
        <v>84.051199999999994</v>
      </c>
      <c r="V729">
        <f t="shared" si="154"/>
        <v>2016</v>
      </c>
      <c r="W729" t="str">
        <f t="shared" si="155"/>
        <v>Dec</v>
      </c>
      <c r="X729" t="str">
        <f t="shared" si="156"/>
        <v>Q4</v>
      </c>
      <c r="Y729" t="str">
        <f t="shared" si="157"/>
        <v>Sat</v>
      </c>
      <c r="Z729" s="16">
        <f t="shared" si="158"/>
        <v>3</v>
      </c>
      <c r="AA729" s="13">
        <f t="shared" si="159"/>
        <v>22.84</v>
      </c>
      <c r="AB729" s="14">
        <f t="shared" si="160"/>
        <v>0.45999999999999996</v>
      </c>
      <c r="AC729" t="str">
        <f t="shared" si="161"/>
        <v>No Discount</v>
      </c>
      <c r="AD729" t="str">
        <f t="shared" si="162"/>
        <v>Medium ($50-$200)</v>
      </c>
      <c r="AE729" t="str">
        <f t="shared" si="163"/>
        <v>Large (6+ units)</v>
      </c>
      <c r="AF729" t="str">
        <f t="shared" si="164"/>
        <v>Profitable</v>
      </c>
      <c r="AG729" t="str">
        <f t="shared" si="165"/>
        <v>High Margin</v>
      </c>
      <c r="AH729" t="str">
        <f t="shared" si="166"/>
        <v>Repeat Customer</v>
      </c>
      <c r="AI729" t="str">
        <f t="shared" si="167"/>
        <v>Standard (3-5 days)</v>
      </c>
    </row>
    <row r="730" spans="1:35" ht="15" customHeight="1" x14ac:dyDescent="0.3">
      <c r="A730">
        <v>729</v>
      </c>
      <c r="B730" t="s">
        <v>2528</v>
      </c>
      <c r="C730" s="12">
        <v>42707</v>
      </c>
      <c r="D730" s="12">
        <v>42710</v>
      </c>
      <c r="E730" t="s">
        <v>371</v>
      </c>
      <c r="F730" t="s">
        <v>2529</v>
      </c>
      <c r="G730" t="s">
        <v>2530</v>
      </c>
      <c r="H730" t="s">
        <v>209</v>
      </c>
      <c r="I730" t="s">
        <v>210</v>
      </c>
      <c r="J730" t="s">
        <v>2531</v>
      </c>
      <c r="K730" t="s">
        <v>450</v>
      </c>
      <c r="L730">
        <v>11572</v>
      </c>
      <c r="M730" t="s">
        <v>331</v>
      </c>
      <c r="N730" t="s">
        <v>2534</v>
      </c>
      <c r="O730" t="s">
        <v>215</v>
      </c>
      <c r="P730" t="s">
        <v>239</v>
      </c>
      <c r="Q730" t="s">
        <v>2535</v>
      </c>
      <c r="R730" s="13">
        <v>400.03199999999998</v>
      </c>
      <c r="S730">
        <v>2</v>
      </c>
      <c r="T730" s="14">
        <v>0.4</v>
      </c>
      <c r="U730" s="13">
        <v>-153.34559999999999</v>
      </c>
      <c r="V730">
        <f t="shared" si="154"/>
        <v>2016</v>
      </c>
      <c r="W730" t="str">
        <f t="shared" si="155"/>
        <v>Dec</v>
      </c>
      <c r="X730" t="str">
        <f t="shared" si="156"/>
        <v>Q4</v>
      </c>
      <c r="Y730" t="str">
        <f t="shared" si="157"/>
        <v>Sat</v>
      </c>
      <c r="Z730" s="16">
        <f t="shared" si="158"/>
        <v>3</v>
      </c>
      <c r="AA730" s="13">
        <f t="shared" si="159"/>
        <v>200.01599999999999</v>
      </c>
      <c r="AB730" s="14">
        <f t="shared" si="160"/>
        <v>-0.3833333333333333</v>
      </c>
      <c r="AC730" t="str">
        <f t="shared" si="161"/>
        <v>Medium (21-40%)</v>
      </c>
      <c r="AD730" t="str">
        <f t="shared" si="162"/>
        <v>High ($200-$500)</v>
      </c>
      <c r="AE730" t="str">
        <f t="shared" si="163"/>
        <v>Small (1-2 units)</v>
      </c>
      <c r="AF730" t="str">
        <f t="shared" si="164"/>
        <v>Loss-Making</v>
      </c>
      <c r="AG730" t="str">
        <f t="shared" si="165"/>
        <v>Underperforming</v>
      </c>
      <c r="AH730" t="str">
        <f t="shared" si="166"/>
        <v>Repeat Customer</v>
      </c>
      <c r="AI730" t="str">
        <f t="shared" si="167"/>
        <v>Standard (3-5 days)</v>
      </c>
    </row>
    <row r="731" spans="1:35" ht="15" customHeight="1" x14ac:dyDescent="0.3">
      <c r="A731">
        <v>730</v>
      </c>
      <c r="B731" t="s">
        <v>2528</v>
      </c>
      <c r="C731" s="12">
        <v>42707</v>
      </c>
      <c r="D731" s="12">
        <v>42710</v>
      </c>
      <c r="E731" t="s">
        <v>371</v>
      </c>
      <c r="F731" t="s">
        <v>2529</v>
      </c>
      <c r="G731" t="s">
        <v>2530</v>
      </c>
      <c r="H731" t="s">
        <v>209</v>
      </c>
      <c r="I731" t="s">
        <v>210</v>
      </c>
      <c r="J731" t="s">
        <v>2531</v>
      </c>
      <c r="K731" t="s">
        <v>450</v>
      </c>
      <c r="L731">
        <v>11572</v>
      </c>
      <c r="M731" t="s">
        <v>331</v>
      </c>
      <c r="N731" t="s">
        <v>2536</v>
      </c>
      <c r="O731" t="s">
        <v>229</v>
      </c>
      <c r="P731" t="s">
        <v>242</v>
      </c>
      <c r="Q731" t="s">
        <v>2537</v>
      </c>
      <c r="R731" s="13">
        <v>33.630000000000003</v>
      </c>
      <c r="S731">
        <v>3</v>
      </c>
      <c r="T731" s="14">
        <v>0</v>
      </c>
      <c r="U731" s="13">
        <v>10.089</v>
      </c>
      <c r="V731">
        <f t="shared" si="154"/>
        <v>2016</v>
      </c>
      <c r="W731" t="str">
        <f t="shared" si="155"/>
        <v>Dec</v>
      </c>
      <c r="X731" t="str">
        <f t="shared" si="156"/>
        <v>Q4</v>
      </c>
      <c r="Y731" t="str">
        <f t="shared" si="157"/>
        <v>Sat</v>
      </c>
      <c r="Z731" s="16">
        <f t="shared" si="158"/>
        <v>3</v>
      </c>
      <c r="AA731" s="13">
        <f t="shared" si="159"/>
        <v>11.21</v>
      </c>
      <c r="AB731" s="14">
        <f t="shared" si="160"/>
        <v>0.3</v>
      </c>
      <c r="AC731" t="str">
        <f t="shared" si="161"/>
        <v>No Discount</v>
      </c>
      <c r="AD731" t="str">
        <f t="shared" si="162"/>
        <v>Low (&lt;$50)</v>
      </c>
      <c r="AE731" t="str">
        <f t="shared" si="163"/>
        <v>Medium (3-5 units)</v>
      </c>
      <c r="AF731" t="str">
        <f t="shared" si="164"/>
        <v>Profitable</v>
      </c>
      <c r="AG731" t="str">
        <f t="shared" si="165"/>
        <v>High Margin</v>
      </c>
      <c r="AH731" t="str">
        <f t="shared" si="166"/>
        <v>Repeat Customer</v>
      </c>
      <c r="AI731" t="str">
        <f t="shared" si="167"/>
        <v>Standard (3-5 days)</v>
      </c>
    </row>
    <row r="732" spans="1:35" ht="15" customHeight="1" x14ac:dyDescent="0.3">
      <c r="A732">
        <v>731</v>
      </c>
      <c r="B732" t="s">
        <v>2528</v>
      </c>
      <c r="C732" s="12">
        <v>42707</v>
      </c>
      <c r="D732" s="12">
        <v>42710</v>
      </c>
      <c r="E732" t="s">
        <v>371</v>
      </c>
      <c r="F732" t="s">
        <v>2529</v>
      </c>
      <c r="G732" t="s">
        <v>2530</v>
      </c>
      <c r="H732" t="s">
        <v>209</v>
      </c>
      <c r="I732" t="s">
        <v>210</v>
      </c>
      <c r="J732" t="s">
        <v>2531</v>
      </c>
      <c r="K732" t="s">
        <v>450</v>
      </c>
      <c r="L732">
        <v>11572</v>
      </c>
      <c r="M732" t="s">
        <v>331</v>
      </c>
      <c r="N732" t="s">
        <v>1128</v>
      </c>
      <c r="O732" t="s">
        <v>215</v>
      </c>
      <c r="P732" t="s">
        <v>219</v>
      </c>
      <c r="Q732" t="s">
        <v>1129</v>
      </c>
      <c r="R732" s="13">
        <v>542.64599999999996</v>
      </c>
      <c r="S732">
        <v>3</v>
      </c>
      <c r="T732" s="14">
        <v>0.1</v>
      </c>
      <c r="U732" s="13">
        <v>102.49979999999999</v>
      </c>
      <c r="V732">
        <f t="shared" si="154"/>
        <v>2016</v>
      </c>
      <c r="W732" t="str">
        <f t="shared" si="155"/>
        <v>Dec</v>
      </c>
      <c r="X732" t="str">
        <f t="shared" si="156"/>
        <v>Q4</v>
      </c>
      <c r="Y732" t="str">
        <f t="shared" si="157"/>
        <v>Sat</v>
      </c>
      <c r="Z732" s="16">
        <f t="shared" si="158"/>
        <v>3</v>
      </c>
      <c r="AA732" s="13">
        <f t="shared" si="159"/>
        <v>180.88199999999998</v>
      </c>
      <c r="AB732" s="14">
        <f t="shared" si="160"/>
        <v>0.18888888888888888</v>
      </c>
      <c r="AC732" t="str">
        <f t="shared" si="161"/>
        <v>Low (1-20%)</v>
      </c>
      <c r="AD732" t="str">
        <f t="shared" si="162"/>
        <v>Premium ($500+)</v>
      </c>
      <c r="AE732" t="str">
        <f t="shared" si="163"/>
        <v>Medium (3-5 units)</v>
      </c>
      <c r="AF732" t="str">
        <f t="shared" si="164"/>
        <v>Profitable</v>
      </c>
      <c r="AG732" t="str">
        <f t="shared" si="165"/>
        <v>Healthy Margin</v>
      </c>
      <c r="AH732" t="str">
        <f t="shared" si="166"/>
        <v>Repeat Customer</v>
      </c>
      <c r="AI732" t="str">
        <f t="shared" si="167"/>
        <v>Standard (3-5 days)</v>
      </c>
    </row>
    <row r="733" spans="1:35" ht="15" customHeight="1" x14ac:dyDescent="0.3">
      <c r="A733">
        <v>732</v>
      </c>
      <c r="B733" t="s">
        <v>2528</v>
      </c>
      <c r="C733" s="12">
        <v>42707</v>
      </c>
      <c r="D733" s="12">
        <v>42710</v>
      </c>
      <c r="E733" t="s">
        <v>371</v>
      </c>
      <c r="F733" t="s">
        <v>2529</v>
      </c>
      <c r="G733" t="s">
        <v>2530</v>
      </c>
      <c r="H733" t="s">
        <v>209</v>
      </c>
      <c r="I733" t="s">
        <v>210</v>
      </c>
      <c r="J733" t="s">
        <v>2531</v>
      </c>
      <c r="K733" t="s">
        <v>450</v>
      </c>
      <c r="L733">
        <v>11572</v>
      </c>
      <c r="M733" t="s">
        <v>331</v>
      </c>
      <c r="N733" t="s">
        <v>1738</v>
      </c>
      <c r="O733" t="s">
        <v>229</v>
      </c>
      <c r="P733" t="s">
        <v>230</v>
      </c>
      <c r="Q733" t="s">
        <v>1739</v>
      </c>
      <c r="R733" s="13">
        <v>6.3</v>
      </c>
      <c r="S733">
        <v>2</v>
      </c>
      <c r="T733" s="14">
        <v>0</v>
      </c>
      <c r="U733" s="13">
        <v>3.024</v>
      </c>
      <c r="V733">
        <f t="shared" si="154"/>
        <v>2016</v>
      </c>
      <c r="W733" t="str">
        <f t="shared" si="155"/>
        <v>Dec</v>
      </c>
      <c r="X733" t="str">
        <f t="shared" si="156"/>
        <v>Q4</v>
      </c>
      <c r="Y733" t="str">
        <f t="shared" si="157"/>
        <v>Sat</v>
      </c>
      <c r="Z733" s="16">
        <f t="shared" si="158"/>
        <v>3</v>
      </c>
      <c r="AA733" s="13">
        <f t="shared" si="159"/>
        <v>3.15</v>
      </c>
      <c r="AB733" s="14">
        <f t="shared" si="160"/>
        <v>0.48000000000000004</v>
      </c>
      <c r="AC733" t="str">
        <f t="shared" si="161"/>
        <v>No Discount</v>
      </c>
      <c r="AD733" t="str">
        <f t="shared" si="162"/>
        <v>Low (&lt;$50)</v>
      </c>
      <c r="AE733" t="str">
        <f t="shared" si="163"/>
        <v>Small (1-2 units)</v>
      </c>
      <c r="AF733" t="str">
        <f t="shared" si="164"/>
        <v>Profitable</v>
      </c>
      <c r="AG733" t="str">
        <f t="shared" si="165"/>
        <v>High Margin</v>
      </c>
      <c r="AH733" t="str">
        <f t="shared" si="166"/>
        <v>Repeat Customer</v>
      </c>
      <c r="AI733" t="str">
        <f t="shared" si="167"/>
        <v>Standard (3-5 days)</v>
      </c>
    </row>
    <row r="734" spans="1:35" ht="15" customHeight="1" x14ac:dyDescent="0.3">
      <c r="A734">
        <v>733</v>
      </c>
      <c r="B734" t="s">
        <v>2538</v>
      </c>
      <c r="C734" s="12">
        <v>42756</v>
      </c>
      <c r="D734" s="12">
        <v>42760</v>
      </c>
      <c r="E734" t="s">
        <v>233</v>
      </c>
      <c r="F734" t="s">
        <v>2539</v>
      </c>
      <c r="G734" t="s">
        <v>2540</v>
      </c>
      <c r="H734" t="s">
        <v>285</v>
      </c>
      <c r="I734" t="s">
        <v>210</v>
      </c>
      <c r="J734" t="s">
        <v>278</v>
      </c>
      <c r="K734" t="s">
        <v>279</v>
      </c>
      <c r="L734">
        <v>98115</v>
      </c>
      <c r="M734" t="s">
        <v>227</v>
      </c>
      <c r="N734" t="s">
        <v>1962</v>
      </c>
      <c r="O734" t="s">
        <v>229</v>
      </c>
      <c r="P734" t="s">
        <v>242</v>
      </c>
      <c r="Q734" t="s">
        <v>1963</v>
      </c>
      <c r="R734" s="13">
        <v>242.94</v>
      </c>
      <c r="S734">
        <v>3</v>
      </c>
      <c r="T734" s="14">
        <v>0</v>
      </c>
      <c r="U734" s="13">
        <v>9.7175999999999902</v>
      </c>
      <c r="V734">
        <f t="shared" si="154"/>
        <v>2017</v>
      </c>
      <c r="W734" t="str">
        <f t="shared" si="155"/>
        <v>Jan</v>
      </c>
      <c r="X734" t="str">
        <f t="shared" si="156"/>
        <v>Q1</v>
      </c>
      <c r="Y734" t="str">
        <f t="shared" si="157"/>
        <v>Sat</v>
      </c>
      <c r="Z734" s="16">
        <f t="shared" si="158"/>
        <v>4</v>
      </c>
      <c r="AA734" s="13">
        <f t="shared" si="159"/>
        <v>80.98</v>
      </c>
      <c r="AB734" s="14">
        <f t="shared" si="160"/>
        <v>3.9999999999999959E-2</v>
      </c>
      <c r="AC734" t="str">
        <f t="shared" si="161"/>
        <v>No Discount</v>
      </c>
      <c r="AD734" t="str">
        <f t="shared" si="162"/>
        <v>High ($200-$500)</v>
      </c>
      <c r="AE734" t="str">
        <f t="shared" si="163"/>
        <v>Medium (3-5 units)</v>
      </c>
      <c r="AF734" t="str">
        <f t="shared" si="164"/>
        <v>Profitable</v>
      </c>
      <c r="AG734" t="str">
        <f t="shared" si="165"/>
        <v>Low Margin</v>
      </c>
      <c r="AH734" t="str">
        <f t="shared" si="166"/>
        <v>Repeat Customer</v>
      </c>
      <c r="AI734" t="str">
        <f t="shared" si="167"/>
        <v>Standard (3-5 days)</v>
      </c>
    </row>
    <row r="735" spans="1:35" ht="15" customHeight="1" x14ac:dyDescent="0.3">
      <c r="A735">
        <v>734</v>
      </c>
      <c r="B735" t="s">
        <v>2538</v>
      </c>
      <c r="C735" s="12">
        <v>42756</v>
      </c>
      <c r="D735" s="12">
        <v>42760</v>
      </c>
      <c r="E735" t="s">
        <v>233</v>
      </c>
      <c r="F735" t="s">
        <v>2539</v>
      </c>
      <c r="G735" t="s">
        <v>2540</v>
      </c>
      <c r="H735" t="s">
        <v>285</v>
      </c>
      <c r="I735" t="s">
        <v>210</v>
      </c>
      <c r="J735" t="s">
        <v>278</v>
      </c>
      <c r="K735" t="s">
        <v>279</v>
      </c>
      <c r="L735">
        <v>98115</v>
      </c>
      <c r="M735" t="s">
        <v>227</v>
      </c>
      <c r="N735" t="s">
        <v>2541</v>
      </c>
      <c r="O735" t="s">
        <v>254</v>
      </c>
      <c r="P735" t="s">
        <v>344</v>
      </c>
      <c r="Q735" t="s">
        <v>2542</v>
      </c>
      <c r="R735" s="13">
        <v>179.97</v>
      </c>
      <c r="S735">
        <v>3</v>
      </c>
      <c r="T735" s="14">
        <v>0</v>
      </c>
      <c r="U735" s="13">
        <v>86.385599999999997</v>
      </c>
      <c r="V735">
        <f t="shared" si="154"/>
        <v>2017</v>
      </c>
      <c r="W735" t="str">
        <f t="shared" si="155"/>
        <v>Jan</v>
      </c>
      <c r="X735" t="str">
        <f t="shared" si="156"/>
        <v>Q1</v>
      </c>
      <c r="Y735" t="str">
        <f t="shared" si="157"/>
        <v>Sat</v>
      </c>
      <c r="Z735" s="16">
        <f t="shared" si="158"/>
        <v>4</v>
      </c>
      <c r="AA735" s="13">
        <f t="shared" si="159"/>
        <v>59.99</v>
      </c>
      <c r="AB735" s="14">
        <f t="shared" si="160"/>
        <v>0.48</v>
      </c>
      <c r="AC735" t="str">
        <f t="shared" si="161"/>
        <v>No Discount</v>
      </c>
      <c r="AD735" t="str">
        <f t="shared" si="162"/>
        <v>Medium ($50-$200)</v>
      </c>
      <c r="AE735" t="str">
        <f t="shared" si="163"/>
        <v>Medium (3-5 units)</v>
      </c>
      <c r="AF735" t="str">
        <f t="shared" si="164"/>
        <v>Profitable</v>
      </c>
      <c r="AG735" t="str">
        <f t="shared" si="165"/>
        <v>High Margin</v>
      </c>
      <c r="AH735" t="str">
        <f t="shared" si="166"/>
        <v>Repeat Customer</v>
      </c>
      <c r="AI735" t="str">
        <f t="shared" si="167"/>
        <v>Standard (3-5 days)</v>
      </c>
    </row>
    <row r="736" spans="1:35" ht="15" customHeight="1" x14ac:dyDescent="0.3">
      <c r="A736">
        <v>735</v>
      </c>
      <c r="B736" t="s">
        <v>2538</v>
      </c>
      <c r="C736" s="12">
        <v>42756</v>
      </c>
      <c r="D736" s="12">
        <v>42760</v>
      </c>
      <c r="E736" t="s">
        <v>233</v>
      </c>
      <c r="F736" t="s">
        <v>2539</v>
      </c>
      <c r="G736" t="s">
        <v>2540</v>
      </c>
      <c r="H736" t="s">
        <v>285</v>
      </c>
      <c r="I736" t="s">
        <v>210</v>
      </c>
      <c r="J736" t="s">
        <v>278</v>
      </c>
      <c r="K736" t="s">
        <v>279</v>
      </c>
      <c r="L736">
        <v>98115</v>
      </c>
      <c r="M736" t="s">
        <v>227</v>
      </c>
      <c r="N736" t="s">
        <v>1573</v>
      </c>
      <c r="O736" t="s">
        <v>229</v>
      </c>
      <c r="P736" t="s">
        <v>258</v>
      </c>
      <c r="Q736" t="s">
        <v>1574</v>
      </c>
      <c r="R736" s="13">
        <v>99.695999999999998</v>
      </c>
      <c r="S736">
        <v>6</v>
      </c>
      <c r="T736" s="14">
        <v>0.2</v>
      </c>
      <c r="U736" s="13">
        <v>33.647399999999998</v>
      </c>
      <c r="V736">
        <f t="shared" si="154"/>
        <v>2017</v>
      </c>
      <c r="W736" t="str">
        <f t="shared" si="155"/>
        <v>Jan</v>
      </c>
      <c r="X736" t="str">
        <f t="shared" si="156"/>
        <v>Q1</v>
      </c>
      <c r="Y736" t="str">
        <f t="shared" si="157"/>
        <v>Sat</v>
      </c>
      <c r="Z736" s="16">
        <f t="shared" si="158"/>
        <v>4</v>
      </c>
      <c r="AA736" s="13">
        <f t="shared" si="159"/>
        <v>16.616</v>
      </c>
      <c r="AB736" s="14">
        <f t="shared" si="160"/>
        <v>0.33749999999999997</v>
      </c>
      <c r="AC736" t="str">
        <f t="shared" si="161"/>
        <v>Low (1-20%)</v>
      </c>
      <c r="AD736" t="str">
        <f t="shared" si="162"/>
        <v>Medium ($50-$200)</v>
      </c>
      <c r="AE736" t="str">
        <f t="shared" si="163"/>
        <v>Large (6+ units)</v>
      </c>
      <c r="AF736" t="str">
        <f t="shared" si="164"/>
        <v>Profitable</v>
      </c>
      <c r="AG736" t="str">
        <f t="shared" si="165"/>
        <v>High Margin</v>
      </c>
      <c r="AH736" t="str">
        <f t="shared" si="166"/>
        <v>Repeat Customer</v>
      </c>
      <c r="AI736" t="str">
        <f t="shared" si="167"/>
        <v>Standard (3-5 days)</v>
      </c>
    </row>
    <row r="737" spans="1:35" ht="15" customHeight="1" x14ac:dyDescent="0.3">
      <c r="A737">
        <v>736</v>
      </c>
      <c r="B737" t="s">
        <v>2538</v>
      </c>
      <c r="C737" s="12">
        <v>42756</v>
      </c>
      <c r="D737" s="12">
        <v>42760</v>
      </c>
      <c r="E737" t="s">
        <v>233</v>
      </c>
      <c r="F737" t="s">
        <v>2539</v>
      </c>
      <c r="G737" t="s">
        <v>2540</v>
      </c>
      <c r="H737" t="s">
        <v>285</v>
      </c>
      <c r="I737" t="s">
        <v>210</v>
      </c>
      <c r="J737" t="s">
        <v>278</v>
      </c>
      <c r="K737" t="s">
        <v>279</v>
      </c>
      <c r="L737">
        <v>98115</v>
      </c>
      <c r="M737" t="s">
        <v>227</v>
      </c>
      <c r="N737" t="s">
        <v>415</v>
      </c>
      <c r="O737" t="s">
        <v>229</v>
      </c>
      <c r="P737" t="s">
        <v>258</v>
      </c>
      <c r="Q737" t="s">
        <v>416</v>
      </c>
      <c r="R737" s="13">
        <v>27.936</v>
      </c>
      <c r="S737">
        <v>4</v>
      </c>
      <c r="T737" s="14">
        <v>0.2</v>
      </c>
      <c r="U737" s="13">
        <v>9.4283999999999999</v>
      </c>
      <c r="V737">
        <f t="shared" si="154"/>
        <v>2017</v>
      </c>
      <c r="W737" t="str">
        <f t="shared" si="155"/>
        <v>Jan</v>
      </c>
      <c r="X737" t="str">
        <f t="shared" si="156"/>
        <v>Q1</v>
      </c>
      <c r="Y737" t="str">
        <f t="shared" si="157"/>
        <v>Sat</v>
      </c>
      <c r="Z737" s="16">
        <f t="shared" si="158"/>
        <v>4</v>
      </c>
      <c r="AA737" s="13">
        <f t="shared" si="159"/>
        <v>6.984</v>
      </c>
      <c r="AB737" s="14">
        <f t="shared" si="160"/>
        <v>0.33750000000000002</v>
      </c>
      <c r="AC737" t="str">
        <f t="shared" si="161"/>
        <v>Low (1-20%)</v>
      </c>
      <c r="AD737" t="str">
        <f t="shared" si="162"/>
        <v>Low (&lt;$50)</v>
      </c>
      <c r="AE737" t="str">
        <f t="shared" si="163"/>
        <v>Medium (3-5 units)</v>
      </c>
      <c r="AF737" t="str">
        <f t="shared" si="164"/>
        <v>Profitable</v>
      </c>
      <c r="AG737" t="str">
        <f t="shared" si="165"/>
        <v>High Margin</v>
      </c>
      <c r="AH737" t="str">
        <f t="shared" si="166"/>
        <v>Repeat Customer</v>
      </c>
      <c r="AI737" t="str">
        <f t="shared" si="167"/>
        <v>Standard (3-5 days)</v>
      </c>
    </row>
    <row r="738" spans="1:35" ht="15" customHeight="1" x14ac:dyDescent="0.3">
      <c r="A738">
        <v>737</v>
      </c>
      <c r="B738" t="s">
        <v>2538</v>
      </c>
      <c r="C738" s="12">
        <v>42756</v>
      </c>
      <c r="D738" s="12">
        <v>42760</v>
      </c>
      <c r="E738" t="s">
        <v>233</v>
      </c>
      <c r="F738" t="s">
        <v>2539</v>
      </c>
      <c r="G738" t="s">
        <v>2540</v>
      </c>
      <c r="H738" t="s">
        <v>285</v>
      </c>
      <c r="I738" t="s">
        <v>210</v>
      </c>
      <c r="J738" t="s">
        <v>278</v>
      </c>
      <c r="K738" t="s">
        <v>279</v>
      </c>
      <c r="L738">
        <v>98115</v>
      </c>
      <c r="M738" t="s">
        <v>227</v>
      </c>
      <c r="N738" t="s">
        <v>2543</v>
      </c>
      <c r="O738" t="s">
        <v>215</v>
      </c>
      <c r="P738" t="s">
        <v>216</v>
      </c>
      <c r="Q738" t="s">
        <v>2544</v>
      </c>
      <c r="R738" s="13">
        <v>84.98</v>
      </c>
      <c r="S738">
        <v>1</v>
      </c>
      <c r="T738" s="14">
        <v>0</v>
      </c>
      <c r="U738" s="13">
        <v>18.695599999999999</v>
      </c>
      <c r="V738">
        <f t="shared" si="154"/>
        <v>2017</v>
      </c>
      <c r="W738" t="str">
        <f t="shared" si="155"/>
        <v>Jan</v>
      </c>
      <c r="X738" t="str">
        <f t="shared" si="156"/>
        <v>Q1</v>
      </c>
      <c r="Y738" t="str">
        <f t="shared" si="157"/>
        <v>Sat</v>
      </c>
      <c r="Z738" s="16">
        <f t="shared" si="158"/>
        <v>4</v>
      </c>
      <c r="AA738" s="13">
        <f t="shared" si="159"/>
        <v>84.98</v>
      </c>
      <c r="AB738" s="14">
        <f t="shared" si="160"/>
        <v>0.21999999999999997</v>
      </c>
      <c r="AC738" t="str">
        <f t="shared" si="161"/>
        <v>No Discount</v>
      </c>
      <c r="AD738" t="str">
        <f t="shared" si="162"/>
        <v>Medium ($50-$200)</v>
      </c>
      <c r="AE738" t="str">
        <f t="shared" si="163"/>
        <v>Small (1-2 units)</v>
      </c>
      <c r="AF738" t="str">
        <f t="shared" si="164"/>
        <v>Profitable</v>
      </c>
      <c r="AG738" t="str">
        <f t="shared" si="165"/>
        <v>Healthy Margin</v>
      </c>
      <c r="AH738" t="str">
        <f t="shared" si="166"/>
        <v>Repeat Customer</v>
      </c>
      <c r="AI738" t="str">
        <f t="shared" si="167"/>
        <v>Standard (3-5 days)</v>
      </c>
    </row>
    <row r="739" spans="1:35" ht="15" customHeight="1" x14ac:dyDescent="0.3">
      <c r="A739">
        <v>738</v>
      </c>
      <c r="B739" t="s">
        <v>2538</v>
      </c>
      <c r="C739" s="12">
        <v>42756</v>
      </c>
      <c r="D739" s="12">
        <v>42760</v>
      </c>
      <c r="E739" t="s">
        <v>233</v>
      </c>
      <c r="F739" t="s">
        <v>2539</v>
      </c>
      <c r="G739" t="s">
        <v>2540</v>
      </c>
      <c r="H739" t="s">
        <v>285</v>
      </c>
      <c r="I739" t="s">
        <v>210</v>
      </c>
      <c r="J739" t="s">
        <v>278</v>
      </c>
      <c r="K739" t="s">
        <v>279</v>
      </c>
      <c r="L739">
        <v>98115</v>
      </c>
      <c r="M739" t="s">
        <v>227</v>
      </c>
      <c r="N739" t="s">
        <v>2545</v>
      </c>
      <c r="O739" t="s">
        <v>229</v>
      </c>
      <c r="P739" t="s">
        <v>258</v>
      </c>
      <c r="Q739" t="s">
        <v>2546</v>
      </c>
      <c r="R739" s="13">
        <v>18.72</v>
      </c>
      <c r="S739">
        <v>5</v>
      </c>
      <c r="T739" s="14">
        <v>0.2</v>
      </c>
      <c r="U739" s="13">
        <v>6.5519999999999996</v>
      </c>
      <c r="V739">
        <f t="shared" si="154"/>
        <v>2017</v>
      </c>
      <c r="W739" t="str">
        <f t="shared" si="155"/>
        <v>Jan</v>
      </c>
      <c r="X739" t="str">
        <f t="shared" si="156"/>
        <v>Q1</v>
      </c>
      <c r="Y739" t="str">
        <f t="shared" si="157"/>
        <v>Sat</v>
      </c>
      <c r="Z739" s="16">
        <f t="shared" si="158"/>
        <v>4</v>
      </c>
      <c r="AA739" s="13">
        <f t="shared" si="159"/>
        <v>3.7439999999999998</v>
      </c>
      <c r="AB739" s="14">
        <f t="shared" si="160"/>
        <v>0.35</v>
      </c>
      <c r="AC739" t="str">
        <f t="shared" si="161"/>
        <v>Low (1-20%)</v>
      </c>
      <c r="AD739" t="str">
        <f t="shared" si="162"/>
        <v>Low (&lt;$50)</v>
      </c>
      <c r="AE739" t="str">
        <f t="shared" si="163"/>
        <v>Medium (3-5 units)</v>
      </c>
      <c r="AF739" t="str">
        <f t="shared" si="164"/>
        <v>Profitable</v>
      </c>
      <c r="AG739" t="str">
        <f t="shared" si="165"/>
        <v>High Margin</v>
      </c>
      <c r="AH739" t="str">
        <f t="shared" si="166"/>
        <v>Repeat Customer</v>
      </c>
      <c r="AI739" t="str">
        <f t="shared" si="167"/>
        <v>Standard (3-5 days)</v>
      </c>
    </row>
    <row r="740" spans="1:35" ht="15" customHeight="1" x14ac:dyDescent="0.3">
      <c r="A740">
        <v>739</v>
      </c>
      <c r="B740" t="s">
        <v>2547</v>
      </c>
      <c r="C740" s="12">
        <v>41890</v>
      </c>
      <c r="D740" s="12">
        <v>41894</v>
      </c>
      <c r="E740" t="s">
        <v>233</v>
      </c>
      <c r="F740" t="s">
        <v>632</v>
      </c>
      <c r="G740" t="s">
        <v>633</v>
      </c>
      <c r="H740" t="s">
        <v>209</v>
      </c>
      <c r="I740" t="s">
        <v>210</v>
      </c>
      <c r="J740" t="s">
        <v>310</v>
      </c>
      <c r="K740" t="s">
        <v>226</v>
      </c>
      <c r="L740">
        <v>94110</v>
      </c>
      <c r="M740" t="s">
        <v>227</v>
      </c>
      <c r="N740" t="s">
        <v>2548</v>
      </c>
      <c r="O740" t="s">
        <v>254</v>
      </c>
      <c r="P740" t="s">
        <v>344</v>
      </c>
      <c r="Q740" t="s">
        <v>2549</v>
      </c>
      <c r="R740" s="13">
        <v>49.98</v>
      </c>
      <c r="S740">
        <v>2</v>
      </c>
      <c r="T740" s="14">
        <v>0</v>
      </c>
      <c r="U740" s="13">
        <v>8.4965999999999902</v>
      </c>
      <c r="V740">
        <f t="shared" si="154"/>
        <v>2014</v>
      </c>
      <c r="W740" t="str">
        <f t="shared" si="155"/>
        <v>Sep</v>
      </c>
      <c r="X740" t="str">
        <f t="shared" si="156"/>
        <v>Q3</v>
      </c>
      <c r="Y740" t="str">
        <f t="shared" si="157"/>
        <v>Mon</v>
      </c>
      <c r="Z740" s="16">
        <f t="shared" si="158"/>
        <v>4</v>
      </c>
      <c r="AA740" s="13">
        <f t="shared" si="159"/>
        <v>24.99</v>
      </c>
      <c r="AB740" s="14">
        <f t="shared" si="160"/>
        <v>0.16999999999999982</v>
      </c>
      <c r="AC740" t="str">
        <f t="shared" si="161"/>
        <v>No Discount</v>
      </c>
      <c r="AD740" t="str">
        <f t="shared" si="162"/>
        <v>Low (&lt;$50)</v>
      </c>
      <c r="AE740" t="str">
        <f t="shared" si="163"/>
        <v>Small (1-2 units)</v>
      </c>
      <c r="AF740" t="str">
        <f t="shared" si="164"/>
        <v>Profitable</v>
      </c>
      <c r="AG740" t="str">
        <f t="shared" si="165"/>
        <v>Healthy Margin</v>
      </c>
      <c r="AH740" t="str">
        <f t="shared" si="166"/>
        <v>Repeat Customer</v>
      </c>
      <c r="AI740" t="str">
        <f t="shared" si="167"/>
        <v>Standard (3-5 days)</v>
      </c>
    </row>
    <row r="741" spans="1:35" ht="15" customHeight="1" x14ac:dyDescent="0.3">
      <c r="A741">
        <v>740</v>
      </c>
      <c r="B741" t="s">
        <v>2550</v>
      </c>
      <c r="C741" s="12">
        <v>41643</v>
      </c>
      <c r="D741" s="12">
        <v>41647</v>
      </c>
      <c r="E741" t="s">
        <v>233</v>
      </c>
      <c r="F741" t="s">
        <v>2551</v>
      </c>
      <c r="G741" t="s">
        <v>2552</v>
      </c>
      <c r="H741" t="s">
        <v>285</v>
      </c>
      <c r="I741" t="s">
        <v>210</v>
      </c>
      <c r="J741" t="s">
        <v>393</v>
      </c>
      <c r="K741" t="s">
        <v>394</v>
      </c>
      <c r="L741">
        <v>60540</v>
      </c>
      <c r="M741" t="s">
        <v>288</v>
      </c>
      <c r="N741" t="s">
        <v>2553</v>
      </c>
      <c r="O741" t="s">
        <v>229</v>
      </c>
      <c r="P741" t="s">
        <v>230</v>
      </c>
      <c r="Q741" t="s">
        <v>2554</v>
      </c>
      <c r="R741" s="13">
        <v>11.784000000000001</v>
      </c>
      <c r="S741">
        <v>3</v>
      </c>
      <c r="T741" s="14">
        <v>0.2</v>
      </c>
      <c r="U741" s="13">
        <v>4.2717000000000001</v>
      </c>
      <c r="V741">
        <f t="shared" si="154"/>
        <v>2014</v>
      </c>
      <c r="W741" t="str">
        <f t="shared" si="155"/>
        <v>Jan</v>
      </c>
      <c r="X741" t="str">
        <f t="shared" si="156"/>
        <v>Q1</v>
      </c>
      <c r="Y741" t="str">
        <f t="shared" si="157"/>
        <v>Sat</v>
      </c>
      <c r="Z741" s="16">
        <f t="shared" si="158"/>
        <v>4</v>
      </c>
      <c r="AA741" s="13">
        <f t="shared" si="159"/>
        <v>3.9280000000000004</v>
      </c>
      <c r="AB741" s="14">
        <f t="shared" si="160"/>
        <v>0.36249999999999999</v>
      </c>
      <c r="AC741" t="str">
        <f t="shared" si="161"/>
        <v>Low (1-20%)</v>
      </c>
      <c r="AD741" t="str">
        <f t="shared" si="162"/>
        <v>Low (&lt;$50)</v>
      </c>
      <c r="AE741" t="str">
        <f t="shared" si="163"/>
        <v>Medium (3-5 units)</v>
      </c>
      <c r="AF741" t="str">
        <f t="shared" si="164"/>
        <v>Profitable</v>
      </c>
      <c r="AG741" t="str">
        <f t="shared" si="165"/>
        <v>High Margin</v>
      </c>
      <c r="AH741" t="str">
        <f t="shared" si="166"/>
        <v>Repeat Customer</v>
      </c>
      <c r="AI741" t="str">
        <f t="shared" si="167"/>
        <v>Standard (3-5 days)</v>
      </c>
    </row>
    <row r="742" spans="1:35" ht="15" customHeight="1" x14ac:dyDescent="0.3">
      <c r="A742">
        <v>741</v>
      </c>
      <c r="B742" t="s">
        <v>2550</v>
      </c>
      <c r="C742" s="12">
        <v>41643</v>
      </c>
      <c r="D742" s="12">
        <v>41647</v>
      </c>
      <c r="E742" t="s">
        <v>233</v>
      </c>
      <c r="F742" t="s">
        <v>2551</v>
      </c>
      <c r="G742" t="s">
        <v>2552</v>
      </c>
      <c r="H742" t="s">
        <v>285</v>
      </c>
      <c r="I742" t="s">
        <v>210</v>
      </c>
      <c r="J742" t="s">
        <v>393</v>
      </c>
      <c r="K742" t="s">
        <v>394</v>
      </c>
      <c r="L742">
        <v>60540</v>
      </c>
      <c r="M742" t="s">
        <v>288</v>
      </c>
      <c r="N742" t="s">
        <v>1817</v>
      </c>
      <c r="O742" t="s">
        <v>229</v>
      </c>
      <c r="P742" t="s">
        <v>242</v>
      </c>
      <c r="Q742" t="s">
        <v>1818</v>
      </c>
      <c r="R742" s="13">
        <v>272.73599999999999</v>
      </c>
      <c r="S742">
        <v>3</v>
      </c>
      <c r="T742" s="14">
        <v>0.2</v>
      </c>
      <c r="U742" s="13">
        <v>-64.774799999999999</v>
      </c>
      <c r="V742">
        <f t="shared" si="154"/>
        <v>2014</v>
      </c>
      <c r="W742" t="str">
        <f t="shared" si="155"/>
        <v>Jan</v>
      </c>
      <c r="X742" t="str">
        <f t="shared" si="156"/>
        <v>Q1</v>
      </c>
      <c r="Y742" t="str">
        <f t="shared" si="157"/>
        <v>Sat</v>
      </c>
      <c r="Z742" s="16">
        <f t="shared" si="158"/>
        <v>4</v>
      </c>
      <c r="AA742" s="13">
        <f t="shared" si="159"/>
        <v>90.911999999999992</v>
      </c>
      <c r="AB742" s="14">
        <f t="shared" si="160"/>
        <v>-0.23750000000000002</v>
      </c>
      <c r="AC742" t="str">
        <f t="shared" si="161"/>
        <v>Low (1-20%)</v>
      </c>
      <c r="AD742" t="str">
        <f t="shared" si="162"/>
        <v>High ($200-$500)</v>
      </c>
      <c r="AE742" t="str">
        <f t="shared" si="163"/>
        <v>Medium (3-5 units)</v>
      </c>
      <c r="AF742" t="str">
        <f t="shared" si="164"/>
        <v>Loss-Making</v>
      </c>
      <c r="AG742" t="str">
        <f t="shared" si="165"/>
        <v>Underperforming</v>
      </c>
      <c r="AH742" t="str">
        <f t="shared" si="166"/>
        <v>Repeat Customer</v>
      </c>
      <c r="AI742" t="str">
        <f t="shared" si="167"/>
        <v>Standard (3-5 days)</v>
      </c>
    </row>
    <row r="743" spans="1:35" ht="15" customHeight="1" x14ac:dyDescent="0.3">
      <c r="A743">
        <v>742</v>
      </c>
      <c r="B743" t="s">
        <v>2550</v>
      </c>
      <c r="C743" s="12">
        <v>41643</v>
      </c>
      <c r="D743" s="12">
        <v>41647</v>
      </c>
      <c r="E743" t="s">
        <v>233</v>
      </c>
      <c r="F743" t="s">
        <v>2551</v>
      </c>
      <c r="G743" t="s">
        <v>2552</v>
      </c>
      <c r="H743" t="s">
        <v>285</v>
      </c>
      <c r="I743" t="s">
        <v>210</v>
      </c>
      <c r="J743" t="s">
        <v>393</v>
      </c>
      <c r="K743" t="s">
        <v>394</v>
      </c>
      <c r="L743">
        <v>60540</v>
      </c>
      <c r="M743" t="s">
        <v>288</v>
      </c>
      <c r="N743" t="s">
        <v>2555</v>
      </c>
      <c r="O743" t="s">
        <v>229</v>
      </c>
      <c r="P743" t="s">
        <v>258</v>
      </c>
      <c r="Q743" t="s">
        <v>2556</v>
      </c>
      <c r="R743" s="13">
        <v>3.54</v>
      </c>
      <c r="S743">
        <v>2</v>
      </c>
      <c r="T743" s="14">
        <v>0.8</v>
      </c>
      <c r="U743" s="13">
        <v>-5.4870000000000001</v>
      </c>
      <c r="V743">
        <f t="shared" si="154"/>
        <v>2014</v>
      </c>
      <c r="W743" t="str">
        <f t="shared" si="155"/>
        <v>Jan</v>
      </c>
      <c r="X743" t="str">
        <f t="shared" si="156"/>
        <v>Q1</v>
      </c>
      <c r="Y743" t="str">
        <f t="shared" si="157"/>
        <v>Sat</v>
      </c>
      <c r="Z743" s="16">
        <f t="shared" si="158"/>
        <v>4</v>
      </c>
      <c r="AA743" s="13">
        <f t="shared" si="159"/>
        <v>1.77</v>
      </c>
      <c r="AB743" s="14">
        <f t="shared" si="160"/>
        <v>-1.55</v>
      </c>
      <c r="AC743" t="str">
        <f t="shared" si="161"/>
        <v>High (40%+)</v>
      </c>
      <c r="AD743" t="str">
        <f t="shared" si="162"/>
        <v>Low (&lt;$50)</v>
      </c>
      <c r="AE743" t="str">
        <f t="shared" si="163"/>
        <v>Small (1-2 units)</v>
      </c>
      <c r="AF743" t="str">
        <f t="shared" si="164"/>
        <v>Loss-Making</v>
      </c>
      <c r="AG743" t="str">
        <f t="shared" si="165"/>
        <v>Underperforming</v>
      </c>
      <c r="AH743" t="str">
        <f t="shared" si="166"/>
        <v>Repeat Customer</v>
      </c>
      <c r="AI743" t="str">
        <f t="shared" si="167"/>
        <v>Standard (3-5 days)</v>
      </c>
    </row>
    <row r="744" spans="1:35" ht="15" customHeight="1" x14ac:dyDescent="0.3">
      <c r="A744">
        <v>743</v>
      </c>
      <c r="B744" t="s">
        <v>2557</v>
      </c>
      <c r="C744" s="12">
        <v>42609</v>
      </c>
      <c r="D744" s="12">
        <v>42614</v>
      </c>
      <c r="E744" t="s">
        <v>233</v>
      </c>
      <c r="F744" t="s">
        <v>2558</v>
      </c>
      <c r="G744" t="s">
        <v>2559</v>
      </c>
      <c r="H744" t="s">
        <v>209</v>
      </c>
      <c r="I744" t="s">
        <v>210</v>
      </c>
      <c r="J744" t="s">
        <v>1000</v>
      </c>
      <c r="K744" t="s">
        <v>287</v>
      </c>
      <c r="L744">
        <v>75220</v>
      </c>
      <c r="M744" t="s">
        <v>288</v>
      </c>
      <c r="N744" t="s">
        <v>2147</v>
      </c>
      <c r="O744" t="s">
        <v>229</v>
      </c>
      <c r="P744" t="s">
        <v>762</v>
      </c>
      <c r="Q744" t="s">
        <v>2148</v>
      </c>
      <c r="R744" s="13">
        <v>51.52</v>
      </c>
      <c r="S744">
        <v>5</v>
      </c>
      <c r="T744" s="14">
        <v>0.2</v>
      </c>
      <c r="U744" s="13">
        <v>-10.948</v>
      </c>
      <c r="V744">
        <f t="shared" si="154"/>
        <v>2016</v>
      </c>
      <c r="W744" t="str">
        <f t="shared" si="155"/>
        <v>Aug</v>
      </c>
      <c r="X744" t="str">
        <f t="shared" si="156"/>
        <v>Q3</v>
      </c>
      <c r="Y744" t="str">
        <f t="shared" si="157"/>
        <v>Sat</v>
      </c>
      <c r="Z744" s="16">
        <f t="shared" si="158"/>
        <v>5</v>
      </c>
      <c r="AA744" s="13">
        <f t="shared" si="159"/>
        <v>10.304</v>
      </c>
      <c r="AB744" s="14">
        <f t="shared" si="160"/>
        <v>-0.21249999999999999</v>
      </c>
      <c r="AC744" t="str">
        <f t="shared" si="161"/>
        <v>Low (1-20%)</v>
      </c>
      <c r="AD744" t="str">
        <f t="shared" si="162"/>
        <v>Medium ($50-$200)</v>
      </c>
      <c r="AE744" t="str">
        <f t="shared" si="163"/>
        <v>Medium (3-5 units)</v>
      </c>
      <c r="AF744" t="str">
        <f t="shared" si="164"/>
        <v>Loss-Making</v>
      </c>
      <c r="AG744" t="str">
        <f t="shared" si="165"/>
        <v>Underperforming</v>
      </c>
      <c r="AH744" t="str">
        <f t="shared" si="166"/>
        <v>Repeat Customer</v>
      </c>
      <c r="AI744" t="str">
        <f t="shared" si="167"/>
        <v>Standard (3-5 days)</v>
      </c>
    </row>
    <row r="745" spans="1:35" ht="15" customHeight="1" x14ac:dyDescent="0.3">
      <c r="A745">
        <v>744</v>
      </c>
      <c r="B745" t="s">
        <v>2557</v>
      </c>
      <c r="C745" s="12">
        <v>42609</v>
      </c>
      <c r="D745" s="12">
        <v>42614</v>
      </c>
      <c r="E745" t="s">
        <v>233</v>
      </c>
      <c r="F745" t="s">
        <v>2558</v>
      </c>
      <c r="G745" t="s">
        <v>2559</v>
      </c>
      <c r="H745" t="s">
        <v>209</v>
      </c>
      <c r="I745" t="s">
        <v>210</v>
      </c>
      <c r="J745" t="s">
        <v>1000</v>
      </c>
      <c r="K745" t="s">
        <v>287</v>
      </c>
      <c r="L745">
        <v>75220</v>
      </c>
      <c r="M745" t="s">
        <v>288</v>
      </c>
      <c r="N745" t="s">
        <v>1214</v>
      </c>
      <c r="O745" t="s">
        <v>229</v>
      </c>
      <c r="P745" t="s">
        <v>273</v>
      </c>
      <c r="Q745" t="s">
        <v>1215</v>
      </c>
      <c r="R745" s="13">
        <v>3.528</v>
      </c>
      <c r="S745">
        <v>1</v>
      </c>
      <c r="T745" s="14">
        <v>0.2</v>
      </c>
      <c r="U745" s="13">
        <v>1.1466000000000001</v>
      </c>
      <c r="V745">
        <f t="shared" si="154"/>
        <v>2016</v>
      </c>
      <c r="W745" t="str">
        <f t="shared" si="155"/>
        <v>Aug</v>
      </c>
      <c r="X745" t="str">
        <f t="shared" si="156"/>
        <v>Q3</v>
      </c>
      <c r="Y745" t="str">
        <f t="shared" si="157"/>
        <v>Sat</v>
      </c>
      <c r="Z745" s="16">
        <f t="shared" si="158"/>
        <v>5</v>
      </c>
      <c r="AA745" s="13">
        <f t="shared" si="159"/>
        <v>3.528</v>
      </c>
      <c r="AB745" s="14">
        <f t="shared" si="160"/>
        <v>0.32500000000000001</v>
      </c>
      <c r="AC745" t="str">
        <f t="shared" si="161"/>
        <v>Low (1-20%)</v>
      </c>
      <c r="AD745" t="str">
        <f t="shared" si="162"/>
        <v>Low (&lt;$50)</v>
      </c>
      <c r="AE745" t="str">
        <f t="shared" si="163"/>
        <v>Small (1-2 units)</v>
      </c>
      <c r="AF745" t="str">
        <f t="shared" si="164"/>
        <v>Profitable</v>
      </c>
      <c r="AG745" t="str">
        <f t="shared" si="165"/>
        <v>High Margin</v>
      </c>
      <c r="AH745" t="str">
        <f t="shared" si="166"/>
        <v>Repeat Customer</v>
      </c>
      <c r="AI745" t="str">
        <f t="shared" si="167"/>
        <v>Standard (3-5 days)</v>
      </c>
    </row>
    <row r="746" spans="1:35" ht="15" customHeight="1" x14ac:dyDescent="0.3">
      <c r="A746">
        <v>745</v>
      </c>
      <c r="B746" t="s">
        <v>2557</v>
      </c>
      <c r="C746" s="12">
        <v>42609</v>
      </c>
      <c r="D746" s="12">
        <v>42614</v>
      </c>
      <c r="E746" t="s">
        <v>233</v>
      </c>
      <c r="F746" t="s">
        <v>2558</v>
      </c>
      <c r="G746" t="s">
        <v>2559</v>
      </c>
      <c r="H746" t="s">
        <v>209</v>
      </c>
      <c r="I746" t="s">
        <v>210</v>
      </c>
      <c r="J746" t="s">
        <v>1000</v>
      </c>
      <c r="K746" t="s">
        <v>287</v>
      </c>
      <c r="L746">
        <v>75220</v>
      </c>
      <c r="M746" t="s">
        <v>288</v>
      </c>
      <c r="N746" t="s">
        <v>2560</v>
      </c>
      <c r="O746" t="s">
        <v>229</v>
      </c>
      <c r="P746" t="s">
        <v>273</v>
      </c>
      <c r="Q746" t="s">
        <v>2561</v>
      </c>
      <c r="R746" s="13">
        <v>4.6239999999999997</v>
      </c>
      <c r="S746">
        <v>1</v>
      </c>
      <c r="T746" s="14">
        <v>0.2</v>
      </c>
      <c r="U746" s="13">
        <v>1.6761999999999999</v>
      </c>
      <c r="V746">
        <f t="shared" si="154"/>
        <v>2016</v>
      </c>
      <c r="W746" t="str">
        <f t="shared" si="155"/>
        <v>Aug</v>
      </c>
      <c r="X746" t="str">
        <f t="shared" si="156"/>
        <v>Q3</v>
      </c>
      <c r="Y746" t="str">
        <f t="shared" si="157"/>
        <v>Sat</v>
      </c>
      <c r="Z746" s="16">
        <f t="shared" si="158"/>
        <v>5</v>
      </c>
      <c r="AA746" s="13">
        <f t="shared" si="159"/>
        <v>4.6239999999999997</v>
      </c>
      <c r="AB746" s="14">
        <f t="shared" si="160"/>
        <v>0.36249999999999999</v>
      </c>
      <c r="AC746" t="str">
        <f t="shared" si="161"/>
        <v>Low (1-20%)</v>
      </c>
      <c r="AD746" t="str">
        <f t="shared" si="162"/>
        <v>Low (&lt;$50)</v>
      </c>
      <c r="AE746" t="str">
        <f t="shared" si="163"/>
        <v>Small (1-2 units)</v>
      </c>
      <c r="AF746" t="str">
        <f t="shared" si="164"/>
        <v>Profitable</v>
      </c>
      <c r="AG746" t="str">
        <f t="shared" si="165"/>
        <v>High Margin</v>
      </c>
      <c r="AH746" t="str">
        <f t="shared" si="166"/>
        <v>Repeat Customer</v>
      </c>
      <c r="AI746" t="str">
        <f t="shared" si="167"/>
        <v>Standard (3-5 days)</v>
      </c>
    </row>
    <row r="747" spans="1:35" ht="15" customHeight="1" x14ac:dyDescent="0.3">
      <c r="A747">
        <v>746</v>
      </c>
      <c r="B747" t="s">
        <v>2557</v>
      </c>
      <c r="C747" s="12">
        <v>42609</v>
      </c>
      <c r="D747" s="12">
        <v>42614</v>
      </c>
      <c r="E747" t="s">
        <v>233</v>
      </c>
      <c r="F747" t="s">
        <v>2558</v>
      </c>
      <c r="G747" t="s">
        <v>2559</v>
      </c>
      <c r="H747" t="s">
        <v>209</v>
      </c>
      <c r="I747" t="s">
        <v>210</v>
      </c>
      <c r="J747" t="s">
        <v>1000</v>
      </c>
      <c r="K747" t="s">
        <v>287</v>
      </c>
      <c r="L747">
        <v>75220</v>
      </c>
      <c r="M747" t="s">
        <v>288</v>
      </c>
      <c r="N747" t="s">
        <v>2562</v>
      </c>
      <c r="O747" t="s">
        <v>229</v>
      </c>
      <c r="P747" t="s">
        <v>762</v>
      </c>
      <c r="Q747" t="s">
        <v>2563</v>
      </c>
      <c r="R747" s="13">
        <v>55.167999999999999</v>
      </c>
      <c r="S747">
        <v>4</v>
      </c>
      <c r="T747" s="14">
        <v>0.2</v>
      </c>
      <c r="U747" s="13">
        <v>6.2063999999999897</v>
      </c>
      <c r="V747">
        <f t="shared" si="154"/>
        <v>2016</v>
      </c>
      <c r="W747" t="str">
        <f t="shared" si="155"/>
        <v>Aug</v>
      </c>
      <c r="X747" t="str">
        <f t="shared" si="156"/>
        <v>Q3</v>
      </c>
      <c r="Y747" t="str">
        <f t="shared" si="157"/>
        <v>Sat</v>
      </c>
      <c r="Z747" s="16">
        <f t="shared" si="158"/>
        <v>5</v>
      </c>
      <c r="AA747" s="13">
        <f t="shared" si="159"/>
        <v>13.792</v>
      </c>
      <c r="AB747" s="14">
        <f t="shared" si="160"/>
        <v>0.11249999999999981</v>
      </c>
      <c r="AC747" t="str">
        <f t="shared" si="161"/>
        <v>Low (1-20%)</v>
      </c>
      <c r="AD747" t="str">
        <f t="shared" si="162"/>
        <v>Medium ($50-$200)</v>
      </c>
      <c r="AE747" t="str">
        <f t="shared" si="163"/>
        <v>Medium (3-5 units)</v>
      </c>
      <c r="AF747" t="str">
        <f t="shared" si="164"/>
        <v>Profitable</v>
      </c>
      <c r="AG747" t="str">
        <f t="shared" si="165"/>
        <v>Healthy Margin</v>
      </c>
      <c r="AH747" t="str">
        <f t="shared" si="166"/>
        <v>Repeat Customer</v>
      </c>
      <c r="AI747" t="str">
        <f t="shared" si="167"/>
        <v>Standard (3-5 days)</v>
      </c>
    </row>
    <row r="748" spans="1:35" ht="15" customHeight="1" x14ac:dyDescent="0.3">
      <c r="A748">
        <v>747</v>
      </c>
      <c r="B748" t="s">
        <v>2564</v>
      </c>
      <c r="C748" s="12">
        <v>41786</v>
      </c>
      <c r="D748" s="12">
        <v>41786</v>
      </c>
      <c r="E748" t="s">
        <v>1476</v>
      </c>
      <c r="F748" t="s">
        <v>1809</v>
      </c>
      <c r="G748" t="s">
        <v>1810</v>
      </c>
      <c r="H748" t="s">
        <v>224</v>
      </c>
      <c r="I748" t="s">
        <v>210</v>
      </c>
      <c r="J748" t="s">
        <v>1133</v>
      </c>
      <c r="K748" t="s">
        <v>226</v>
      </c>
      <c r="L748">
        <v>92105</v>
      </c>
      <c r="M748" t="s">
        <v>227</v>
      </c>
      <c r="N748" t="s">
        <v>1111</v>
      </c>
      <c r="O748" t="s">
        <v>215</v>
      </c>
      <c r="P748" t="s">
        <v>239</v>
      </c>
      <c r="Q748" t="s">
        <v>1112</v>
      </c>
      <c r="R748" s="13">
        <v>567.12</v>
      </c>
      <c r="S748">
        <v>10</v>
      </c>
      <c r="T748" s="14">
        <v>0.2</v>
      </c>
      <c r="U748" s="13">
        <v>-28.356000000000002</v>
      </c>
      <c r="V748">
        <f t="shared" si="154"/>
        <v>2014</v>
      </c>
      <c r="W748" t="str">
        <f t="shared" si="155"/>
        <v>May</v>
      </c>
      <c r="X748" t="str">
        <f t="shared" si="156"/>
        <v>Q2</v>
      </c>
      <c r="Y748" t="str">
        <f t="shared" si="157"/>
        <v>Tue</v>
      </c>
      <c r="Z748" s="16">
        <f t="shared" si="158"/>
        <v>0</v>
      </c>
      <c r="AA748" s="13">
        <f t="shared" si="159"/>
        <v>56.712000000000003</v>
      </c>
      <c r="AB748" s="14">
        <f t="shared" si="160"/>
        <v>-0.05</v>
      </c>
      <c r="AC748" t="str">
        <f t="shared" si="161"/>
        <v>Low (1-20%)</v>
      </c>
      <c r="AD748" t="str">
        <f t="shared" si="162"/>
        <v>Premium ($500+)</v>
      </c>
      <c r="AE748" t="str">
        <f t="shared" si="163"/>
        <v>Large (6+ units)</v>
      </c>
      <c r="AF748" t="str">
        <f t="shared" si="164"/>
        <v>Loss-Making</v>
      </c>
      <c r="AG748" t="str">
        <f t="shared" si="165"/>
        <v>Underperforming</v>
      </c>
      <c r="AH748" t="str">
        <f t="shared" si="166"/>
        <v>Repeat Customer</v>
      </c>
      <c r="AI748" t="str">
        <f t="shared" si="167"/>
        <v>Fast (&lt;=2 days)</v>
      </c>
    </row>
    <row r="749" spans="1:35" ht="15" customHeight="1" x14ac:dyDescent="0.3">
      <c r="A749">
        <v>748</v>
      </c>
      <c r="B749" t="s">
        <v>2564</v>
      </c>
      <c r="C749" s="12">
        <v>41786</v>
      </c>
      <c r="D749" s="12">
        <v>41786</v>
      </c>
      <c r="E749" t="s">
        <v>1476</v>
      </c>
      <c r="F749" t="s">
        <v>1809</v>
      </c>
      <c r="G749" t="s">
        <v>1810</v>
      </c>
      <c r="H749" t="s">
        <v>224</v>
      </c>
      <c r="I749" t="s">
        <v>210</v>
      </c>
      <c r="J749" t="s">
        <v>1133</v>
      </c>
      <c r="K749" t="s">
        <v>226</v>
      </c>
      <c r="L749">
        <v>92105</v>
      </c>
      <c r="M749" t="s">
        <v>227</v>
      </c>
      <c r="N749" t="s">
        <v>1877</v>
      </c>
      <c r="O749" t="s">
        <v>229</v>
      </c>
      <c r="P749" t="s">
        <v>242</v>
      </c>
      <c r="Q749" t="s">
        <v>1878</v>
      </c>
      <c r="R749" s="13">
        <v>359.32</v>
      </c>
      <c r="S749">
        <v>4</v>
      </c>
      <c r="T749" s="14">
        <v>0</v>
      </c>
      <c r="U749" s="13">
        <v>7.1863999999999901</v>
      </c>
      <c r="V749">
        <f t="shared" si="154"/>
        <v>2014</v>
      </c>
      <c r="W749" t="str">
        <f t="shared" si="155"/>
        <v>May</v>
      </c>
      <c r="X749" t="str">
        <f t="shared" si="156"/>
        <v>Q2</v>
      </c>
      <c r="Y749" t="str">
        <f t="shared" si="157"/>
        <v>Tue</v>
      </c>
      <c r="Z749" s="16">
        <f t="shared" si="158"/>
        <v>0</v>
      </c>
      <c r="AA749" s="13">
        <f t="shared" si="159"/>
        <v>89.83</v>
      </c>
      <c r="AB749" s="14">
        <f t="shared" si="160"/>
        <v>1.9999999999999973E-2</v>
      </c>
      <c r="AC749" t="str">
        <f t="shared" si="161"/>
        <v>No Discount</v>
      </c>
      <c r="AD749" t="str">
        <f t="shared" si="162"/>
        <v>High ($200-$500)</v>
      </c>
      <c r="AE749" t="str">
        <f t="shared" si="163"/>
        <v>Medium (3-5 units)</v>
      </c>
      <c r="AF749" t="str">
        <f t="shared" si="164"/>
        <v>Profitable</v>
      </c>
      <c r="AG749" t="str">
        <f t="shared" si="165"/>
        <v>Low Margin</v>
      </c>
      <c r="AH749" t="str">
        <f t="shared" si="166"/>
        <v>Repeat Customer</v>
      </c>
      <c r="AI749" t="str">
        <f t="shared" si="167"/>
        <v>Fast (&lt;=2 days)</v>
      </c>
    </row>
    <row r="750" spans="1:35" ht="15" customHeight="1" x14ac:dyDescent="0.3">
      <c r="A750">
        <v>749</v>
      </c>
      <c r="B750" t="s">
        <v>2565</v>
      </c>
      <c r="C750" s="12">
        <v>42449</v>
      </c>
      <c r="D750" s="12">
        <v>42451</v>
      </c>
      <c r="E750" t="s">
        <v>206</v>
      </c>
      <c r="F750" t="s">
        <v>2566</v>
      </c>
      <c r="G750" t="s">
        <v>2567</v>
      </c>
      <c r="H750" t="s">
        <v>209</v>
      </c>
      <c r="I750" t="s">
        <v>210</v>
      </c>
      <c r="J750" t="s">
        <v>2568</v>
      </c>
      <c r="K750" t="s">
        <v>394</v>
      </c>
      <c r="L750">
        <v>60201</v>
      </c>
      <c r="M750" t="s">
        <v>288</v>
      </c>
      <c r="N750" t="s">
        <v>2569</v>
      </c>
      <c r="O750" t="s">
        <v>254</v>
      </c>
      <c r="P750" t="s">
        <v>255</v>
      </c>
      <c r="Q750" t="s">
        <v>2570</v>
      </c>
      <c r="R750" s="13">
        <v>11.992000000000001</v>
      </c>
      <c r="S750">
        <v>1</v>
      </c>
      <c r="T750" s="14">
        <v>0.2</v>
      </c>
      <c r="U750" s="13">
        <v>0.89939999999999898</v>
      </c>
      <c r="V750">
        <f t="shared" si="154"/>
        <v>2016</v>
      </c>
      <c r="W750" t="str">
        <f t="shared" si="155"/>
        <v>Mar</v>
      </c>
      <c r="X750" t="str">
        <f t="shared" si="156"/>
        <v>Q1</v>
      </c>
      <c r="Y750" t="str">
        <f t="shared" si="157"/>
        <v>Sun</v>
      </c>
      <c r="Z750" s="16">
        <f t="shared" si="158"/>
        <v>2</v>
      </c>
      <c r="AA750" s="13">
        <f t="shared" si="159"/>
        <v>11.992000000000001</v>
      </c>
      <c r="AB750" s="14">
        <f t="shared" si="160"/>
        <v>7.4999999999999914E-2</v>
      </c>
      <c r="AC750" t="str">
        <f t="shared" si="161"/>
        <v>Low (1-20%)</v>
      </c>
      <c r="AD750" t="str">
        <f t="shared" si="162"/>
        <v>Low (&lt;$50)</v>
      </c>
      <c r="AE750" t="str">
        <f t="shared" si="163"/>
        <v>Small (1-2 units)</v>
      </c>
      <c r="AF750" t="str">
        <f t="shared" si="164"/>
        <v>Profitable</v>
      </c>
      <c r="AG750" t="str">
        <f t="shared" si="165"/>
        <v>Low Margin</v>
      </c>
      <c r="AH750" t="str">
        <f t="shared" si="166"/>
        <v>Single Purchase</v>
      </c>
      <c r="AI750" t="str">
        <f t="shared" si="167"/>
        <v>Fast (&lt;=2 days)</v>
      </c>
    </row>
    <row r="751" spans="1:35" ht="15" customHeight="1" x14ac:dyDescent="0.3">
      <c r="A751">
        <v>750</v>
      </c>
      <c r="B751" t="s">
        <v>2571</v>
      </c>
      <c r="C751" s="12">
        <v>43010</v>
      </c>
      <c r="D751" s="12">
        <v>43014</v>
      </c>
      <c r="E751" t="s">
        <v>233</v>
      </c>
      <c r="F751" t="s">
        <v>2572</v>
      </c>
      <c r="G751" t="s">
        <v>2573</v>
      </c>
      <c r="H751" t="s">
        <v>209</v>
      </c>
      <c r="I751" t="s">
        <v>210</v>
      </c>
      <c r="J751" t="s">
        <v>2574</v>
      </c>
      <c r="K751" t="s">
        <v>421</v>
      </c>
      <c r="L751">
        <v>48183</v>
      </c>
      <c r="M751" t="s">
        <v>288</v>
      </c>
      <c r="N751" t="s">
        <v>2575</v>
      </c>
      <c r="O751" t="s">
        <v>229</v>
      </c>
      <c r="P751" t="s">
        <v>258</v>
      </c>
      <c r="Q751" t="s">
        <v>2576</v>
      </c>
      <c r="R751" s="13">
        <v>58.05</v>
      </c>
      <c r="S751">
        <v>3</v>
      </c>
      <c r="T751" s="14">
        <v>0</v>
      </c>
      <c r="U751" s="13">
        <v>26.702999999999999</v>
      </c>
      <c r="V751">
        <f t="shared" si="154"/>
        <v>2017</v>
      </c>
      <c r="W751" t="str">
        <f t="shared" si="155"/>
        <v>Oct</v>
      </c>
      <c r="X751" t="str">
        <f t="shared" si="156"/>
        <v>Q4</v>
      </c>
      <c r="Y751" t="str">
        <f t="shared" si="157"/>
        <v>Mon</v>
      </c>
      <c r="Z751" s="16">
        <f t="shared" si="158"/>
        <v>4</v>
      </c>
      <c r="AA751" s="13">
        <f t="shared" si="159"/>
        <v>19.349999999999998</v>
      </c>
      <c r="AB751" s="14">
        <f t="shared" si="160"/>
        <v>0.46</v>
      </c>
      <c r="AC751" t="str">
        <f t="shared" si="161"/>
        <v>No Discount</v>
      </c>
      <c r="AD751" t="str">
        <f t="shared" si="162"/>
        <v>Medium ($50-$200)</v>
      </c>
      <c r="AE751" t="str">
        <f t="shared" si="163"/>
        <v>Medium (3-5 units)</v>
      </c>
      <c r="AF751" t="str">
        <f t="shared" si="164"/>
        <v>Profitable</v>
      </c>
      <c r="AG751" t="str">
        <f t="shared" si="165"/>
        <v>High Margin</v>
      </c>
      <c r="AH751" t="str">
        <f t="shared" si="166"/>
        <v>Repeat Customer</v>
      </c>
      <c r="AI751" t="str">
        <f t="shared" si="167"/>
        <v>Standard (3-5 days)</v>
      </c>
    </row>
    <row r="752" spans="1:35" ht="15" customHeight="1" x14ac:dyDescent="0.3">
      <c r="A752">
        <v>751</v>
      </c>
      <c r="B752" t="s">
        <v>2571</v>
      </c>
      <c r="C752" s="12">
        <v>43010</v>
      </c>
      <c r="D752" s="12">
        <v>43014</v>
      </c>
      <c r="E752" t="s">
        <v>233</v>
      </c>
      <c r="F752" t="s">
        <v>2572</v>
      </c>
      <c r="G752" t="s">
        <v>2573</v>
      </c>
      <c r="H752" t="s">
        <v>209</v>
      </c>
      <c r="I752" t="s">
        <v>210</v>
      </c>
      <c r="J752" t="s">
        <v>2574</v>
      </c>
      <c r="K752" t="s">
        <v>421</v>
      </c>
      <c r="L752">
        <v>48183</v>
      </c>
      <c r="M752" t="s">
        <v>288</v>
      </c>
      <c r="N752" t="s">
        <v>2577</v>
      </c>
      <c r="O752" t="s">
        <v>215</v>
      </c>
      <c r="P752" t="s">
        <v>248</v>
      </c>
      <c r="Q752" t="s">
        <v>2578</v>
      </c>
      <c r="R752" s="13">
        <v>157.74</v>
      </c>
      <c r="S752">
        <v>11</v>
      </c>
      <c r="T752" s="14">
        <v>0</v>
      </c>
      <c r="U752" s="13">
        <v>56.7864</v>
      </c>
      <c r="V752">
        <f t="shared" si="154"/>
        <v>2017</v>
      </c>
      <c r="W752" t="str">
        <f t="shared" si="155"/>
        <v>Oct</v>
      </c>
      <c r="X752" t="str">
        <f t="shared" si="156"/>
        <v>Q4</v>
      </c>
      <c r="Y752" t="str">
        <f t="shared" si="157"/>
        <v>Mon</v>
      </c>
      <c r="Z752" s="16">
        <f t="shared" si="158"/>
        <v>4</v>
      </c>
      <c r="AA752" s="13">
        <f t="shared" si="159"/>
        <v>14.340000000000002</v>
      </c>
      <c r="AB752" s="14">
        <f t="shared" si="160"/>
        <v>0.36</v>
      </c>
      <c r="AC752" t="str">
        <f t="shared" si="161"/>
        <v>No Discount</v>
      </c>
      <c r="AD752" t="str">
        <f t="shared" si="162"/>
        <v>Medium ($50-$200)</v>
      </c>
      <c r="AE752" t="str">
        <f t="shared" si="163"/>
        <v>Large (6+ units)</v>
      </c>
      <c r="AF752" t="str">
        <f t="shared" si="164"/>
        <v>Profitable</v>
      </c>
      <c r="AG752" t="str">
        <f t="shared" si="165"/>
        <v>High Margin</v>
      </c>
      <c r="AH752" t="str">
        <f t="shared" si="166"/>
        <v>Repeat Customer</v>
      </c>
      <c r="AI752" t="str">
        <f t="shared" si="167"/>
        <v>Standard (3-5 days)</v>
      </c>
    </row>
    <row r="753" spans="1:35" ht="15" customHeight="1" x14ac:dyDescent="0.3">
      <c r="A753">
        <v>752</v>
      </c>
      <c r="B753" t="s">
        <v>2571</v>
      </c>
      <c r="C753" s="12">
        <v>43010</v>
      </c>
      <c r="D753" s="12">
        <v>43014</v>
      </c>
      <c r="E753" t="s">
        <v>233</v>
      </c>
      <c r="F753" t="s">
        <v>2572</v>
      </c>
      <c r="G753" t="s">
        <v>2573</v>
      </c>
      <c r="H753" t="s">
        <v>209</v>
      </c>
      <c r="I753" t="s">
        <v>210</v>
      </c>
      <c r="J753" t="s">
        <v>2574</v>
      </c>
      <c r="K753" t="s">
        <v>421</v>
      </c>
      <c r="L753">
        <v>48183</v>
      </c>
      <c r="M753" t="s">
        <v>288</v>
      </c>
      <c r="N753" t="s">
        <v>1610</v>
      </c>
      <c r="O753" t="s">
        <v>229</v>
      </c>
      <c r="P753" t="s">
        <v>251</v>
      </c>
      <c r="Q753" t="s">
        <v>1611</v>
      </c>
      <c r="R753" s="13">
        <v>56.98</v>
      </c>
      <c r="S753">
        <v>7</v>
      </c>
      <c r="T753" s="14">
        <v>0</v>
      </c>
      <c r="U753" s="13">
        <v>22.792000000000002</v>
      </c>
      <c r="V753">
        <f t="shared" si="154"/>
        <v>2017</v>
      </c>
      <c r="W753" t="str">
        <f t="shared" si="155"/>
        <v>Oct</v>
      </c>
      <c r="X753" t="str">
        <f t="shared" si="156"/>
        <v>Q4</v>
      </c>
      <c r="Y753" t="str">
        <f t="shared" si="157"/>
        <v>Mon</v>
      </c>
      <c r="Z753" s="16">
        <f t="shared" si="158"/>
        <v>4</v>
      </c>
      <c r="AA753" s="13">
        <f t="shared" si="159"/>
        <v>8.1399999999999988</v>
      </c>
      <c r="AB753" s="14">
        <f t="shared" si="160"/>
        <v>0.4</v>
      </c>
      <c r="AC753" t="str">
        <f t="shared" si="161"/>
        <v>No Discount</v>
      </c>
      <c r="AD753" t="str">
        <f t="shared" si="162"/>
        <v>Medium ($50-$200)</v>
      </c>
      <c r="AE753" t="str">
        <f t="shared" si="163"/>
        <v>Large (6+ units)</v>
      </c>
      <c r="AF753" t="str">
        <f t="shared" si="164"/>
        <v>Profitable</v>
      </c>
      <c r="AG753" t="str">
        <f t="shared" si="165"/>
        <v>High Margin</v>
      </c>
      <c r="AH753" t="str">
        <f t="shared" si="166"/>
        <v>Repeat Customer</v>
      </c>
      <c r="AI753" t="str">
        <f t="shared" si="167"/>
        <v>Standard (3-5 days)</v>
      </c>
    </row>
    <row r="754" spans="1:35" ht="15" customHeight="1" x14ac:dyDescent="0.3">
      <c r="A754">
        <v>753</v>
      </c>
      <c r="B754" t="s">
        <v>2571</v>
      </c>
      <c r="C754" s="12">
        <v>43010</v>
      </c>
      <c r="D754" s="12">
        <v>43014</v>
      </c>
      <c r="E754" t="s">
        <v>233</v>
      </c>
      <c r="F754" t="s">
        <v>2572</v>
      </c>
      <c r="G754" t="s">
        <v>2573</v>
      </c>
      <c r="H754" t="s">
        <v>209</v>
      </c>
      <c r="I754" t="s">
        <v>210</v>
      </c>
      <c r="J754" t="s">
        <v>2574</v>
      </c>
      <c r="K754" t="s">
        <v>421</v>
      </c>
      <c r="L754">
        <v>48183</v>
      </c>
      <c r="M754" t="s">
        <v>288</v>
      </c>
      <c r="N754" t="s">
        <v>2579</v>
      </c>
      <c r="O754" t="s">
        <v>229</v>
      </c>
      <c r="P754" t="s">
        <v>258</v>
      </c>
      <c r="Q754" t="s">
        <v>2580</v>
      </c>
      <c r="R754" s="13">
        <v>2.88</v>
      </c>
      <c r="S754">
        <v>1</v>
      </c>
      <c r="T754" s="14">
        <v>0</v>
      </c>
      <c r="U754" s="13">
        <v>1.4112</v>
      </c>
      <c r="V754">
        <f t="shared" si="154"/>
        <v>2017</v>
      </c>
      <c r="W754" t="str">
        <f t="shared" si="155"/>
        <v>Oct</v>
      </c>
      <c r="X754" t="str">
        <f t="shared" si="156"/>
        <v>Q4</v>
      </c>
      <c r="Y754" t="str">
        <f t="shared" si="157"/>
        <v>Mon</v>
      </c>
      <c r="Z754" s="16">
        <f t="shared" si="158"/>
        <v>4</v>
      </c>
      <c r="AA754" s="13">
        <f t="shared" si="159"/>
        <v>2.88</v>
      </c>
      <c r="AB754" s="14">
        <f t="shared" si="160"/>
        <v>0.49000000000000005</v>
      </c>
      <c r="AC754" t="str">
        <f t="shared" si="161"/>
        <v>No Discount</v>
      </c>
      <c r="AD754" t="str">
        <f t="shared" si="162"/>
        <v>Low (&lt;$50)</v>
      </c>
      <c r="AE754" t="str">
        <f t="shared" si="163"/>
        <v>Small (1-2 units)</v>
      </c>
      <c r="AF754" t="str">
        <f t="shared" si="164"/>
        <v>Profitable</v>
      </c>
      <c r="AG754" t="str">
        <f t="shared" si="165"/>
        <v>High Margin</v>
      </c>
      <c r="AH754" t="str">
        <f t="shared" si="166"/>
        <v>Repeat Customer</v>
      </c>
      <c r="AI754" t="str">
        <f t="shared" si="167"/>
        <v>Standard (3-5 days)</v>
      </c>
    </row>
    <row r="755" spans="1:35" ht="15" customHeight="1" x14ac:dyDescent="0.3">
      <c r="A755">
        <v>754</v>
      </c>
      <c r="B755" t="s">
        <v>2581</v>
      </c>
      <c r="C755" s="12">
        <v>42467</v>
      </c>
      <c r="D755" s="12">
        <v>42469</v>
      </c>
      <c r="E755" t="s">
        <v>371</v>
      </c>
      <c r="F755" t="s">
        <v>2582</v>
      </c>
      <c r="G755" t="s">
        <v>2583</v>
      </c>
      <c r="H755" t="s">
        <v>224</v>
      </c>
      <c r="I755" t="s">
        <v>210</v>
      </c>
      <c r="J755" t="s">
        <v>310</v>
      </c>
      <c r="K755" t="s">
        <v>226</v>
      </c>
      <c r="L755">
        <v>94110</v>
      </c>
      <c r="M755" t="s">
        <v>227</v>
      </c>
      <c r="N755" t="s">
        <v>2584</v>
      </c>
      <c r="O755" t="s">
        <v>254</v>
      </c>
      <c r="P755" t="s">
        <v>1402</v>
      </c>
      <c r="Q755" t="s">
        <v>2585</v>
      </c>
      <c r="R755" s="13">
        <v>1199.9760000000001</v>
      </c>
      <c r="S755">
        <v>3</v>
      </c>
      <c r="T755" s="14">
        <v>0.2</v>
      </c>
      <c r="U755" s="13">
        <v>374.99250000000001</v>
      </c>
      <c r="V755">
        <f t="shared" si="154"/>
        <v>2016</v>
      </c>
      <c r="W755" t="str">
        <f t="shared" si="155"/>
        <v>Apr</v>
      </c>
      <c r="X755" t="str">
        <f t="shared" si="156"/>
        <v>Q2</v>
      </c>
      <c r="Y755" t="str">
        <f t="shared" si="157"/>
        <v>Thu</v>
      </c>
      <c r="Z755" s="16">
        <f t="shared" si="158"/>
        <v>2</v>
      </c>
      <c r="AA755" s="13">
        <f t="shared" si="159"/>
        <v>399.99200000000002</v>
      </c>
      <c r="AB755" s="14">
        <f t="shared" si="160"/>
        <v>0.3125</v>
      </c>
      <c r="AC755" t="str">
        <f t="shared" si="161"/>
        <v>Low (1-20%)</v>
      </c>
      <c r="AD755" t="str">
        <f t="shared" si="162"/>
        <v>Premium ($500+)</v>
      </c>
      <c r="AE755" t="str">
        <f t="shared" si="163"/>
        <v>Medium (3-5 units)</v>
      </c>
      <c r="AF755" t="str">
        <f t="shared" si="164"/>
        <v>Profitable</v>
      </c>
      <c r="AG755" t="str">
        <f t="shared" si="165"/>
        <v>High Margin</v>
      </c>
      <c r="AH755" t="str">
        <f t="shared" si="166"/>
        <v>Single Purchase</v>
      </c>
      <c r="AI755" t="str">
        <f t="shared" si="167"/>
        <v>Fast (&lt;=2 days)</v>
      </c>
    </row>
    <row r="756" spans="1:35" ht="15" customHeight="1" x14ac:dyDescent="0.3">
      <c r="A756">
        <v>755</v>
      </c>
      <c r="B756" t="s">
        <v>2586</v>
      </c>
      <c r="C756" s="12">
        <v>42345</v>
      </c>
      <c r="D756" s="12">
        <v>42350</v>
      </c>
      <c r="E756" t="s">
        <v>233</v>
      </c>
      <c r="F756" t="s">
        <v>2172</v>
      </c>
      <c r="G756" t="s">
        <v>2173</v>
      </c>
      <c r="H756" t="s">
        <v>209</v>
      </c>
      <c r="I756" t="s">
        <v>210</v>
      </c>
      <c r="J756" t="s">
        <v>225</v>
      </c>
      <c r="K756" t="s">
        <v>226</v>
      </c>
      <c r="L756">
        <v>90036</v>
      </c>
      <c r="M756" t="s">
        <v>227</v>
      </c>
      <c r="N756" t="s">
        <v>2372</v>
      </c>
      <c r="O756" t="s">
        <v>215</v>
      </c>
      <c r="P756" t="s">
        <v>248</v>
      </c>
      <c r="Q756" t="s">
        <v>2373</v>
      </c>
      <c r="R756" s="13">
        <v>79.92</v>
      </c>
      <c r="S756">
        <v>4</v>
      </c>
      <c r="T756" s="14">
        <v>0</v>
      </c>
      <c r="U756" s="13">
        <v>28.7712</v>
      </c>
      <c r="V756">
        <f t="shared" si="154"/>
        <v>2015</v>
      </c>
      <c r="W756" t="str">
        <f t="shared" si="155"/>
        <v>Dec</v>
      </c>
      <c r="X756" t="str">
        <f t="shared" si="156"/>
        <v>Q4</v>
      </c>
      <c r="Y756" t="str">
        <f t="shared" si="157"/>
        <v>Mon</v>
      </c>
      <c r="Z756" s="16">
        <f t="shared" si="158"/>
        <v>5</v>
      </c>
      <c r="AA756" s="13">
        <f t="shared" si="159"/>
        <v>19.98</v>
      </c>
      <c r="AB756" s="14">
        <f t="shared" si="160"/>
        <v>0.36</v>
      </c>
      <c r="AC756" t="str">
        <f t="shared" si="161"/>
        <v>No Discount</v>
      </c>
      <c r="AD756" t="str">
        <f t="shared" si="162"/>
        <v>Medium ($50-$200)</v>
      </c>
      <c r="AE756" t="str">
        <f t="shared" si="163"/>
        <v>Medium (3-5 units)</v>
      </c>
      <c r="AF756" t="str">
        <f t="shared" si="164"/>
        <v>Profitable</v>
      </c>
      <c r="AG756" t="str">
        <f t="shared" si="165"/>
        <v>High Margin</v>
      </c>
      <c r="AH756" t="str">
        <f t="shared" si="166"/>
        <v>Repeat Customer</v>
      </c>
      <c r="AI756" t="str">
        <f t="shared" si="167"/>
        <v>Standard (3-5 days)</v>
      </c>
    </row>
    <row r="757" spans="1:35" ht="15" customHeight="1" x14ac:dyDescent="0.3">
      <c r="A757">
        <v>756</v>
      </c>
      <c r="B757" t="s">
        <v>2587</v>
      </c>
      <c r="C757" s="12">
        <v>42631</v>
      </c>
      <c r="D757" s="12">
        <v>42635</v>
      </c>
      <c r="E757" t="s">
        <v>233</v>
      </c>
      <c r="F757" t="s">
        <v>2211</v>
      </c>
      <c r="G757" t="s">
        <v>2212</v>
      </c>
      <c r="H757" t="s">
        <v>224</v>
      </c>
      <c r="I757" t="s">
        <v>210</v>
      </c>
      <c r="J757" t="s">
        <v>1709</v>
      </c>
      <c r="K757" t="s">
        <v>237</v>
      </c>
      <c r="L757">
        <v>32216</v>
      </c>
      <c r="M757" t="s">
        <v>213</v>
      </c>
      <c r="N757" t="s">
        <v>2588</v>
      </c>
      <c r="O757" t="s">
        <v>215</v>
      </c>
      <c r="P757" t="s">
        <v>239</v>
      </c>
      <c r="Q757" t="s">
        <v>2589</v>
      </c>
      <c r="R757" s="13">
        <v>383.43799999999999</v>
      </c>
      <c r="S757">
        <v>4</v>
      </c>
      <c r="T757" s="14">
        <v>0.45</v>
      </c>
      <c r="U757" s="13">
        <v>-167.3184</v>
      </c>
      <c r="V757">
        <f t="shared" si="154"/>
        <v>2016</v>
      </c>
      <c r="W757" t="str">
        <f t="shared" si="155"/>
        <v>Sep</v>
      </c>
      <c r="X757" t="str">
        <f t="shared" si="156"/>
        <v>Q3</v>
      </c>
      <c r="Y757" t="str">
        <f t="shared" si="157"/>
        <v>Sun</v>
      </c>
      <c r="Z757" s="16">
        <f t="shared" si="158"/>
        <v>4</v>
      </c>
      <c r="AA757" s="13">
        <f t="shared" si="159"/>
        <v>95.859499999999997</v>
      </c>
      <c r="AB757" s="14">
        <f t="shared" si="160"/>
        <v>-0.43636363636363634</v>
      </c>
      <c r="AC757" t="str">
        <f t="shared" si="161"/>
        <v>High (40%+)</v>
      </c>
      <c r="AD757" t="str">
        <f t="shared" si="162"/>
        <v>High ($200-$500)</v>
      </c>
      <c r="AE757" t="str">
        <f t="shared" si="163"/>
        <v>Medium (3-5 units)</v>
      </c>
      <c r="AF757" t="str">
        <f t="shared" si="164"/>
        <v>Loss-Making</v>
      </c>
      <c r="AG757" t="str">
        <f t="shared" si="165"/>
        <v>Underperforming</v>
      </c>
      <c r="AH757" t="str">
        <f t="shared" si="166"/>
        <v>Repeat Customer</v>
      </c>
      <c r="AI757" t="str">
        <f t="shared" si="167"/>
        <v>Standard (3-5 days)</v>
      </c>
    </row>
    <row r="758" spans="1:35" ht="15" customHeight="1" x14ac:dyDescent="0.3">
      <c r="A758">
        <v>757</v>
      </c>
      <c r="B758" t="s">
        <v>2590</v>
      </c>
      <c r="C758" s="12">
        <v>42002</v>
      </c>
      <c r="D758" s="12">
        <v>42006</v>
      </c>
      <c r="E758" t="s">
        <v>233</v>
      </c>
      <c r="F758" t="s">
        <v>2591</v>
      </c>
      <c r="G758" t="s">
        <v>2592</v>
      </c>
      <c r="H758" t="s">
        <v>209</v>
      </c>
      <c r="I758" t="s">
        <v>210</v>
      </c>
      <c r="J758" t="s">
        <v>2593</v>
      </c>
      <c r="K758" t="s">
        <v>412</v>
      </c>
      <c r="L758">
        <v>55016</v>
      </c>
      <c r="M758" t="s">
        <v>288</v>
      </c>
      <c r="N758" t="s">
        <v>2428</v>
      </c>
      <c r="O758" t="s">
        <v>229</v>
      </c>
      <c r="P758" t="s">
        <v>242</v>
      </c>
      <c r="Q758" t="s">
        <v>2429</v>
      </c>
      <c r="R758" s="13">
        <v>24.56</v>
      </c>
      <c r="S758">
        <v>2</v>
      </c>
      <c r="T758" s="14">
        <v>0</v>
      </c>
      <c r="U758" s="13">
        <v>6.8768000000000002</v>
      </c>
      <c r="V758">
        <f t="shared" si="154"/>
        <v>2014</v>
      </c>
      <c r="W758" t="str">
        <f t="shared" si="155"/>
        <v>Dec</v>
      </c>
      <c r="X758" t="str">
        <f t="shared" si="156"/>
        <v>Q4</v>
      </c>
      <c r="Y758" t="str">
        <f t="shared" si="157"/>
        <v>Mon</v>
      </c>
      <c r="Z758" s="16">
        <f t="shared" si="158"/>
        <v>4</v>
      </c>
      <c r="AA758" s="13">
        <f t="shared" si="159"/>
        <v>12.28</v>
      </c>
      <c r="AB758" s="14">
        <f t="shared" si="160"/>
        <v>0.28000000000000003</v>
      </c>
      <c r="AC758" t="str">
        <f t="shared" si="161"/>
        <v>No Discount</v>
      </c>
      <c r="AD758" t="str">
        <f t="shared" si="162"/>
        <v>Low (&lt;$50)</v>
      </c>
      <c r="AE758" t="str">
        <f t="shared" si="163"/>
        <v>Small (1-2 units)</v>
      </c>
      <c r="AF758" t="str">
        <f t="shared" si="164"/>
        <v>Profitable</v>
      </c>
      <c r="AG758" t="str">
        <f t="shared" si="165"/>
        <v>High Margin</v>
      </c>
      <c r="AH758" t="str">
        <f t="shared" si="166"/>
        <v>Repeat Customer</v>
      </c>
      <c r="AI758" t="str">
        <f t="shared" si="167"/>
        <v>Standard (3-5 days)</v>
      </c>
    </row>
    <row r="759" spans="1:35" ht="15" customHeight="1" x14ac:dyDescent="0.3">
      <c r="A759">
        <v>758</v>
      </c>
      <c r="B759" t="s">
        <v>2590</v>
      </c>
      <c r="C759" s="12">
        <v>42002</v>
      </c>
      <c r="D759" s="12">
        <v>42006</v>
      </c>
      <c r="E759" t="s">
        <v>233</v>
      </c>
      <c r="F759" t="s">
        <v>2591</v>
      </c>
      <c r="G759" t="s">
        <v>2592</v>
      </c>
      <c r="H759" t="s">
        <v>209</v>
      </c>
      <c r="I759" t="s">
        <v>210</v>
      </c>
      <c r="J759" t="s">
        <v>2593</v>
      </c>
      <c r="K759" t="s">
        <v>412</v>
      </c>
      <c r="L759">
        <v>55016</v>
      </c>
      <c r="M759" t="s">
        <v>288</v>
      </c>
      <c r="N759" t="s">
        <v>2272</v>
      </c>
      <c r="O759" t="s">
        <v>254</v>
      </c>
      <c r="P759" t="s">
        <v>344</v>
      </c>
      <c r="Q759" t="s">
        <v>2273</v>
      </c>
      <c r="R759" s="13">
        <v>119.8</v>
      </c>
      <c r="S759">
        <v>4</v>
      </c>
      <c r="T759" s="14">
        <v>0</v>
      </c>
      <c r="U759" s="13">
        <v>47.92</v>
      </c>
      <c r="V759">
        <f t="shared" si="154"/>
        <v>2014</v>
      </c>
      <c r="W759" t="str">
        <f t="shared" si="155"/>
        <v>Dec</v>
      </c>
      <c r="X759" t="str">
        <f t="shared" si="156"/>
        <v>Q4</v>
      </c>
      <c r="Y759" t="str">
        <f t="shared" si="157"/>
        <v>Mon</v>
      </c>
      <c r="Z759" s="16">
        <f t="shared" si="158"/>
        <v>4</v>
      </c>
      <c r="AA759" s="13">
        <f t="shared" si="159"/>
        <v>29.95</v>
      </c>
      <c r="AB759" s="14">
        <f t="shared" si="160"/>
        <v>0.4</v>
      </c>
      <c r="AC759" t="str">
        <f t="shared" si="161"/>
        <v>No Discount</v>
      </c>
      <c r="AD759" t="str">
        <f t="shared" si="162"/>
        <v>Medium ($50-$200)</v>
      </c>
      <c r="AE759" t="str">
        <f t="shared" si="163"/>
        <v>Medium (3-5 units)</v>
      </c>
      <c r="AF759" t="str">
        <f t="shared" si="164"/>
        <v>Profitable</v>
      </c>
      <c r="AG759" t="str">
        <f t="shared" si="165"/>
        <v>High Margin</v>
      </c>
      <c r="AH759" t="str">
        <f t="shared" si="166"/>
        <v>Repeat Customer</v>
      </c>
      <c r="AI759" t="str">
        <f t="shared" si="167"/>
        <v>Standard (3-5 days)</v>
      </c>
    </row>
    <row r="760" spans="1:35" ht="15" customHeight="1" x14ac:dyDescent="0.3">
      <c r="A760">
        <v>759</v>
      </c>
      <c r="B760" t="s">
        <v>2594</v>
      </c>
      <c r="C760" s="12">
        <v>42939</v>
      </c>
      <c r="D760" s="12">
        <v>42944</v>
      </c>
      <c r="E760" t="s">
        <v>233</v>
      </c>
      <c r="F760" t="s">
        <v>2595</v>
      </c>
      <c r="G760" t="s">
        <v>2596</v>
      </c>
      <c r="H760" t="s">
        <v>224</v>
      </c>
      <c r="I760" t="s">
        <v>210</v>
      </c>
      <c r="J760" t="s">
        <v>449</v>
      </c>
      <c r="K760" t="s">
        <v>450</v>
      </c>
      <c r="L760">
        <v>10009</v>
      </c>
      <c r="M760" t="s">
        <v>331</v>
      </c>
      <c r="N760" t="s">
        <v>2206</v>
      </c>
      <c r="O760" t="s">
        <v>229</v>
      </c>
      <c r="P760" t="s">
        <v>258</v>
      </c>
      <c r="Q760" t="s">
        <v>2207</v>
      </c>
      <c r="R760" s="13">
        <v>13.128</v>
      </c>
      <c r="S760">
        <v>3</v>
      </c>
      <c r="T760" s="14">
        <v>0.2</v>
      </c>
      <c r="U760" s="13">
        <v>4.2666000000000004</v>
      </c>
      <c r="V760">
        <f t="shared" si="154"/>
        <v>2017</v>
      </c>
      <c r="W760" t="str">
        <f t="shared" si="155"/>
        <v>Jul</v>
      </c>
      <c r="X760" t="str">
        <f t="shared" si="156"/>
        <v>Q3</v>
      </c>
      <c r="Y760" t="str">
        <f t="shared" si="157"/>
        <v>Sun</v>
      </c>
      <c r="Z760" s="16">
        <f t="shared" si="158"/>
        <v>5</v>
      </c>
      <c r="AA760" s="13">
        <f t="shared" si="159"/>
        <v>4.3760000000000003</v>
      </c>
      <c r="AB760" s="14">
        <f t="shared" si="160"/>
        <v>0.32500000000000001</v>
      </c>
      <c r="AC760" t="str">
        <f t="shared" si="161"/>
        <v>Low (1-20%)</v>
      </c>
      <c r="AD760" t="str">
        <f t="shared" si="162"/>
        <v>Low (&lt;$50)</v>
      </c>
      <c r="AE760" t="str">
        <f t="shared" si="163"/>
        <v>Medium (3-5 units)</v>
      </c>
      <c r="AF760" t="str">
        <f t="shared" si="164"/>
        <v>Profitable</v>
      </c>
      <c r="AG760" t="str">
        <f t="shared" si="165"/>
        <v>High Margin</v>
      </c>
      <c r="AH760" t="str">
        <f t="shared" si="166"/>
        <v>Single Purchase</v>
      </c>
      <c r="AI760" t="str">
        <f t="shared" si="167"/>
        <v>Standard (3-5 days)</v>
      </c>
    </row>
    <row r="761" spans="1:35" ht="15" customHeight="1" x14ac:dyDescent="0.3">
      <c r="A761">
        <v>760</v>
      </c>
      <c r="B761" t="s">
        <v>2597</v>
      </c>
      <c r="C761" s="12">
        <v>42996</v>
      </c>
      <c r="D761" s="12">
        <v>43000</v>
      </c>
      <c r="E761" t="s">
        <v>233</v>
      </c>
      <c r="F761" t="s">
        <v>2598</v>
      </c>
      <c r="G761" t="s">
        <v>2599</v>
      </c>
      <c r="H761" t="s">
        <v>224</v>
      </c>
      <c r="I761" t="s">
        <v>210</v>
      </c>
      <c r="J761" t="s">
        <v>2032</v>
      </c>
      <c r="K761" t="s">
        <v>297</v>
      </c>
      <c r="L761">
        <v>54302</v>
      </c>
      <c r="M761" t="s">
        <v>288</v>
      </c>
      <c r="N761" t="s">
        <v>743</v>
      </c>
      <c r="O761" t="s">
        <v>229</v>
      </c>
      <c r="P761" t="s">
        <v>273</v>
      </c>
      <c r="Q761" t="s">
        <v>2376</v>
      </c>
      <c r="R761" s="13">
        <v>22.72</v>
      </c>
      <c r="S761">
        <v>4</v>
      </c>
      <c r="T761" s="14">
        <v>0</v>
      </c>
      <c r="U761" s="13">
        <v>10.224</v>
      </c>
      <c r="V761">
        <f t="shared" si="154"/>
        <v>2017</v>
      </c>
      <c r="W761" t="str">
        <f t="shared" si="155"/>
        <v>Sep</v>
      </c>
      <c r="X761" t="str">
        <f t="shared" si="156"/>
        <v>Q3</v>
      </c>
      <c r="Y761" t="str">
        <f t="shared" si="157"/>
        <v>Mon</v>
      </c>
      <c r="Z761" s="16">
        <f t="shared" si="158"/>
        <v>4</v>
      </c>
      <c r="AA761" s="13">
        <f t="shared" si="159"/>
        <v>5.68</v>
      </c>
      <c r="AB761" s="14">
        <f t="shared" si="160"/>
        <v>0.45</v>
      </c>
      <c r="AC761" t="str">
        <f t="shared" si="161"/>
        <v>No Discount</v>
      </c>
      <c r="AD761" t="str">
        <f t="shared" si="162"/>
        <v>Low (&lt;$50)</v>
      </c>
      <c r="AE761" t="str">
        <f t="shared" si="163"/>
        <v>Medium (3-5 units)</v>
      </c>
      <c r="AF761" t="str">
        <f t="shared" si="164"/>
        <v>Profitable</v>
      </c>
      <c r="AG761" t="str">
        <f t="shared" si="165"/>
        <v>High Margin</v>
      </c>
      <c r="AH761" t="str">
        <f t="shared" si="166"/>
        <v>Single Purchase</v>
      </c>
      <c r="AI761" t="str">
        <f t="shared" si="167"/>
        <v>Standard (3-5 days)</v>
      </c>
    </row>
    <row r="762" spans="1:35" ht="15" customHeight="1" x14ac:dyDescent="0.3">
      <c r="A762">
        <v>761</v>
      </c>
      <c r="B762" t="s">
        <v>2600</v>
      </c>
      <c r="C762" s="12">
        <v>42247</v>
      </c>
      <c r="D762" s="12">
        <v>42252</v>
      </c>
      <c r="E762" t="s">
        <v>233</v>
      </c>
      <c r="F762" t="s">
        <v>2204</v>
      </c>
      <c r="G762" t="s">
        <v>2205</v>
      </c>
      <c r="H762" t="s">
        <v>209</v>
      </c>
      <c r="I762" t="s">
        <v>210</v>
      </c>
      <c r="J762" t="s">
        <v>225</v>
      </c>
      <c r="K762" t="s">
        <v>226</v>
      </c>
      <c r="L762">
        <v>90004</v>
      </c>
      <c r="M762" t="s">
        <v>227</v>
      </c>
      <c r="N762" t="s">
        <v>2086</v>
      </c>
      <c r="O762" t="s">
        <v>229</v>
      </c>
      <c r="P762" t="s">
        <v>273</v>
      </c>
      <c r="Q762" t="s">
        <v>2087</v>
      </c>
      <c r="R762" s="13">
        <v>58.32</v>
      </c>
      <c r="S762">
        <v>9</v>
      </c>
      <c r="T762" s="14">
        <v>0</v>
      </c>
      <c r="U762" s="13">
        <v>27.993600000000001</v>
      </c>
      <c r="V762">
        <f t="shared" si="154"/>
        <v>2015</v>
      </c>
      <c r="W762" t="str">
        <f t="shared" si="155"/>
        <v>Aug</v>
      </c>
      <c r="X762" t="str">
        <f t="shared" si="156"/>
        <v>Q3</v>
      </c>
      <c r="Y762" t="str">
        <f t="shared" si="157"/>
        <v>Mon</v>
      </c>
      <c r="Z762" s="16">
        <f t="shared" si="158"/>
        <v>5</v>
      </c>
      <c r="AA762" s="13">
        <f t="shared" si="159"/>
        <v>6.48</v>
      </c>
      <c r="AB762" s="14">
        <f t="shared" si="160"/>
        <v>0.48</v>
      </c>
      <c r="AC762" t="str">
        <f t="shared" si="161"/>
        <v>No Discount</v>
      </c>
      <c r="AD762" t="str">
        <f t="shared" si="162"/>
        <v>Medium ($50-$200)</v>
      </c>
      <c r="AE762" t="str">
        <f t="shared" si="163"/>
        <v>Large (6+ units)</v>
      </c>
      <c r="AF762" t="str">
        <f t="shared" si="164"/>
        <v>Profitable</v>
      </c>
      <c r="AG762" t="str">
        <f t="shared" si="165"/>
        <v>High Margin</v>
      </c>
      <c r="AH762" t="str">
        <f t="shared" si="166"/>
        <v>Repeat Customer</v>
      </c>
      <c r="AI762" t="str">
        <f t="shared" si="167"/>
        <v>Standard (3-5 days)</v>
      </c>
    </row>
    <row r="763" spans="1:35" ht="15" customHeight="1" x14ac:dyDescent="0.3">
      <c r="A763">
        <v>762</v>
      </c>
      <c r="B763" t="s">
        <v>2601</v>
      </c>
      <c r="C763" s="12">
        <v>43042</v>
      </c>
      <c r="D763" s="12">
        <v>43046</v>
      </c>
      <c r="E763" t="s">
        <v>233</v>
      </c>
      <c r="F763" t="s">
        <v>554</v>
      </c>
      <c r="G763" t="s">
        <v>555</v>
      </c>
      <c r="H763" t="s">
        <v>224</v>
      </c>
      <c r="I763" t="s">
        <v>210</v>
      </c>
      <c r="J763" t="s">
        <v>1924</v>
      </c>
      <c r="K763" t="s">
        <v>1458</v>
      </c>
      <c r="L763">
        <v>30318</v>
      </c>
      <c r="M763" t="s">
        <v>213</v>
      </c>
      <c r="N763" t="s">
        <v>2602</v>
      </c>
      <c r="O763" t="s">
        <v>229</v>
      </c>
      <c r="P763" t="s">
        <v>230</v>
      </c>
      <c r="Q763" t="s">
        <v>2603</v>
      </c>
      <c r="R763" s="13">
        <v>12.39</v>
      </c>
      <c r="S763">
        <v>3</v>
      </c>
      <c r="T763" s="14">
        <v>0</v>
      </c>
      <c r="U763" s="13">
        <v>5.6993999999999998</v>
      </c>
      <c r="V763">
        <f t="shared" si="154"/>
        <v>2017</v>
      </c>
      <c r="W763" t="str">
        <f t="shared" si="155"/>
        <v>Nov</v>
      </c>
      <c r="X763" t="str">
        <f t="shared" si="156"/>
        <v>Q4</v>
      </c>
      <c r="Y763" t="str">
        <f t="shared" si="157"/>
        <v>Fri</v>
      </c>
      <c r="Z763" s="16">
        <f t="shared" si="158"/>
        <v>4</v>
      </c>
      <c r="AA763" s="13">
        <f t="shared" si="159"/>
        <v>4.13</v>
      </c>
      <c r="AB763" s="14">
        <f t="shared" si="160"/>
        <v>0.45999999999999996</v>
      </c>
      <c r="AC763" t="str">
        <f t="shared" si="161"/>
        <v>No Discount</v>
      </c>
      <c r="AD763" t="str">
        <f t="shared" si="162"/>
        <v>Low (&lt;$50)</v>
      </c>
      <c r="AE763" t="str">
        <f t="shared" si="163"/>
        <v>Medium (3-5 units)</v>
      </c>
      <c r="AF763" t="str">
        <f t="shared" si="164"/>
        <v>Profitable</v>
      </c>
      <c r="AG763" t="str">
        <f t="shared" si="165"/>
        <v>High Margin</v>
      </c>
      <c r="AH763" t="str">
        <f t="shared" si="166"/>
        <v>Repeat Customer</v>
      </c>
      <c r="AI763" t="str">
        <f t="shared" si="167"/>
        <v>Standard (3-5 days)</v>
      </c>
    </row>
    <row r="764" spans="1:35" ht="15" customHeight="1" x14ac:dyDescent="0.3">
      <c r="A764">
        <v>763</v>
      </c>
      <c r="B764" t="s">
        <v>2604</v>
      </c>
      <c r="C764" s="12">
        <v>42043</v>
      </c>
      <c r="D764" s="12">
        <v>42048</v>
      </c>
      <c r="E764" t="s">
        <v>233</v>
      </c>
      <c r="F764" t="s">
        <v>2605</v>
      </c>
      <c r="G764" t="s">
        <v>2606</v>
      </c>
      <c r="H764" t="s">
        <v>209</v>
      </c>
      <c r="I764" t="s">
        <v>210</v>
      </c>
      <c r="J764" t="s">
        <v>680</v>
      </c>
      <c r="K764" t="s">
        <v>681</v>
      </c>
      <c r="L764">
        <v>43229</v>
      </c>
      <c r="M764" t="s">
        <v>331</v>
      </c>
      <c r="N764" t="s">
        <v>877</v>
      </c>
      <c r="O764" t="s">
        <v>254</v>
      </c>
      <c r="P764" t="s">
        <v>255</v>
      </c>
      <c r="Q764" t="s">
        <v>878</v>
      </c>
      <c r="R764" s="13">
        <v>107.982</v>
      </c>
      <c r="S764">
        <v>3</v>
      </c>
      <c r="T764" s="14">
        <v>0.4</v>
      </c>
      <c r="U764" s="13">
        <v>-26.9955</v>
      </c>
      <c r="V764">
        <f t="shared" si="154"/>
        <v>2015</v>
      </c>
      <c r="W764" t="str">
        <f t="shared" si="155"/>
        <v>Feb</v>
      </c>
      <c r="X764" t="str">
        <f t="shared" si="156"/>
        <v>Q1</v>
      </c>
      <c r="Y764" t="str">
        <f t="shared" si="157"/>
        <v>Sun</v>
      </c>
      <c r="Z764" s="16">
        <f t="shared" si="158"/>
        <v>5</v>
      </c>
      <c r="AA764" s="13">
        <f t="shared" si="159"/>
        <v>35.994</v>
      </c>
      <c r="AB764" s="14">
        <f t="shared" si="160"/>
        <v>-0.25</v>
      </c>
      <c r="AC764" t="str">
        <f t="shared" si="161"/>
        <v>Medium (21-40%)</v>
      </c>
      <c r="AD764" t="str">
        <f t="shared" si="162"/>
        <v>Medium ($50-$200)</v>
      </c>
      <c r="AE764" t="str">
        <f t="shared" si="163"/>
        <v>Medium (3-5 units)</v>
      </c>
      <c r="AF764" t="str">
        <f t="shared" si="164"/>
        <v>Loss-Making</v>
      </c>
      <c r="AG764" t="str">
        <f t="shared" si="165"/>
        <v>Underperforming</v>
      </c>
      <c r="AH764" t="str">
        <f t="shared" si="166"/>
        <v>Repeat Customer</v>
      </c>
      <c r="AI764" t="str">
        <f t="shared" si="167"/>
        <v>Standard (3-5 days)</v>
      </c>
    </row>
    <row r="765" spans="1:35" ht="15" customHeight="1" x14ac:dyDescent="0.3">
      <c r="A765">
        <v>764</v>
      </c>
      <c r="B765" t="s">
        <v>2607</v>
      </c>
      <c r="C765" s="12">
        <v>41652</v>
      </c>
      <c r="D765" s="12">
        <v>41654</v>
      </c>
      <c r="E765" t="s">
        <v>206</v>
      </c>
      <c r="F765" t="s">
        <v>2608</v>
      </c>
      <c r="G765" t="s">
        <v>2609</v>
      </c>
      <c r="H765" t="s">
        <v>224</v>
      </c>
      <c r="I765" t="s">
        <v>210</v>
      </c>
      <c r="J765" t="s">
        <v>2610</v>
      </c>
      <c r="K765" t="s">
        <v>921</v>
      </c>
      <c r="L765">
        <v>71111</v>
      </c>
      <c r="M765" t="s">
        <v>213</v>
      </c>
      <c r="N765" t="s">
        <v>853</v>
      </c>
      <c r="O765" t="s">
        <v>229</v>
      </c>
      <c r="P765" t="s">
        <v>356</v>
      </c>
      <c r="Q765" t="s">
        <v>854</v>
      </c>
      <c r="R765" s="13">
        <v>11.36</v>
      </c>
      <c r="S765">
        <v>2</v>
      </c>
      <c r="T765" s="14">
        <v>0</v>
      </c>
      <c r="U765" s="13">
        <v>5.3391999999999999</v>
      </c>
      <c r="V765">
        <f t="shared" si="154"/>
        <v>2014</v>
      </c>
      <c r="W765" t="str">
        <f t="shared" si="155"/>
        <v>Jan</v>
      </c>
      <c r="X765" t="str">
        <f t="shared" si="156"/>
        <v>Q1</v>
      </c>
      <c r="Y765" t="str">
        <f t="shared" si="157"/>
        <v>Mon</v>
      </c>
      <c r="Z765" s="16">
        <f t="shared" si="158"/>
        <v>2</v>
      </c>
      <c r="AA765" s="13">
        <f t="shared" si="159"/>
        <v>5.68</v>
      </c>
      <c r="AB765" s="14">
        <f t="shared" si="160"/>
        <v>0.47000000000000003</v>
      </c>
      <c r="AC765" t="str">
        <f t="shared" si="161"/>
        <v>No Discount</v>
      </c>
      <c r="AD765" t="str">
        <f t="shared" si="162"/>
        <v>Low (&lt;$50)</v>
      </c>
      <c r="AE765" t="str">
        <f t="shared" si="163"/>
        <v>Small (1-2 units)</v>
      </c>
      <c r="AF765" t="str">
        <f t="shared" si="164"/>
        <v>Profitable</v>
      </c>
      <c r="AG765" t="str">
        <f t="shared" si="165"/>
        <v>High Margin</v>
      </c>
      <c r="AH765" t="str">
        <f t="shared" si="166"/>
        <v>Repeat Customer</v>
      </c>
      <c r="AI765" t="str">
        <f t="shared" si="167"/>
        <v>Fast (&lt;=2 days)</v>
      </c>
    </row>
    <row r="766" spans="1:35" ht="15" customHeight="1" x14ac:dyDescent="0.3">
      <c r="A766">
        <v>765</v>
      </c>
      <c r="B766" t="s">
        <v>2607</v>
      </c>
      <c r="C766" s="12">
        <v>41652</v>
      </c>
      <c r="D766" s="12">
        <v>41654</v>
      </c>
      <c r="E766" t="s">
        <v>206</v>
      </c>
      <c r="F766" t="s">
        <v>2608</v>
      </c>
      <c r="G766" t="s">
        <v>2609</v>
      </c>
      <c r="H766" t="s">
        <v>224</v>
      </c>
      <c r="I766" t="s">
        <v>210</v>
      </c>
      <c r="J766" t="s">
        <v>2610</v>
      </c>
      <c r="K766" t="s">
        <v>921</v>
      </c>
      <c r="L766">
        <v>71111</v>
      </c>
      <c r="M766" t="s">
        <v>213</v>
      </c>
      <c r="N766" t="s">
        <v>2611</v>
      </c>
      <c r="O766" t="s">
        <v>229</v>
      </c>
      <c r="P766" t="s">
        <v>356</v>
      </c>
      <c r="Q766" t="s">
        <v>2612</v>
      </c>
      <c r="R766" s="13">
        <v>50.94</v>
      </c>
      <c r="S766">
        <v>3</v>
      </c>
      <c r="T766" s="14">
        <v>0</v>
      </c>
      <c r="U766" s="13">
        <v>25.47</v>
      </c>
      <c r="V766">
        <f t="shared" si="154"/>
        <v>2014</v>
      </c>
      <c r="W766" t="str">
        <f t="shared" si="155"/>
        <v>Jan</v>
      </c>
      <c r="X766" t="str">
        <f t="shared" si="156"/>
        <v>Q1</v>
      </c>
      <c r="Y766" t="str">
        <f t="shared" si="157"/>
        <v>Mon</v>
      </c>
      <c r="Z766" s="16">
        <f t="shared" si="158"/>
        <v>2</v>
      </c>
      <c r="AA766" s="13">
        <f t="shared" si="159"/>
        <v>16.98</v>
      </c>
      <c r="AB766" s="14">
        <f t="shared" si="160"/>
        <v>0.5</v>
      </c>
      <c r="AC766" t="str">
        <f t="shared" si="161"/>
        <v>No Discount</v>
      </c>
      <c r="AD766" t="str">
        <f t="shared" si="162"/>
        <v>Medium ($50-$200)</v>
      </c>
      <c r="AE766" t="str">
        <f t="shared" si="163"/>
        <v>Medium (3-5 units)</v>
      </c>
      <c r="AF766" t="str">
        <f t="shared" si="164"/>
        <v>Profitable</v>
      </c>
      <c r="AG766" t="str">
        <f t="shared" si="165"/>
        <v>High Margin</v>
      </c>
      <c r="AH766" t="str">
        <f t="shared" si="166"/>
        <v>Repeat Customer</v>
      </c>
      <c r="AI766" t="str">
        <f t="shared" si="167"/>
        <v>Fast (&lt;=2 days)</v>
      </c>
    </row>
    <row r="767" spans="1:35" ht="15" customHeight="1" x14ac:dyDescent="0.3">
      <c r="A767">
        <v>766</v>
      </c>
      <c r="B767" t="s">
        <v>2607</v>
      </c>
      <c r="C767" s="12">
        <v>41652</v>
      </c>
      <c r="D767" s="12">
        <v>41654</v>
      </c>
      <c r="E767" t="s">
        <v>206</v>
      </c>
      <c r="F767" t="s">
        <v>2608</v>
      </c>
      <c r="G767" t="s">
        <v>2609</v>
      </c>
      <c r="H767" t="s">
        <v>224</v>
      </c>
      <c r="I767" t="s">
        <v>210</v>
      </c>
      <c r="J767" t="s">
        <v>2610</v>
      </c>
      <c r="K767" t="s">
        <v>921</v>
      </c>
      <c r="L767">
        <v>71111</v>
      </c>
      <c r="M767" t="s">
        <v>213</v>
      </c>
      <c r="N767" t="s">
        <v>2613</v>
      </c>
      <c r="O767" t="s">
        <v>254</v>
      </c>
      <c r="P767" t="s">
        <v>344</v>
      </c>
      <c r="Q767" t="s">
        <v>2614</v>
      </c>
      <c r="R767" s="13">
        <v>646.74</v>
      </c>
      <c r="S767">
        <v>6</v>
      </c>
      <c r="T767" s="14">
        <v>0</v>
      </c>
      <c r="U767" s="13">
        <v>258.69600000000003</v>
      </c>
      <c r="V767">
        <f t="shared" si="154"/>
        <v>2014</v>
      </c>
      <c r="W767" t="str">
        <f t="shared" si="155"/>
        <v>Jan</v>
      </c>
      <c r="X767" t="str">
        <f t="shared" si="156"/>
        <v>Q1</v>
      </c>
      <c r="Y767" t="str">
        <f t="shared" si="157"/>
        <v>Mon</v>
      </c>
      <c r="Z767" s="16">
        <f t="shared" si="158"/>
        <v>2</v>
      </c>
      <c r="AA767" s="13">
        <f t="shared" si="159"/>
        <v>107.79</v>
      </c>
      <c r="AB767" s="14">
        <f t="shared" si="160"/>
        <v>0.4</v>
      </c>
      <c r="AC767" t="str">
        <f t="shared" si="161"/>
        <v>No Discount</v>
      </c>
      <c r="AD767" t="str">
        <f t="shared" si="162"/>
        <v>Premium ($500+)</v>
      </c>
      <c r="AE767" t="str">
        <f t="shared" si="163"/>
        <v>Large (6+ units)</v>
      </c>
      <c r="AF767" t="str">
        <f t="shared" si="164"/>
        <v>Profitable</v>
      </c>
      <c r="AG767" t="str">
        <f t="shared" si="165"/>
        <v>High Margin</v>
      </c>
      <c r="AH767" t="str">
        <f t="shared" si="166"/>
        <v>Repeat Customer</v>
      </c>
      <c r="AI767" t="str">
        <f t="shared" si="167"/>
        <v>Fast (&lt;=2 days)</v>
      </c>
    </row>
    <row r="768" spans="1:35" ht="15" customHeight="1" x14ac:dyDescent="0.3">
      <c r="A768">
        <v>767</v>
      </c>
      <c r="B768" t="s">
        <v>2607</v>
      </c>
      <c r="C768" s="12">
        <v>41652</v>
      </c>
      <c r="D768" s="12">
        <v>41654</v>
      </c>
      <c r="E768" t="s">
        <v>206</v>
      </c>
      <c r="F768" t="s">
        <v>2608</v>
      </c>
      <c r="G768" t="s">
        <v>2609</v>
      </c>
      <c r="H768" t="s">
        <v>224</v>
      </c>
      <c r="I768" t="s">
        <v>210</v>
      </c>
      <c r="J768" t="s">
        <v>2610</v>
      </c>
      <c r="K768" t="s">
        <v>921</v>
      </c>
      <c r="L768">
        <v>71111</v>
      </c>
      <c r="M768" t="s">
        <v>213</v>
      </c>
      <c r="N768" t="s">
        <v>2615</v>
      </c>
      <c r="O768" t="s">
        <v>229</v>
      </c>
      <c r="P768" t="s">
        <v>258</v>
      </c>
      <c r="Q768" t="s">
        <v>2616</v>
      </c>
      <c r="R768" s="13">
        <v>5.64</v>
      </c>
      <c r="S768">
        <v>3</v>
      </c>
      <c r="T768" s="14">
        <v>0</v>
      </c>
      <c r="U768" s="13">
        <v>2.7071999999999998</v>
      </c>
      <c r="V768">
        <f t="shared" si="154"/>
        <v>2014</v>
      </c>
      <c r="W768" t="str">
        <f t="shared" si="155"/>
        <v>Jan</v>
      </c>
      <c r="X768" t="str">
        <f t="shared" si="156"/>
        <v>Q1</v>
      </c>
      <c r="Y768" t="str">
        <f t="shared" si="157"/>
        <v>Mon</v>
      </c>
      <c r="Z768" s="16">
        <f t="shared" si="158"/>
        <v>2</v>
      </c>
      <c r="AA768" s="13">
        <f t="shared" si="159"/>
        <v>1.88</v>
      </c>
      <c r="AB768" s="14">
        <f t="shared" si="160"/>
        <v>0.48</v>
      </c>
      <c r="AC768" t="str">
        <f t="shared" si="161"/>
        <v>No Discount</v>
      </c>
      <c r="AD768" t="str">
        <f t="shared" si="162"/>
        <v>Low (&lt;$50)</v>
      </c>
      <c r="AE768" t="str">
        <f t="shared" si="163"/>
        <v>Medium (3-5 units)</v>
      </c>
      <c r="AF768" t="str">
        <f t="shared" si="164"/>
        <v>Profitable</v>
      </c>
      <c r="AG768" t="str">
        <f t="shared" si="165"/>
        <v>High Margin</v>
      </c>
      <c r="AH768" t="str">
        <f t="shared" si="166"/>
        <v>Repeat Customer</v>
      </c>
      <c r="AI768" t="str">
        <f t="shared" si="167"/>
        <v>Fast (&lt;=2 days)</v>
      </c>
    </row>
    <row r="769" spans="1:35" ht="15" customHeight="1" x14ac:dyDescent="0.3">
      <c r="A769">
        <v>768</v>
      </c>
      <c r="B769" t="s">
        <v>2607</v>
      </c>
      <c r="C769" s="12">
        <v>41652</v>
      </c>
      <c r="D769" s="12">
        <v>41654</v>
      </c>
      <c r="E769" t="s">
        <v>206</v>
      </c>
      <c r="F769" t="s">
        <v>2608</v>
      </c>
      <c r="G769" t="s">
        <v>2609</v>
      </c>
      <c r="H769" t="s">
        <v>224</v>
      </c>
      <c r="I769" t="s">
        <v>210</v>
      </c>
      <c r="J769" t="s">
        <v>2610</v>
      </c>
      <c r="K769" t="s">
        <v>921</v>
      </c>
      <c r="L769">
        <v>71111</v>
      </c>
      <c r="M769" t="s">
        <v>213</v>
      </c>
      <c r="N769" t="s">
        <v>2617</v>
      </c>
      <c r="O769" t="s">
        <v>229</v>
      </c>
      <c r="P769" t="s">
        <v>242</v>
      </c>
      <c r="Q769" t="s">
        <v>2618</v>
      </c>
      <c r="R769" s="13">
        <v>572.58000000000004</v>
      </c>
      <c r="S769">
        <v>6</v>
      </c>
      <c r="T769" s="14">
        <v>0</v>
      </c>
      <c r="U769" s="13">
        <v>34.354799999999997</v>
      </c>
      <c r="V769">
        <f t="shared" si="154"/>
        <v>2014</v>
      </c>
      <c r="W769" t="str">
        <f t="shared" si="155"/>
        <v>Jan</v>
      </c>
      <c r="X769" t="str">
        <f t="shared" si="156"/>
        <v>Q1</v>
      </c>
      <c r="Y769" t="str">
        <f t="shared" si="157"/>
        <v>Mon</v>
      </c>
      <c r="Z769" s="16">
        <f t="shared" si="158"/>
        <v>2</v>
      </c>
      <c r="AA769" s="13">
        <f t="shared" si="159"/>
        <v>95.43</v>
      </c>
      <c r="AB769" s="14">
        <f t="shared" si="160"/>
        <v>5.9999999999999991E-2</v>
      </c>
      <c r="AC769" t="str">
        <f t="shared" si="161"/>
        <v>No Discount</v>
      </c>
      <c r="AD769" t="str">
        <f t="shared" si="162"/>
        <v>Premium ($500+)</v>
      </c>
      <c r="AE769" t="str">
        <f t="shared" si="163"/>
        <v>Large (6+ units)</v>
      </c>
      <c r="AF769" t="str">
        <f t="shared" si="164"/>
        <v>Profitable</v>
      </c>
      <c r="AG769" t="str">
        <f t="shared" si="165"/>
        <v>Low Margin</v>
      </c>
      <c r="AH769" t="str">
        <f t="shared" si="166"/>
        <v>Repeat Customer</v>
      </c>
      <c r="AI769" t="str">
        <f t="shared" si="167"/>
        <v>Fast (&lt;=2 days)</v>
      </c>
    </row>
    <row r="770" spans="1:35" ht="15" customHeight="1" x14ac:dyDescent="0.3">
      <c r="A770">
        <v>769</v>
      </c>
      <c r="B770" t="s">
        <v>2619</v>
      </c>
      <c r="C770" s="12">
        <v>41773</v>
      </c>
      <c r="D770" s="12">
        <v>41779</v>
      </c>
      <c r="E770" t="s">
        <v>233</v>
      </c>
      <c r="F770" t="s">
        <v>2620</v>
      </c>
      <c r="G770" t="s">
        <v>2621</v>
      </c>
      <c r="H770" t="s">
        <v>224</v>
      </c>
      <c r="I770" t="s">
        <v>210</v>
      </c>
      <c r="J770" t="s">
        <v>1337</v>
      </c>
      <c r="K770" t="s">
        <v>237</v>
      </c>
      <c r="L770">
        <v>33710</v>
      </c>
      <c r="M770" t="s">
        <v>213</v>
      </c>
      <c r="N770" t="s">
        <v>2622</v>
      </c>
      <c r="O770" t="s">
        <v>215</v>
      </c>
      <c r="P770" t="s">
        <v>248</v>
      </c>
      <c r="Q770" t="s">
        <v>2623</v>
      </c>
      <c r="R770" s="13">
        <v>310.88</v>
      </c>
      <c r="S770">
        <v>2</v>
      </c>
      <c r="T770" s="14">
        <v>0.2</v>
      </c>
      <c r="U770" s="13">
        <v>23.315999999999999</v>
      </c>
      <c r="V770">
        <f t="shared" ref="V770:V833" si="168">YEAR(C770)</f>
        <v>2014</v>
      </c>
      <c r="W770" t="str">
        <f t="shared" ref="W770:W833" si="169">TEXT(C770,"mmm")</f>
        <v>May</v>
      </c>
      <c r="X770" t="str">
        <f t="shared" ref="X770:X833" si="170">"Q"&amp;ROUNDUP(MONTH(C770)/3,0)</f>
        <v>Q2</v>
      </c>
      <c r="Y770" t="str">
        <f t="shared" ref="Y770:Y833" si="171">TEXT(C770,"ddd")</f>
        <v>Wed</v>
      </c>
      <c r="Z770" s="16">
        <f t="shared" ref="Z770:Z833" si="172">D770-C770</f>
        <v>6</v>
      </c>
      <c r="AA770" s="13">
        <f t="shared" ref="AA770:AA833" si="173">IFERROR(R770/S770,0)</f>
        <v>155.44</v>
      </c>
      <c r="AB770" s="14">
        <f t="shared" ref="AB770:AB833" si="174">IFERROR(U770/R770,0)</f>
        <v>7.4999999999999997E-2</v>
      </c>
      <c r="AC770" t="str">
        <f t="shared" ref="AC770:AC833" si="175">IF(T770=0,"No Discount",IF(T770&lt;=0.2,"Low (1-20%)",IF(T770&lt;=0.4,"Medium (21-40%)","High (40%+)")))</f>
        <v>Low (1-20%)</v>
      </c>
      <c r="AD770" t="str">
        <f t="shared" ref="AD770:AD833" si="176">IF(R770&lt;50,"Low (&lt;$50)",IF(R770&lt;200,"Medium ($50-$200)",IF(R770&lt;500,"High ($200-$500)","Premium ($500+)")))</f>
        <v>High ($200-$500)</v>
      </c>
      <c r="AE770" t="str">
        <f t="shared" ref="AE770:AE833" si="177">IF(S770&lt;=2,"Small (1-2 units)",IF(S770&lt;=5,"Medium (3-5 units)","Large (6+ units)"))</f>
        <v>Small (1-2 units)</v>
      </c>
      <c r="AF770" t="str">
        <f t="shared" ref="AF770:AF833" si="178">IF(U770&lt;0,"Loss-Making","Profitable")</f>
        <v>Profitable</v>
      </c>
      <c r="AG770" t="str">
        <f t="shared" ref="AG770:AG833" si="179">IF(AB770&lt;0,"Underperforming",IF(AB770&lt;0.1,"Low Margin",IF(AB770&lt;0.25,"Healthy Margin","High Margin")))</f>
        <v>Low Margin</v>
      </c>
      <c r="AH770" t="str">
        <f t="shared" ref="AH770:AH833" si="180">IF(COUNTIF($F$2:$F$1001,F770)&gt;1,"Repeat Customer","Single Purchase")</f>
        <v>Repeat Customer</v>
      </c>
      <c r="AI770" t="str">
        <f t="shared" ref="AI770:AI833" si="181">IF(Z770&lt;=2,"Fast (&lt;=2 days)",IF(Z770&lt;=5,"Standard (3-5 days)","Slow (6+ days)"))</f>
        <v>Slow (6+ days)</v>
      </c>
    </row>
    <row r="771" spans="1:35" ht="15" customHeight="1" x14ac:dyDescent="0.3">
      <c r="A771">
        <v>770</v>
      </c>
      <c r="B771" t="s">
        <v>2624</v>
      </c>
      <c r="C771" s="12">
        <v>42509</v>
      </c>
      <c r="D771" s="12">
        <v>42514</v>
      </c>
      <c r="E771" t="s">
        <v>233</v>
      </c>
      <c r="F771" t="s">
        <v>1009</v>
      </c>
      <c r="G771" t="s">
        <v>1010</v>
      </c>
      <c r="H771" t="s">
        <v>209</v>
      </c>
      <c r="I771" t="s">
        <v>210</v>
      </c>
      <c r="J771" t="s">
        <v>1313</v>
      </c>
      <c r="K771" t="s">
        <v>502</v>
      </c>
      <c r="L771">
        <v>22204</v>
      </c>
      <c r="M771" t="s">
        <v>213</v>
      </c>
      <c r="N771" t="s">
        <v>2625</v>
      </c>
      <c r="O771" t="s">
        <v>215</v>
      </c>
      <c r="P771" t="s">
        <v>219</v>
      </c>
      <c r="Q771" t="s">
        <v>2626</v>
      </c>
      <c r="R771" s="13">
        <v>641.96</v>
      </c>
      <c r="S771">
        <v>2</v>
      </c>
      <c r="T771" s="14">
        <v>0</v>
      </c>
      <c r="U771" s="13">
        <v>179.74879999999999</v>
      </c>
      <c r="V771">
        <f t="shared" si="168"/>
        <v>2016</v>
      </c>
      <c r="W771" t="str">
        <f t="shared" si="169"/>
        <v>May</v>
      </c>
      <c r="X771" t="str">
        <f t="shared" si="170"/>
        <v>Q2</v>
      </c>
      <c r="Y771" t="str">
        <f t="shared" si="171"/>
        <v>Thu</v>
      </c>
      <c r="Z771" s="16">
        <f t="shared" si="172"/>
        <v>5</v>
      </c>
      <c r="AA771" s="13">
        <f t="shared" si="173"/>
        <v>320.98</v>
      </c>
      <c r="AB771" s="14">
        <f t="shared" si="174"/>
        <v>0.27999999999999997</v>
      </c>
      <c r="AC771" t="str">
        <f t="shared" si="175"/>
        <v>No Discount</v>
      </c>
      <c r="AD771" t="str">
        <f t="shared" si="176"/>
        <v>Premium ($500+)</v>
      </c>
      <c r="AE771" t="str">
        <f t="shared" si="177"/>
        <v>Small (1-2 units)</v>
      </c>
      <c r="AF771" t="str">
        <f t="shared" si="178"/>
        <v>Profitable</v>
      </c>
      <c r="AG771" t="str">
        <f t="shared" si="179"/>
        <v>High Margin</v>
      </c>
      <c r="AH771" t="str">
        <f t="shared" si="180"/>
        <v>Repeat Customer</v>
      </c>
      <c r="AI771" t="str">
        <f t="shared" si="181"/>
        <v>Standard (3-5 days)</v>
      </c>
    </row>
    <row r="772" spans="1:35" ht="15" customHeight="1" x14ac:dyDescent="0.3">
      <c r="A772">
        <v>771</v>
      </c>
      <c r="B772" t="s">
        <v>2627</v>
      </c>
      <c r="C772" s="12">
        <v>42765</v>
      </c>
      <c r="D772" s="12">
        <v>42771</v>
      </c>
      <c r="E772" t="s">
        <v>233</v>
      </c>
      <c r="F772" t="s">
        <v>2628</v>
      </c>
      <c r="G772" t="s">
        <v>2629</v>
      </c>
      <c r="H772" t="s">
        <v>224</v>
      </c>
      <c r="I772" t="s">
        <v>210</v>
      </c>
      <c r="J772" t="s">
        <v>1564</v>
      </c>
      <c r="K772" t="s">
        <v>672</v>
      </c>
      <c r="L772">
        <v>50315</v>
      </c>
      <c r="M772" t="s">
        <v>288</v>
      </c>
      <c r="N772" t="s">
        <v>2630</v>
      </c>
      <c r="O772" t="s">
        <v>229</v>
      </c>
      <c r="P772" t="s">
        <v>258</v>
      </c>
      <c r="Q772" t="s">
        <v>2631</v>
      </c>
      <c r="R772" s="13">
        <v>18.28</v>
      </c>
      <c r="S772">
        <v>2</v>
      </c>
      <c r="T772" s="14">
        <v>0</v>
      </c>
      <c r="U772" s="13">
        <v>9.14</v>
      </c>
      <c r="V772">
        <f t="shared" si="168"/>
        <v>2017</v>
      </c>
      <c r="W772" t="str">
        <f t="shared" si="169"/>
        <v>Jan</v>
      </c>
      <c r="X772" t="str">
        <f t="shared" si="170"/>
        <v>Q1</v>
      </c>
      <c r="Y772" t="str">
        <f t="shared" si="171"/>
        <v>Mon</v>
      </c>
      <c r="Z772" s="16">
        <f t="shared" si="172"/>
        <v>6</v>
      </c>
      <c r="AA772" s="13">
        <f t="shared" si="173"/>
        <v>9.14</v>
      </c>
      <c r="AB772" s="14">
        <f t="shared" si="174"/>
        <v>0.5</v>
      </c>
      <c r="AC772" t="str">
        <f t="shared" si="175"/>
        <v>No Discount</v>
      </c>
      <c r="AD772" t="str">
        <f t="shared" si="176"/>
        <v>Low (&lt;$50)</v>
      </c>
      <c r="AE772" t="str">
        <f t="shared" si="177"/>
        <v>Small (1-2 units)</v>
      </c>
      <c r="AF772" t="str">
        <f t="shared" si="178"/>
        <v>Profitable</v>
      </c>
      <c r="AG772" t="str">
        <f t="shared" si="179"/>
        <v>High Margin</v>
      </c>
      <c r="AH772" t="str">
        <f t="shared" si="180"/>
        <v>Repeat Customer</v>
      </c>
      <c r="AI772" t="str">
        <f t="shared" si="181"/>
        <v>Slow (6+ days)</v>
      </c>
    </row>
    <row r="773" spans="1:35" ht="15" customHeight="1" x14ac:dyDescent="0.3">
      <c r="A773">
        <v>772</v>
      </c>
      <c r="B773" t="s">
        <v>2627</v>
      </c>
      <c r="C773" s="12">
        <v>42765</v>
      </c>
      <c r="D773" s="12">
        <v>42771</v>
      </c>
      <c r="E773" t="s">
        <v>233</v>
      </c>
      <c r="F773" t="s">
        <v>2628</v>
      </c>
      <c r="G773" t="s">
        <v>2629</v>
      </c>
      <c r="H773" t="s">
        <v>224</v>
      </c>
      <c r="I773" t="s">
        <v>210</v>
      </c>
      <c r="J773" t="s">
        <v>1564</v>
      </c>
      <c r="K773" t="s">
        <v>672</v>
      </c>
      <c r="L773">
        <v>50315</v>
      </c>
      <c r="M773" t="s">
        <v>288</v>
      </c>
      <c r="N773" t="s">
        <v>1390</v>
      </c>
      <c r="O773" t="s">
        <v>254</v>
      </c>
      <c r="P773" t="s">
        <v>255</v>
      </c>
      <c r="Q773" t="s">
        <v>1391</v>
      </c>
      <c r="R773" s="13">
        <v>207</v>
      </c>
      <c r="S773">
        <v>3</v>
      </c>
      <c r="T773" s="14">
        <v>0</v>
      </c>
      <c r="U773" s="13">
        <v>51.75</v>
      </c>
      <c r="V773">
        <f t="shared" si="168"/>
        <v>2017</v>
      </c>
      <c r="W773" t="str">
        <f t="shared" si="169"/>
        <v>Jan</v>
      </c>
      <c r="X773" t="str">
        <f t="shared" si="170"/>
        <v>Q1</v>
      </c>
      <c r="Y773" t="str">
        <f t="shared" si="171"/>
        <v>Mon</v>
      </c>
      <c r="Z773" s="16">
        <f t="shared" si="172"/>
        <v>6</v>
      </c>
      <c r="AA773" s="13">
        <f t="shared" si="173"/>
        <v>69</v>
      </c>
      <c r="AB773" s="14">
        <f t="shared" si="174"/>
        <v>0.25</v>
      </c>
      <c r="AC773" t="str">
        <f t="shared" si="175"/>
        <v>No Discount</v>
      </c>
      <c r="AD773" t="str">
        <f t="shared" si="176"/>
        <v>High ($200-$500)</v>
      </c>
      <c r="AE773" t="str">
        <f t="shared" si="177"/>
        <v>Medium (3-5 units)</v>
      </c>
      <c r="AF773" t="str">
        <f t="shared" si="178"/>
        <v>Profitable</v>
      </c>
      <c r="AG773" t="str">
        <f t="shared" si="179"/>
        <v>High Margin</v>
      </c>
      <c r="AH773" t="str">
        <f t="shared" si="180"/>
        <v>Repeat Customer</v>
      </c>
      <c r="AI773" t="str">
        <f t="shared" si="181"/>
        <v>Slow (6+ days)</v>
      </c>
    </row>
    <row r="774" spans="1:35" ht="15" customHeight="1" x14ac:dyDescent="0.3">
      <c r="A774">
        <v>773</v>
      </c>
      <c r="B774" t="s">
        <v>2627</v>
      </c>
      <c r="C774" s="12">
        <v>42765</v>
      </c>
      <c r="D774" s="12">
        <v>42771</v>
      </c>
      <c r="E774" t="s">
        <v>233</v>
      </c>
      <c r="F774" t="s">
        <v>2628</v>
      </c>
      <c r="G774" t="s">
        <v>2629</v>
      </c>
      <c r="H774" t="s">
        <v>224</v>
      </c>
      <c r="I774" t="s">
        <v>210</v>
      </c>
      <c r="J774" t="s">
        <v>1564</v>
      </c>
      <c r="K774" t="s">
        <v>672</v>
      </c>
      <c r="L774">
        <v>50315</v>
      </c>
      <c r="M774" t="s">
        <v>288</v>
      </c>
      <c r="N774" t="s">
        <v>2632</v>
      </c>
      <c r="O774" t="s">
        <v>229</v>
      </c>
      <c r="P774" t="s">
        <v>258</v>
      </c>
      <c r="Q774" t="s">
        <v>2633</v>
      </c>
      <c r="R774" s="13">
        <v>32.35</v>
      </c>
      <c r="S774">
        <v>5</v>
      </c>
      <c r="T774" s="14">
        <v>0</v>
      </c>
      <c r="U774" s="13">
        <v>16.175000000000001</v>
      </c>
      <c r="V774">
        <f t="shared" si="168"/>
        <v>2017</v>
      </c>
      <c r="W774" t="str">
        <f t="shared" si="169"/>
        <v>Jan</v>
      </c>
      <c r="X774" t="str">
        <f t="shared" si="170"/>
        <v>Q1</v>
      </c>
      <c r="Y774" t="str">
        <f t="shared" si="171"/>
        <v>Mon</v>
      </c>
      <c r="Z774" s="16">
        <f t="shared" si="172"/>
        <v>6</v>
      </c>
      <c r="AA774" s="13">
        <f t="shared" si="173"/>
        <v>6.4700000000000006</v>
      </c>
      <c r="AB774" s="14">
        <f t="shared" si="174"/>
        <v>0.5</v>
      </c>
      <c r="AC774" t="str">
        <f t="shared" si="175"/>
        <v>No Discount</v>
      </c>
      <c r="AD774" t="str">
        <f t="shared" si="176"/>
        <v>Low (&lt;$50)</v>
      </c>
      <c r="AE774" t="str">
        <f t="shared" si="177"/>
        <v>Medium (3-5 units)</v>
      </c>
      <c r="AF774" t="str">
        <f t="shared" si="178"/>
        <v>Profitable</v>
      </c>
      <c r="AG774" t="str">
        <f t="shared" si="179"/>
        <v>High Margin</v>
      </c>
      <c r="AH774" t="str">
        <f t="shared" si="180"/>
        <v>Repeat Customer</v>
      </c>
      <c r="AI774" t="str">
        <f t="shared" si="181"/>
        <v>Slow (6+ days)</v>
      </c>
    </row>
    <row r="775" spans="1:35" ht="15" customHeight="1" x14ac:dyDescent="0.3">
      <c r="A775">
        <v>774</v>
      </c>
      <c r="B775" t="s">
        <v>2627</v>
      </c>
      <c r="C775" s="12">
        <v>42765</v>
      </c>
      <c r="D775" s="12">
        <v>42771</v>
      </c>
      <c r="E775" t="s">
        <v>233</v>
      </c>
      <c r="F775" t="s">
        <v>2628</v>
      </c>
      <c r="G775" t="s">
        <v>2629</v>
      </c>
      <c r="H775" t="s">
        <v>224</v>
      </c>
      <c r="I775" t="s">
        <v>210</v>
      </c>
      <c r="J775" t="s">
        <v>1564</v>
      </c>
      <c r="K775" t="s">
        <v>672</v>
      </c>
      <c r="L775">
        <v>50315</v>
      </c>
      <c r="M775" t="s">
        <v>288</v>
      </c>
      <c r="N775" t="s">
        <v>257</v>
      </c>
      <c r="O775" t="s">
        <v>229</v>
      </c>
      <c r="P775" t="s">
        <v>258</v>
      </c>
      <c r="Q775" t="s">
        <v>259</v>
      </c>
      <c r="R775" s="13">
        <v>7.71</v>
      </c>
      <c r="S775">
        <v>1</v>
      </c>
      <c r="T775" s="14">
        <v>0</v>
      </c>
      <c r="U775" s="13">
        <v>3.4695</v>
      </c>
      <c r="V775">
        <f t="shared" si="168"/>
        <v>2017</v>
      </c>
      <c r="W775" t="str">
        <f t="shared" si="169"/>
        <v>Jan</v>
      </c>
      <c r="X775" t="str">
        <f t="shared" si="170"/>
        <v>Q1</v>
      </c>
      <c r="Y775" t="str">
        <f t="shared" si="171"/>
        <v>Mon</v>
      </c>
      <c r="Z775" s="16">
        <f t="shared" si="172"/>
        <v>6</v>
      </c>
      <c r="AA775" s="13">
        <f t="shared" si="173"/>
        <v>7.71</v>
      </c>
      <c r="AB775" s="14">
        <f t="shared" si="174"/>
        <v>0.45</v>
      </c>
      <c r="AC775" t="str">
        <f t="shared" si="175"/>
        <v>No Discount</v>
      </c>
      <c r="AD775" t="str">
        <f t="shared" si="176"/>
        <v>Low (&lt;$50)</v>
      </c>
      <c r="AE775" t="str">
        <f t="shared" si="177"/>
        <v>Small (1-2 units)</v>
      </c>
      <c r="AF775" t="str">
        <f t="shared" si="178"/>
        <v>Profitable</v>
      </c>
      <c r="AG775" t="str">
        <f t="shared" si="179"/>
        <v>High Margin</v>
      </c>
      <c r="AH775" t="str">
        <f t="shared" si="180"/>
        <v>Repeat Customer</v>
      </c>
      <c r="AI775" t="str">
        <f t="shared" si="181"/>
        <v>Slow (6+ days)</v>
      </c>
    </row>
    <row r="776" spans="1:35" ht="15" customHeight="1" x14ac:dyDescent="0.3">
      <c r="A776">
        <v>775</v>
      </c>
      <c r="B776" t="s">
        <v>2627</v>
      </c>
      <c r="C776" s="12">
        <v>42765</v>
      </c>
      <c r="D776" s="12">
        <v>42771</v>
      </c>
      <c r="E776" t="s">
        <v>233</v>
      </c>
      <c r="F776" t="s">
        <v>2628</v>
      </c>
      <c r="G776" t="s">
        <v>2629</v>
      </c>
      <c r="H776" t="s">
        <v>224</v>
      </c>
      <c r="I776" t="s">
        <v>210</v>
      </c>
      <c r="J776" t="s">
        <v>1564</v>
      </c>
      <c r="K776" t="s">
        <v>672</v>
      </c>
      <c r="L776">
        <v>50315</v>
      </c>
      <c r="M776" t="s">
        <v>288</v>
      </c>
      <c r="N776" t="s">
        <v>2634</v>
      </c>
      <c r="O776" t="s">
        <v>229</v>
      </c>
      <c r="P776" t="s">
        <v>251</v>
      </c>
      <c r="Q776" t="s">
        <v>2635</v>
      </c>
      <c r="R776" s="13">
        <v>40.299999999999997</v>
      </c>
      <c r="S776">
        <v>2</v>
      </c>
      <c r="T776" s="14">
        <v>0</v>
      </c>
      <c r="U776" s="13">
        <v>10.881</v>
      </c>
      <c r="V776">
        <f t="shared" si="168"/>
        <v>2017</v>
      </c>
      <c r="W776" t="str">
        <f t="shared" si="169"/>
        <v>Jan</v>
      </c>
      <c r="X776" t="str">
        <f t="shared" si="170"/>
        <v>Q1</v>
      </c>
      <c r="Y776" t="str">
        <f t="shared" si="171"/>
        <v>Mon</v>
      </c>
      <c r="Z776" s="16">
        <f t="shared" si="172"/>
        <v>6</v>
      </c>
      <c r="AA776" s="13">
        <f t="shared" si="173"/>
        <v>20.149999999999999</v>
      </c>
      <c r="AB776" s="14">
        <f t="shared" si="174"/>
        <v>0.27</v>
      </c>
      <c r="AC776" t="str">
        <f t="shared" si="175"/>
        <v>No Discount</v>
      </c>
      <c r="AD776" t="str">
        <f t="shared" si="176"/>
        <v>Low (&lt;$50)</v>
      </c>
      <c r="AE776" t="str">
        <f t="shared" si="177"/>
        <v>Small (1-2 units)</v>
      </c>
      <c r="AF776" t="str">
        <f t="shared" si="178"/>
        <v>Profitable</v>
      </c>
      <c r="AG776" t="str">
        <f t="shared" si="179"/>
        <v>High Margin</v>
      </c>
      <c r="AH776" t="str">
        <f t="shared" si="180"/>
        <v>Repeat Customer</v>
      </c>
      <c r="AI776" t="str">
        <f t="shared" si="181"/>
        <v>Slow (6+ days)</v>
      </c>
    </row>
    <row r="777" spans="1:35" ht="15" customHeight="1" x14ac:dyDescent="0.3">
      <c r="A777">
        <v>776</v>
      </c>
      <c r="B777" t="s">
        <v>2627</v>
      </c>
      <c r="C777" s="12">
        <v>42765</v>
      </c>
      <c r="D777" s="12">
        <v>42771</v>
      </c>
      <c r="E777" t="s">
        <v>233</v>
      </c>
      <c r="F777" t="s">
        <v>2628</v>
      </c>
      <c r="G777" t="s">
        <v>2629</v>
      </c>
      <c r="H777" t="s">
        <v>224</v>
      </c>
      <c r="I777" t="s">
        <v>210</v>
      </c>
      <c r="J777" t="s">
        <v>1564</v>
      </c>
      <c r="K777" t="s">
        <v>672</v>
      </c>
      <c r="L777">
        <v>50315</v>
      </c>
      <c r="M777" t="s">
        <v>288</v>
      </c>
      <c r="N777" t="s">
        <v>2636</v>
      </c>
      <c r="O777" t="s">
        <v>215</v>
      </c>
      <c r="P777" t="s">
        <v>248</v>
      </c>
      <c r="Q777" t="s">
        <v>2637</v>
      </c>
      <c r="R777" s="13">
        <v>34.58</v>
      </c>
      <c r="S777">
        <v>7</v>
      </c>
      <c r="T777" s="14">
        <v>0</v>
      </c>
      <c r="U777" s="13">
        <v>14.5236</v>
      </c>
      <c r="V777">
        <f t="shared" si="168"/>
        <v>2017</v>
      </c>
      <c r="W777" t="str">
        <f t="shared" si="169"/>
        <v>Jan</v>
      </c>
      <c r="X777" t="str">
        <f t="shared" si="170"/>
        <v>Q1</v>
      </c>
      <c r="Y777" t="str">
        <f t="shared" si="171"/>
        <v>Mon</v>
      </c>
      <c r="Z777" s="16">
        <f t="shared" si="172"/>
        <v>6</v>
      </c>
      <c r="AA777" s="13">
        <f t="shared" si="173"/>
        <v>4.9399999999999995</v>
      </c>
      <c r="AB777" s="14">
        <f t="shared" si="174"/>
        <v>0.42000000000000004</v>
      </c>
      <c r="AC777" t="str">
        <f t="shared" si="175"/>
        <v>No Discount</v>
      </c>
      <c r="AD777" t="str">
        <f t="shared" si="176"/>
        <v>Low (&lt;$50)</v>
      </c>
      <c r="AE777" t="str">
        <f t="shared" si="177"/>
        <v>Large (6+ units)</v>
      </c>
      <c r="AF777" t="str">
        <f t="shared" si="178"/>
        <v>Profitable</v>
      </c>
      <c r="AG777" t="str">
        <f t="shared" si="179"/>
        <v>High Margin</v>
      </c>
      <c r="AH777" t="str">
        <f t="shared" si="180"/>
        <v>Repeat Customer</v>
      </c>
      <c r="AI777" t="str">
        <f t="shared" si="181"/>
        <v>Slow (6+ days)</v>
      </c>
    </row>
    <row r="778" spans="1:35" ht="15" customHeight="1" x14ac:dyDescent="0.3">
      <c r="A778">
        <v>777</v>
      </c>
      <c r="B778" t="s">
        <v>2638</v>
      </c>
      <c r="C778" s="12">
        <v>41819</v>
      </c>
      <c r="D778" s="12">
        <v>41826</v>
      </c>
      <c r="E778" t="s">
        <v>233</v>
      </c>
      <c r="F778" t="s">
        <v>2639</v>
      </c>
      <c r="G778" t="s">
        <v>2640</v>
      </c>
      <c r="H778" t="s">
        <v>209</v>
      </c>
      <c r="I778" t="s">
        <v>210</v>
      </c>
      <c r="J778" t="s">
        <v>1193</v>
      </c>
      <c r="K778" t="s">
        <v>681</v>
      </c>
      <c r="L778">
        <v>45231</v>
      </c>
      <c r="M778" t="s">
        <v>331</v>
      </c>
      <c r="N778" t="s">
        <v>2641</v>
      </c>
      <c r="O778" t="s">
        <v>229</v>
      </c>
      <c r="P778" t="s">
        <v>251</v>
      </c>
      <c r="Q778" t="s">
        <v>2642</v>
      </c>
      <c r="R778" s="13">
        <v>32.76</v>
      </c>
      <c r="S778">
        <v>7</v>
      </c>
      <c r="T778" s="14">
        <v>0.2</v>
      </c>
      <c r="U778" s="13">
        <v>3.6855000000000002</v>
      </c>
      <c r="V778">
        <f t="shared" si="168"/>
        <v>2014</v>
      </c>
      <c r="W778" t="str">
        <f t="shared" si="169"/>
        <v>Jun</v>
      </c>
      <c r="X778" t="str">
        <f t="shared" si="170"/>
        <v>Q2</v>
      </c>
      <c r="Y778" t="str">
        <f t="shared" si="171"/>
        <v>Sun</v>
      </c>
      <c r="Z778" s="16">
        <f t="shared" si="172"/>
        <v>7</v>
      </c>
      <c r="AA778" s="13">
        <f t="shared" si="173"/>
        <v>4.68</v>
      </c>
      <c r="AB778" s="14">
        <f t="shared" si="174"/>
        <v>0.11250000000000002</v>
      </c>
      <c r="AC778" t="str">
        <f t="shared" si="175"/>
        <v>Low (1-20%)</v>
      </c>
      <c r="AD778" t="str">
        <f t="shared" si="176"/>
        <v>Low (&lt;$50)</v>
      </c>
      <c r="AE778" t="str">
        <f t="shared" si="177"/>
        <v>Large (6+ units)</v>
      </c>
      <c r="AF778" t="str">
        <f t="shared" si="178"/>
        <v>Profitable</v>
      </c>
      <c r="AG778" t="str">
        <f t="shared" si="179"/>
        <v>Healthy Margin</v>
      </c>
      <c r="AH778" t="str">
        <f t="shared" si="180"/>
        <v>Single Purchase</v>
      </c>
      <c r="AI778" t="str">
        <f t="shared" si="181"/>
        <v>Slow (6+ days)</v>
      </c>
    </row>
    <row r="779" spans="1:35" ht="15" customHeight="1" x14ac:dyDescent="0.3">
      <c r="A779">
        <v>778</v>
      </c>
      <c r="B779" t="s">
        <v>2643</v>
      </c>
      <c r="C779" s="12">
        <v>42237</v>
      </c>
      <c r="D779" s="12">
        <v>42239</v>
      </c>
      <c r="E779" t="s">
        <v>371</v>
      </c>
      <c r="F779" t="s">
        <v>1254</v>
      </c>
      <c r="G779" t="s">
        <v>1255</v>
      </c>
      <c r="H779" t="s">
        <v>285</v>
      </c>
      <c r="I779" t="s">
        <v>210</v>
      </c>
      <c r="J779" t="s">
        <v>310</v>
      </c>
      <c r="K779" t="s">
        <v>226</v>
      </c>
      <c r="L779">
        <v>94110</v>
      </c>
      <c r="M779" t="s">
        <v>227</v>
      </c>
      <c r="N779" t="s">
        <v>2644</v>
      </c>
      <c r="O779" t="s">
        <v>215</v>
      </c>
      <c r="P779" t="s">
        <v>219</v>
      </c>
      <c r="Q779" t="s">
        <v>2645</v>
      </c>
      <c r="R779" s="13">
        <v>544.00800000000004</v>
      </c>
      <c r="S779">
        <v>3</v>
      </c>
      <c r="T779" s="14">
        <v>0.2</v>
      </c>
      <c r="U779" s="13">
        <v>40.800600000000003</v>
      </c>
      <c r="V779">
        <f t="shared" si="168"/>
        <v>2015</v>
      </c>
      <c r="W779" t="str">
        <f t="shared" si="169"/>
        <v>Aug</v>
      </c>
      <c r="X779" t="str">
        <f t="shared" si="170"/>
        <v>Q3</v>
      </c>
      <c r="Y779" t="str">
        <f t="shared" si="171"/>
        <v>Fri</v>
      </c>
      <c r="Z779" s="16">
        <f t="shared" si="172"/>
        <v>2</v>
      </c>
      <c r="AA779" s="13">
        <f t="shared" si="173"/>
        <v>181.33600000000001</v>
      </c>
      <c r="AB779" s="14">
        <f t="shared" si="174"/>
        <v>7.4999999999999997E-2</v>
      </c>
      <c r="AC779" t="str">
        <f t="shared" si="175"/>
        <v>Low (1-20%)</v>
      </c>
      <c r="AD779" t="str">
        <f t="shared" si="176"/>
        <v>Premium ($500+)</v>
      </c>
      <c r="AE779" t="str">
        <f t="shared" si="177"/>
        <v>Medium (3-5 units)</v>
      </c>
      <c r="AF779" t="str">
        <f t="shared" si="178"/>
        <v>Profitable</v>
      </c>
      <c r="AG779" t="str">
        <f t="shared" si="179"/>
        <v>Low Margin</v>
      </c>
      <c r="AH779" t="str">
        <f t="shared" si="180"/>
        <v>Repeat Customer</v>
      </c>
      <c r="AI779" t="str">
        <f t="shared" si="181"/>
        <v>Fast (&lt;=2 days)</v>
      </c>
    </row>
    <row r="780" spans="1:35" ht="15" customHeight="1" x14ac:dyDescent="0.3">
      <c r="A780">
        <v>779</v>
      </c>
      <c r="B780" t="s">
        <v>2643</v>
      </c>
      <c r="C780" s="12">
        <v>42237</v>
      </c>
      <c r="D780" s="12">
        <v>42239</v>
      </c>
      <c r="E780" t="s">
        <v>371</v>
      </c>
      <c r="F780" t="s">
        <v>1254</v>
      </c>
      <c r="G780" t="s">
        <v>1255</v>
      </c>
      <c r="H780" t="s">
        <v>285</v>
      </c>
      <c r="I780" t="s">
        <v>210</v>
      </c>
      <c r="J780" t="s">
        <v>310</v>
      </c>
      <c r="K780" t="s">
        <v>226</v>
      </c>
      <c r="L780">
        <v>94110</v>
      </c>
      <c r="M780" t="s">
        <v>227</v>
      </c>
      <c r="N780" t="s">
        <v>1638</v>
      </c>
      <c r="O780" t="s">
        <v>229</v>
      </c>
      <c r="P780" t="s">
        <v>273</v>
      </c>
      <c r="Q780" t="s">
        <v>1639</v>
      </c>
      <c r="R780" s="13">
        <v>59.94</v>
      </c>
      <c r="S780">
        <v>3</v>
      </c>
      <c r="T780" s="14">
        <v>0</v>
      </c>
      <c r="U780" s="13">
        <v>28.171800000000001</v>
      </c>
      <c r="V780">
        <f t="shared" si="168"/>
        <v>2015</v>
      </c>
      <c r="W780" t="str">
        <f t="shared" si="169"/>
        <v>Aug</v>
      </c>
      <c r="X780" t="str">
        <f t="shared" si="170"/>
        <v>Q3</v>
      </c>
      <c r="Y780" t="str">
        <f t="shared" si="171"/>
        <v>Fri</v>
      </c>
      <c r="Z780" s="16">
        <f t="shared" si="172"/>
        <v>2</v>
      </c>
      <c r="AA780" s="13">
        <f t="shared" si="173"/>
        <v>19.98</v>
      </c>
      <c r="AB780" s="14">
        <f t="shared" si="174"/>
        <v>0.47000000000000003</v>
      </c>
      <c r="AC780" t="str">
        <f t="shared" si="175"/>
        <v>No Discount</v>
      </c>
      <c r="AD780" t="str">
        <f t="shared" si="176"/>
        <v>Medium ($50-$200)</v>
      </c>
      <c r="AE780" t="str">
        <f t="shared" si="177"/>
        <v>Medium (3-5 units)</v>
      </c>
      <c r="AF780" t="str">
        <f t="shared" si="178"/>
        <v>Profitable</v>
      </c>
      <c r="AG780" t="str">
        <f t="shared" si="179"/>
        <v>High Margin</v>
      </c>
      <c r="AH780" t="str">
        <f t="shared" si="180"/>
        <v>Repeat Customer</v>
      </c>
      <c r="AI780" t="str">
        <f t="shared" si="181"/>
        <v>Fast (&lt;=2 days)</v>
      </c>
    </row>
    <row r="781" spans="1:35" ht="15" customHeight="1" x14ac:dyDescent="0.3">
      <c r="A781">
        <v>780</v>
      </c>
      <c r="B781" t="s">
        <v>2643</v>
      </c>
      <c r="C781" s="12">
        <v>42237</v>
      </c>
      <c r="D781" s="12">
        <v>42239</v>
      </c>
      <c r="E781" t="s">
        <v>371</v>
      </c>
      <c r="F781" t="s">
        <v>1254</v>
      </c>
      <c r="G781" t="s">
        <v>1255</v>
      </c>
      <c r="H781" t="s">
        <v>285</v>
      </c>
      <c r="I781" t="s">
        <v>210</v>
      </c>
      <c r="J781" t="s">
        <v>310</v>
      </c>
      <c r="K781" t="s">
        <v>226</v>
      </c>
      <c r="L781">
        <v>94110</v>
      </c>
      <c r="M781" t="s">
        <v>227</v>
      </c>
      <c r="N781" t="s">
        <v>1607</v>
      </c>
      <c r="O781" t="s">
        <v>229</v>
      </c>
      <c r="P781" t="s">
        <v>273</v>
      </c>
      <c r="Q781" t="s">
        <v>1608</v>
      </c>
      <c r="R781" s="13">
        <v>23.92</v>
      </c>
      <c r="S781">
        <v>4</v>
      </c>
      <c r="T781" s="14">
        <v>0</v>
      </c>
      <c r="U781" s="13">
        <v>11.720800000000001</v>
      </c>
      <c r="V781">
        <f t="shared" si="168"/>
        <v>2015</v>
      </c>
      <c r="W781" t="str">
        <f t="shared" si="169"/>
        <v>Aug</v>
      </c>
      <c r="X781" t="str">
        <f t="shared" si="170"/>
        <v>Q3</v>
      </c>
      <c r="Y781" t="str">
        <f t="shared" si="171"/>
        <v>Fri</v>
      </c>
      <c r="Z781" s="16">
        <f t="shared" si="172"/>
        <v>2</v>
      </c>
      <c r="AA781" s="13">
        <f t="shared" si="173"/>
        <v>5.98</v>
      </c>
      <c r="AB781" s="14">
        <f t="shared" si="174"/>
        <v>0.49</v>
      </c>
      <c r="AC781" t="str">
        <f t="shared" si="175"/>
        <v>No Discount</v>
      </c>
      <c r="AD781" t="str">
        <f t="shared" si="176"/>
        <v>Low (&lt;$50)</v>
      </c>
      <c r="AE781" t="str">
        <f t="shared" si="177"/>
        <v>Medium (3-5 units)</v>
      </c>
      <c r="AF781" t="str">
        <f t="shared" si="178"/>
        <v>Profitable</v>
      </c>
      <c r="AG781" t="str">
        <f t="shared" si="179"/>
        <v>High Margin</v>
      </c>
      <c r="AH781" t="str">
        <f t="shared" si="180"/>
        <v>Repeat Customer</v>
      </c>
      <c r="AI781" t="str">
        <f t="shared" si="181"/>
        <v>Fast (&lt;=2 days)</v>
      </c>
    </row>
    <row r="782" spans="1:35" ht="15" customHeight="1" x14ac:dyDescent="0.3">
      <c r="A782">
        <v>781</v>
      </c>
      <c r="B782" t="s">
        <v>2643</v>
      </c>
      <c r="C782" s="12">
        <v>42237</v>
      </c>
      <c r="D782" s="12">
        <v>42239</v>
      </c>
      <c r="E782" t="s">
        <v>371</v>
      </c>
      <c r="F782" t="s">
        <v>1254</v>
      </c>
      <c r="G782" t="s">
        <v>1255</v>
      </c>
      <c r="H782" t="s">
        <v>285</v>
      </c>
      <c r="I782" t="s">
        <v>210</v>
      </c>
      <c r="J782" t="s">
        <v>310</v>
      </c>
      <c r="K782" t="s">
        <v>226</v>
      </c>
      <c r="L782">
        <v>94110</v>
      </c>
      <c r="M782" t="s">
        <v>227</v>
      </c>
      <c r="N782" t="s">
        <v>2646</v>
      </c>
      <c r="O782" t="s">
        <v>229</v>
      </c>
      <c r="P782" t="s">
        <v>273</v>
      </c>
      <c r="Q782" t="s">
        <v>2647</v>
      </c>
      <c r="R782" s="13">
        <v>4.28</v>
      </c>
      <c r="S782">
        <v>1</v>
      </c>
      <c r="T782" s="14">
        <v>0</v>
      </c>
      <c r="U782" s="13">
        <v>1.9259999999999999</v>
      </c>
      <c r="V782">
        <f t="shared" si="168"/>
        <v>2015</v>
      </c>
      <c r="W782" t="str">
        <f t="shared" si="169"/>
        <v>Aug</v>
      </c>
      <c r="X782" t="str">
        <f t="shared" si="170"/>
        <v>Q3</v>
      </c>
      <c r="Y782" t="str">
        <f t="shared" si="171"/>
        <v>Fri</v>
      </c>
      <c r="Z782" s="16">
        <f t="shared" si="172"/>
        <v>2</v>
      </c>
      <c r="AA782" s="13">
        <f t="shared" si="173"/>
        <v>4.28</v>
      </c>
      <c r="AB782" s="14">
        <f t="shared" si="174"/>
        <v>0.44999999999999996</v>
      </c>
      <c r="AC782" t="str">
        <f t="shared" si="175"/>
        <v>No Discount</v>
      </c>
      <c r="AD782" t="str">
        <f t="shared" si="176"/>
        <v>Low (&lt;$50)</v>
      </c>
      <c r="AE782" t="str">
        <f t="shared" si="177"/>
        <v>Small (1-2 units)</v>
      </c>
      <c r="AF782" t="str">
        <f t="shared" si="178"/>
        <v>Profitable</v>
      </c>
      <c r="AG782" t="str">
        <f t="shared" si="179"/>
        <v>High Margin</v>
      </c>
      <c r="AH782" t="str">
        <f t="shared" si="180"/>
        <v>Repeat Customer</v>
      </c>
      <c r="AI782" t="str">
        <f t="shared" si="181"/>
        <v>Fast (&lt;=2 days)</v>
      </c>
    </row>
    <row r="783" spans="1:35" ht="15" customHeight="1" x14ac:dyDescent="0.3">
      <c r="A783">
        <v>782</v>
      </c>
      <c r="B783" t="s">
        <v>2648</v>
      </c>
      <c r="C783" s="12">
        <v>42280</v>
      </c>
      <c r="D783" s="12">
        <v>42283</v>
      </c>
      <c r="E783" t="s">
        <v>206</v>
      </c>
      <c r="F783" t="s">
        <v>2649</v>
      </c>
      <c r="G783" t="s">
        <v>2650</v>
      </c>
      <c r="H783" t="s">
        <v>209</v>
      </c>
      <c r="I783" t="s">
        <v>210</v>
      </c>
      <c r="J783" t="s">
        <v>680</v>
      </c>
      <c r="K783" t="s">
        <v>681</v>
      </c>
      <c r="L783">
        <v>43229</v>
      </c>
      <c r="M783" t="s">
        <v>331</v>
      </c>
      <c r="N783" t="s">
        <v>1784</v>
      </c>
      <c r="O783" t="s">
        <v>229</v>
      </c>
      <c r="P783" t="s">
        <v>258</v>
      </c>
      <c r="Q783" t="s">
        <v>1785</v>
      </c>
      <c r="R783" s="13">
        <v>32.07</v>
      </c>
      <c r="S783">
        <v>5</v>
      </c>
      <c r="T783" s="14">
        <v>0.7</v>
      </c>
      <c r="U783" s="13">
        <v>-22.449000000000002</v>
      </c>
      <c r="V783">
        <f t="shared" si="168"/>
        <v>2015</v>
      </c>
      <c r="W783" t="str">
        <f t="shared" si="169"/>
        <v>Oct</v>
      </c>
      <c r="X783" t="str">
        <f t="shared" si="170"/>
        <v>Q4</v>
      </c>
      <c r="Y783" t="str">
        <f t="shared" si="171"/>
        <v>Sat</v>
      </c>
      <c r="Z783" s="16">
        <f t="shared" si="172"/>
        <v>3</v>
      </c>
      <c r="AA783" s="13">
        <f t="shared" si="173"/>
        <v>6.4139999999999997</v>
      </c>
      <c r="AB783" s="14">
        <f t="shared" si="174"/>
        <v>-0.70000000000000007</v>
      </c>
      <c r="AC783" t="str">
        <f t="shared" si="175"/>
        <v>High (40%+)</v>
      </c>
      <c r="AD783" t="str">
        <f t="shared" si="176"/>
        <v>Low (&lt;$50)</v>
      </c>
      <c r="AE783" t="str">
        <f t="shared" si="177"/>
        <v>Medium (3-5 units)</v>
      </c>
      <c r="AF783" t="str">
        <f t="shared" si="178"/>
        <v>Loss-Making</v>
      </c>
      <c r="AG783" t="str">
        <f t="shared" si="179"/>
        <v>Underperforming</v>
      </c>
      <c r="AH783" t="str">
        <f t="shared" si="180"/>
        <v>Repeat Customer</v>
      </c>
      <c r="AI783" t="str">
        <f t="shared" si="181"/>
        <v>Standard (3-5 days)</v>
      </c>
    </row>
    <row r="784" spans="1:35" ht="15" customHeight="1" x14ac:dyDescent="0.3">
      <c r="A784">
        <v>783</v>
      </c>
      <c r="B784" t="s">
        <v>2648</v>
      </c>
      <c r="C784" s="12">
        <v>42280</v>
      </c>
      <c r="D784" s="12">
        <v>42283</v>
      </c>
      <c r="E784" t="s">
        <v>206</v>
      </c>
      <c r="F784" t="s">
        <v>2649</v>
      </c>
      <c r="G784" t="s">
        <v>2650</v>
      </c>
      <c r="H784" t="s">
        <v>209</v>
      </c>
      <c r="I784" t="s">
        <v>210</v>
      </c>
      <c r="J784" t="s">
        <v>680</v>
      </c>
      <c r="K784" t="s">
        <v>681</v>
      </c>
      <c r="L784">
        <v>43229</v>
      </c>
      <c r="M784" t="s">
        <v>331</v>
      </c>
      <c r="N784" t="s">
        <v>429</v>
      </c>
      <c r="O784" t="s">
        <v>254</v>
      </c>
      <c r="P784" t="s">
        <v>344</v>
      </c>
      <c r="Q784" t="s">
        <v>430</v>
      </c>
      <c r="R784" s="13">
        <v>24</v>
      </c>
      <c r="S784">
        <v>2</v>
      </c>
      <c r="T784" s="14">
        <v>0.2</v>
      </c>
      <c r="U784" s="13">
        <v>-2.7</v>
      </c>
      <c r="V784">
        <f t="shared" si="168"/>
        <v>2015</v>
      </c>
      <c r="W784" t="str">
        <f t="shared" si="169"/>
        <v>Oct</v>
      </c>
      <c r="X784" t="str">
        <f t="shared" si="170"/>
        <v>Q4</v>
      </c>
      <c r="Y784" t="str">
        <f t="shared" si="171"/>
        <v>Sat</v>
      </c>
      <c r="Z784" s="16">
        <f t="shared" si="172"/>
        <v>3</v>
      </c>
      <c r="AA784" s="13">
        <f t="shared" si="173"/>
        <v>12</v>
      </c>
      <c r="AB784" s="14">
        <f t="shared" si="174"/>
        <v>-0.1125</v>
      </c>
      <c r="AC784" t="str">
        <f t="shared" si="175"/>
        <v>Low (1-20%)</v>
      </c>
      <c r="AD784" t="str">
        <f t="shared" si="176"/>
        <v>Low (&lt;$50)</v>
      </c>
      <c r="AE784" t="str">
        <f t="shared" si="177"/>
        <v>Small (1-2 units)</v>
      </c>
      <c r="AF784" t="str">
        <f t="shared" si="178"/>
        <v>Loss-Making</v>
      </c>
      <c r="AG784" t="str">
        <f t="shared" si="179"/>
        <v>Underperforming</v>
      </c>
      <c r="AH784" t="str">
        <f t="shared" si="180"/>
        <v>Repeat Customer</v>
      </c>
      <c r="AI784" t="str">
        <f t="shared" si="181"/>
        <v>Standard (3-5 days)</v>
      </c>
    </row>
    <row r="785" spans="1:35" ht="15" customHeight="1" x14ac:dyDescent="0.3">
      <c r="A785">
        <v>784</v>
      </c>
      <c r="B785" t="s">
        <v>2648</v>
      </c>
      <c r="C785" s="12">
        <v>42280</v>
      </c>
      <c r="D785" s="12">
        <v>42283</v>
      </c>
      <c r="E785" t="s">
        <v>206</v>
      </c>
      <c r="F785" t="s">
        <v>2649</v>
      </c>
      <c r="G785" t="s">
        <v>2650</v>
      </c>
      <c r="H785" t="s">
        <v>209</v>
      </c>
      <c r="I785" t="s">
        <v>210</v>
      </c>
      <c r="J785" t="s">
        <v>680</v>
      </c>
      <c r="K785" t="s">
        <v>681</v>
      </c>
      <c r="L785">
        <v>43229</v>
      </c>
      <c r="M785" t="s">
        <v>331</v>
      </c>
      <c r="N785" t="s">
        <v>2651</v>
      </c>
      <c r="O785" t="s">
        <v>215</v>
      </c>
      <c r="P785" t="s">
        <v>216</v>
      </c>
      <c r="Q785" t="s">
        <v>2652</v>
      </c>
      <c r="R785" s="13">
        <v>35.49</v>
      </c>
      <c r="S785">
        <v>1</v>
      </c>
      <c r="T785" s="14">
        <v>0.5</v>
      </c>
      <c r="U785" s="13">
        <v>-15.615600000000001</v>
      </c>
      <c r="V785">
        <f t="shared" si="168"/>
        <v>2015</v>
      </c>
      <c r="W785" t="str">
        <f t="shared" si="169"/>
        <v>Oct</v>
      </c>
      <c r="X785" t="str">
        <f t="shared" si="170"/>
        <v>Q4</v>
      </c>
      <c r="Y785" t="str">
        <f t="shared" si="171"/>
        <v>Sat</v>
      </c>
      <c r="Z785" s="16">
        <f t="shared" si="172"/>
        <v>3</v>
      </c>
      <c r="AA785" s="13">
        <f t="shared" si="173"/>
        <v>35.49</v>
      </c>
      <c r="AB785" s="14">
        <f t="shared" si="174"/>
        <v>-0.44</v>
      </c>
      <c r="AC785" t="str">
        <f t="shared" si="175"/>
        <v>High (40%+)</v>
      </c>
      <c r="AD785" t="str">
        <f t="shared" si="176"/>
        <v>Low (&lt;$50)</v>
      </c>
      <c r="AE785" t="str">
        <f t="shared" si="177"/>
        <v>Small (1-2 units)</v>
      </c>
      <c r="AF785" t="str">
        <f t="shared" si="178"/>
        <v>Loss-Making</v>
      </c>
      <c r="AG785" t="str">
        <f t="shared" si="179"/>
        <v>Underperforming</v>
      </c>
      <c r="AH785" t="str">
        <f t="shared" si="180"/>
        <v>Repeat Customer</v>
      </c>
      <c r="AI785" t="str">
        <f t="shared" si="181"/>
        <v>Standard (3-5 days)</v>
      </c>
    </row>
    <row r="786" spans="1:35" ht="15" customHeight="1" x14ac:dyDescent="0.3">
      <c r="A786">
        <v>785</v>
      </c>
      <c r="B786" t="s">
        <v>2648</v>
      </c>
      <c r="C786" s="12">
        <v>42280</v>
      </c>
      <c r="D786" s="12">
        <v>42283</v>
      </c>
      <c r="E786" t="s">
        <v>206</v>
      </c>
      <c r="F786" t="s">
        <v>2649</v>
      </c>
      <c r="G786" t="s">
        <v>2650</v>
      </c>
      <c r="H786" t="s">
        <v>209</v>
      </c>
      <c r="I786" t="s">
        <v>210</v>
      </c>
      <c r="J786" t="s">
        <v>680</v>
      </c>
      <c r="K786" t="s">
        <v>681</v>
      </c>
      <c r="L786">
        <v>43229</v>
      </c>
      <c r="M786" t="s">
        <v>331</v>
      </c>
      <c r="N786" t="s">
        <v>2653</v>
      </c>
      <c r="O786" t="s">
        <v>254</v>
      </c>
      <c r="P786" t="s">
        <v>344</v>
      </c>
      <c r="Q786" t="s">
        <v>2654</v>
      </c>
      <c r="R786" s="13">
        <v>47.984000000000002</v>
      </c>
      <c r="S786">
        <v>2</v>
      </c>
      <c r="T786" s="14">
        <v>0.2</v>
      </c>
      <c r="U786" s="13">
        <v>0.599799999999997</v>
      </c>
      <c r="V786">
        <f t="shared" si="168"/>
        <v>2015</v>
      </c>
      <c r="W786" t="str">
        <f t="shared" si="169"/>
        <v>Oct</v>
      </c>
      <c r="X786" t="str">
        <f t="shared" si="170"/>
        <v>Q4</v>
      </c>
      <c r="Y786" t="str">
        <f t="shared" si="171"/>
        <v>Sat</v>
      </c>
      <c r="Z786" s="16">
        <f t="shared" si="172"/>
        <v>3</v>
      </c>
      <c r="AA786" s="13">
        <f t="shared" si="173"/>
        <v>23.992000000000001</v>
      </c>
      <c r="AB786" s="14">
        <f t="shared" si="174"/>
        <v>1.2499999999999937E-2</v>
      </c>
      <c r="AC786" t="str">
        <f t="shared" si="175"/>
        <v>Low (1-20%)</v>
      </c>
      <c r="AD786" t="str">
        <f t="shared" si="176"/>
        <v>Low (&lt;$50)</v>
      </c>
      <c r="AE786" t="str">
        <f t="shared" si="177"/>
        <v>Small (1-2 units)</v>
      </c>
      <c r="AF786" t="str">
        <f t="shared" si="178"/>
        <v>Profitable</v>
      </c>
      <c r="AG786" t="str">
        <f t="shared" si="179"/>
        <v>Low Margin</v>
      </c>
      <c r="AH786" t="str">
        <f t="shared" si="180"/>
        <v>Repeat Customer</v>
      </c>
      <c r="AI786" t="str">
        <f t="shared" si="181"/>
        <v>Standard (3-5 days)</v>
      </c>
    </row>
    <row r="787" spans="1:35" ht="15" customHeight="1" x14ac:dyDescent="0.3">
      <c r="A787">
        <v>786</v>
      </c>
      <c r="B787" t="s">
        <v>2655</v>
      </c>
      <c r="C787" s="12">
        <v>42147</v>
      </c>
      <c r="D787" s="12">
        <v>42152</v>
      </c>
      <c r="E787" t="s">
        <v>233</v>
      </c>
      <c r="F787" t="s">
        <v>1080</v>
      </c>
      <c r="G787" t="s">
        <v>1081</v>
      </c>
      <c r="H787" t="s">
        <v>224</v>
      </c>
      <c r="I787" t="s">
        <v>210</v>
      </c>
      <c r="J787" t="s">
        <v>565</v>
      </c>
      <c r="K787" t="s">
        <v>566</v>
      </c>
      <c r="L787">
        <v>29203</v>
      </c>
      <c r="M787" t="s">
        <v>213</v>
      </c>
      <c r="N787" t="s">
        <v>2656</v>
      </c>
      <c r="O787" t="s">
        <v>229</v>
      </c>
      <c r="P787" t="s">
        <v>356</v>
      </c>
      <c r="Q787" t="s">
        <v>2657</v>
      </c>
      <c r="R787" s="13">
        <v>186.69</v>
      </c>
      <c r="S787">
        <v>3</v>
      </c>
      <c r="T787" s="14">
        <v>0</v>
      </c>
      <c r="U787" s="13">
        <v>87.744299999999996</v>
      </c>
      <c r="V787">
        <f t="shared" si="168"/>
        <v>2015</v>
      </c>
      <c r="W787" t="str">
        <f t="shared" si="169"/>
        <v>May</v>
      </c>
      <c r="X787" t="str">
        <f t="shared" si="170"/>
        <v>Q2</v>
      </c>
      <c r="Y787" t="str">
        <f t="shared" si="171"/>
        <v>Sat</v>
      </c>
      <c r="Z787" s="16">
        <f t="shared" si="172"/>
        <v>5</v>
      </c>
      <c r="AA787" s="13">
        <f t="shared" si="173"/>
        <v>62.23</v>
      </c>
      <c r="AB787" s="14">
        <f t="shared" si="174"/>
        <v>0.47</v>
      </c>
      <c r="AC787" t="str">
        <f t="shared" si="175"/>
        <v>No Discount</v>
      </c>
      <c r="AD787" t="str">
        <f t="shared" si="176"/>
        <v>Medium ($50-$200)</v>
      </c>
      <c r="AE787" t="str">
        <f t="shared" si="177"/>
        <v>Medium (3-5 units)</v>
      </c>
      <c r="AF787" t="str">
        <f t="shared" si="178"/>
        <v>Profitable</v>
      </c>
      <c r="AG787" t="str">
        <f t="shared" si="179"/>
        <v>High Margin</v>
      </c>
      <c r="AH787" t="str">
        <f t="shared" si="180"/>
        <v>Repeat Customer</v>
      </c>
      <c r="AI787" t="str">
        <f t="shared" si="181"/>
        <v>Standard (3-5 days)</v>
      </c>
    </row>
    <row r="788" spans="1:35" ht="15" customHeight="1" x14ac:dyDescent="0.3">
      <c r="A788">
        <v>787</v>
      </c>
      <c r="B788" t="s">
        <v>2658</v>
      </c>
      <c r="C788" s="12">
        <v>42811</v>
      </c>
      <c r="D788" s="12">
        <v>42815</v>
      </c>
      <c r="E788" t="s">
        <v>206</v>
      </c>
      <c r="F788" t="s">
        <v>669</v>
      </c>
      <c r="G788" t="s">
        <v>670</v>
      </c>
      <c r="H788" t="s">
        <v>209</v>
      </c>
      <c r="I788" t="s">
        <v>210</v>
      </c>
      <c r="J788" t="s">
        <v>2659</v>
      </c>
      <c r="K788" t="s">
        <v>226</v>
      </c>
      <c r="L788">
        <v>93534</v>
      </c>
      <c r="M788" t="s">
        <v>227</v>
      </c>
      <c r="N788" t="s">
        <v>2660</v>
      </c>
      <c r="O788" t="s">
        <v>229</v>
      </c>
      <c r="P788" t="s">
        <v>258</v>
      </c>
      <c r="Q788" t="s">
        <v>2661</v>
      </c>
      <c r="R788" s="13">
        <v>17.456</v>
      </c>
      <c r="S788">
        <v>2</v>
      </c>
      <c r="T788" s="14">
        <v>0.2</v>
      </c>
      <c r="U788" s="13">
        <v>5.8914</v>
      </c>
      <c r="V788">
        <f t="shared" si="168"/>
        <v>2017</v>
      </c>
      <c r="W788" t="str">
        <f t="shared" si="169"/>
        <v>Mar</v>
      </c>
      <c r="X788" t="str">
        <f t="shared" si="170"/>
        <v>Q1</v>
      </c>
      <c r="Y788" t="str">
        <f t="shared" si="171"/>
        <v>Fri</v>
      </c>
      <c r="Z788" s="16">
        <f t="shared" si="172"/>
        <v>4</v>
      </c>
      <c r="AA788" s="13">
        <f t="shared" si="173"/>
        <v>8.7279999999999998</v>
      </c>
      <c r="AB788" s="14">
        <f t="shared" si="174"/>
        <v>0.33750000000000002</v>
      </c>
      <c r="AC788" t="str">
        <f t="shared" si="175"/>
        <v>Low (1-20%)</v>
      </c>
      <c r="AD788" t="str">
        <f t="shared" si="176"/>
        <v>Low (&lt;$50)</v>
      </c>
      <c r="AE788" t="str">
        <f t="shared" si="177"/>
        <v>Small (1-2 units)</v>
      </c>
      <c r="AF788" t="str">
        <f t="shared" si="178"/>
        <v>Profitable</v>
      </c>
      <c r="AG788" t="str">
        <f t="shared" si="179"/>
        <v>High Margin</v>
      </c>
      <c r="AH788" t="str">
        <f t="shared" si="180"/>
        <v>Repeat Customer</v>
      </c>
      <c r="AI788" t="str">
        <f t="shared" si="181"/>
        <v>Standard (3-5 days)</v>
      </c>
    </row>
    <row r="789" spans="1:35" ht="15" customHeight="1" x14ac:dyDescent="0.3">
      <c r="A789">
        <v>788</v>
      </c>
      <c r="B789" t="s">
        <v>2662</v>
      </c>
      <c r="C789" s="12">
        <v>42350</v>
      </c>
      <c r="D789" s="12">
        <v>42354</v>
      </c>
      <c r="E789" t="s">
        <v>233</v>
      </c>
      <c r="F789" t="s">
        <v>2663</v>
      </c>
      <c r="G789" t="s">
        <v>2664</v>
      </c>
      <c r="H789" t="s">
        <v>209</v>
      </c>
      <c r="I789" t="s">
        <v>210</v>
      </c>
      <c r="J789" t="s">
        <v>2659</v>
      </c>
      <c r="K789" t="s">
        <v>226</v>
      </c>
      <c r="L789">
        <v>93534</v>
      </c>
      <c r="M789" t="s">
        <v>227</v>
      </c>
      <c r="N789" t="s">
        <v>2665</v>
      </c>
      <c r="O789" t="s">
        <v>215</v>
      </c>
      <c r="P789" t="s">
        <v>219</v>
      </c>
      <c r="Q789" t="s">
        <v>2666</v>
      </c>
      <c r="R789" s="13">
        <v>348.928</v>
      </c>
      <c r="S789">
        <v>2</v>
      </c>
      <c r="T789" s="14">
        <v>0.2</v>
      </c>
      <c r="U789" s="13">
        <v>34.892800000000001</v>
      </c>
      <c r="V789">
        <f t="shared" si="168"/>
        <v>2015</v>
      </c>
      <c r="W789" t="str">
        <f t="shared" si="169"/>
        <v>Dec</v>
      </c>
      <c r="X789" t="str">
        <f t="shared" si="170"/>
        <v>Q4</v>
      </c>
      <c r="Y789" t="str">
        <f t="shared" si="171"/>
        <v>Sat</v>
      </c>
      <c r="Z789" s="16">
        <f t="shared" si="172"/>
        <v>4</v>
      </c>
      <c r="AA789" s="13">
        <f t="shared" si="173"/>
        <v>174.464</v>
      </c>
      <c r="AB789" s="14">
        <f t="shared" si="174"/>
        <v>0.1</v>
      </c>
      <c r="AC789" t="str">
        <f t="shared" si="175"/>
        <v>Low (1-20%)</v>
      </c>
      <c r="AD789" t="str">
        <f t="shared" si="176"/>
        <v>High ($200-$500)</v>
      </c>
      <c r="AE789" t="str">
        <f t="shared" si="177"/>
        <v>Small (1-2 units)</v>
      </c>
      <c r="AF789" t="str">
        <f t="shared" si="178"/>
        <v>Profitable</v>
      </c>
      <c r="AG789" t="str">
        <f t="shared" si="179"/>
        <v>Healthy Margin</v>
      </c>
      <c r="AH789" t="str">
        <f t="shared" si="180"/>
        <v>Single Purchase</v>
      </c>
      <c r="AI789" t="str">
        <f t="shared" si="181"/>
        <v>Standard (3-5 days)</v>
      </c>
    </row>
    <row r="790" spans="1:35" ht="15" customHeight="1" x14ac:dyDescent="0.3">
      <c r="A790">
        <v>789</v>
      </c>
      <c r="B790" t="s">
        <v>2667</v>
      </c>
      <c r="C790" s="12">
        <v>42181</v>
      </c>
      <c r="D790" s="12">
        <v>42185</v>
      </c>
      <c r="E790" t="s">
        <v>233</v>
      </c>
      <c r="F790" t="s">
        <v>1862</v>
      </c>
      <c r="G790" t="s">
        <v>1863</v>
      </c>
      <c r="H790" t="s">
        <v>209</v>
      </c>
      <c r="I790" t="s">
        <v>210</v>
      </c>
      <c r="J790" t="s">
        <v>1652</v>
      </c>
      <c r="K790" t="s">
        <v>502</v>
      </c>
      <c r="L790">
        <v>23223</v>
      </c>
      <c r="M790" t="s">
        <v>213</v>
      </c>
      <c r="N790" t="s">
        <v>1682</v>
      </c>
      <c r="O790" t="s">
        <v>229</v>
      </c>
      <c r="P790" t="s">
        <v>258</v>
      </c>
      <c r="Q790" t="s">
        <v>1683</v>
      </c>
      <c r="R790" s="13">
        <v>143.96</v>
      </c>
      <c r="S790">
        <v>4</v>
      </c>
      <c r="T790" s="14">
        <v>0</v>
      </c>
      <c r="U790" s="13">
        <v>69.100800000000007</v>
      </c>
      <c r="V790">
        <f t="shared" si="168"/>
        <v>2015</v>
      </c>
      <c r="W790" t="str">
        <f t="shared" si="169"/>
        <v>Jun</v>
      </c>
      <c r="X790" t="str">
        <f t="shared" si="170"/>
        <v>Q2</v>
      </c>
      <c r="Y790" t="str">
        <f t="shared" si="171"/>
        <v>Fri</v>
      </c>
      <c r="Z790" s="16">
        <f t="shared" si="172"/>
        <v>4</v>
      </c>
      <c r="AA790" s="13">
        <f t="shared" si="173"/>
        <v>35.99</v>
      </c>
      <c r="AB790" s="14">
        <f t="shared" si="174"/>
        <v>0.48000000000000004</v>
      </c>
      <c r="AC790" t="str">
        <f t="shared" si="175"/>
        <v>No Discount</v>
      </c>
      <c r="AD790" t="str">
        <f t="shared" si="176"/>
        <v>Medium ($50-$200)</v>
      </c>
      <c r="AE790" t="str">
        <f t="shared" si="177"/>
        <v>Medium (3-5 units)</v>
      </c>
      <c r="AF790" t="str">
        <f t="shared" si="178"/>
        <v>Profitable</v>
      </c>
      <c r="AG790" t="str">
        <f t="shared" si="179"/>
        <v>High Margin</v>
      </c>
      <c r="AH790" t="str">
        <f t="shared" si="180"/>
        <v>Repeat Customer</v>
      </c>
      <c r="AI790" t="str">
        <f t="shared" si="181"/>
        <v>Standard (3-5 days)</v>
      </c>
    </row>
    <row r="791" spans="1:35" ht="15" customHeight="1" x14ac:dyDescent="0.3">
      <c r="A791">
        <v>790</v>
      </c>
      <c r="B791" t="s">
        <v>2667</v>
      </c>
      <c r="C791" s="12">
        <v>42181</v>
      </c>
      <c r="D791" s="12">
        <v>42185</v>
      </c>
      <c r="E791" t="s">
        <v>233</v>
      </c>
      <c r="F791" t="s">
        <v>1862</v>
      </c>
      <c r="G791" t="s">
        <v>1863</v>
      </c>
      <c r="H791" t="s">
        <v>209</v>
      </c>
      <c r="I791" t="s">
        <v>210</v>
      </c>
      <c r="J791" t="s">
        <v>1652</v>
      </c>
      <c r="K791" t="s">
        <v>502</v>
      </c>
      <c r="L791">
        <v>23223</v>
      </c>
      <c r="M791" t="s">
        <v>213</v>
      </c>
      <c r="N791" t="s">
        <v>1823</v>
      </c>
      <c r="O791" t="s">
        <v>229</v>
      </c>
      <c r="P791" t="s">
        <v>242</v>
      </c>
      <c r="Q791" t="s">
        <v>1824</v>
      </c>
      <c r="R791" s="13">
        <v>15.42</v>
      </c>
      <c r="S791">
        <v>1</v>
      </c>
      <c r="T791" s="14">
        <v>0</v>
      </c>
      <c r="U791" s="13">
        <v>4.1634000000000002</v>
      </c>
      <c r="V791">
        <f t="shared" si="168"/>
        <v>2015</v>
      </c>
      <c r="W791" t="str">
        <f t="shared" si="169"/>
        <v>Jun</v>
      </c>
      <c r="X791" t="str">
        <f t="shared" si="170"/>
        <v>Q2</v>
      </c>
      <c r="Y791" t="str">
        <f t="shared" si="171"/>
        <v>Fri</v>
      </c>
      <c r="Z791" s="16">
        <f t="shared" si="172"/>
        <v>4</v>
      </c>
      <c r="AA791" s="13">
        <f t="shared" si="173"/>
        <v>15.42</v>
      </c>
      <c r="AB791" s="14">
        <f t="shared" si="174"/>
        <v>0.27</v>
      </c>
      <c r="AC791" t="str">
        <f t="shared" si="175"/>
        <v>No Discount</v>
      </c>
      <c r="AD791" t="str">
        <f t="shared" si="176"/>
        <v>Low (&lt;$50)</v>
      </c>
      <c r="AE791" t="str">
        <f t="shared" si="177"/>
        <v>Small (1-2 units)</v>
      </c>
      <c r="AF791" t="str">
        <f t="shared" si="178"/>
        <v>Profitable</v>
      </c>
      <c r="AG791" t="str">
        <f t="shared" si="179"/>
        <v>High Margin</v>
      </c>
      <c r="AH791" t="str">
        <f t="shared" si="180"/>
        <v>Repeat Customer</v>
      </c>
      <c r="AI791" t="str">
        <f t="shared" si="181"/>
        <v>Standard (3-5 days)</v>
      </c>
    </row>
    <row r="792" spans="1:35" ht="15" customHeight="1" x14ac:dyDescent="0.3">
      <c r="A792">
        <v>791</v>
      </c>
      <c r="B792" t="s">
        <v>2667</v>
      </c>
      <c r="C792" s="12">
        <v>42181</v>
      </c>
      <c r="D792" s="12">
        <v>42185</v>
      </c>
      <c r="E792" t="s">
        <v>233</v>
      </c>
      <c r="F792" t="s">
        <v>1862</v>
      </c>
      <c r="G792" t="s">
        <v>1863</v>
      </c>
      <c r="H792" t="s">
        <v>209</v>
      </c>
      <c r="I792" t="s">
        <v>210</v>
      </c>
      <c r="J792" t="s">
        <v>1652</v>
      </c>
      <c r="K792" t="s">
        <v>502</v>
      </c>
      <c r="L792">
        <v>23223</v>
      </c>
      <c r="M792" t="s">
        <v>213</v>
      </c>
      <c r="N792" t="s">
        <v>2668</v>
      </c>
      <c r="O792" t="s">
        <v>229</v>
      </c>
      <c r="P792" t="s">
        <v>258</v>
      </c>
      <c r="Q792" t="s">
        <v>2669</v>
      </c>
      <c r="R792" s="13">
        <v>43.04</v>
      </c>
      <c r="S792">
        <v>8</v>
      </c>
      <c r="T792" s="14">
        <v>0</v>
      </c>
      <c r="U792" s="13">
        <v>21.089600000000001</v>
      </c>
      <c r="V792">
        <f t="shared" si="168"/>
        <v>2015</v>
      </c>
      <c r="W792" t="str">
        <f t="shared" si="169"/>
        <v>Jun</v>
      </c>
      <c r="X792" t="str">
        <f t="shared" si="170"/>
        <v>Q2</v>
      </c>
      <c r="Y792" t="str">
        <f t="shared" si="171"/>
        <v>Fri</v>
      </c>
      <c r="Z792" s="16">
        <f t="shared" si="172"/>
        <v>4</v>
      </c>
      <c r="AA792" s="13">
        <f t="shared" si="173"/>
        <v>5.38</v>
      </c>
      <c r="AB792" s="14">
        <f t="shared" si="174"/>
        <v>0.49000000000000005</v>
      </c>
      <c r="AC792" t="str">
        <f t="shared" si="175"/>
        <v>No Discount</v>
      </c>
      <c r="AD792" t="str">
        <f t="shared" si="176"/>
        <v>Low (&lt;$50)</v>
      </c>
      <c r="AE792" t="str">
        <f t="shared" si="177"/>
        <v>Large (6+ units)</v>
      </c>
      <c r="AF792" t="str">
        <f t="shared" si="178"/>
        <v>Profitable</v>
      </c>
      <c r="AG792" t="str">
        <f t="shared" si="179"/>
        <v>High Margin</v>
      </c>
      <c r="AH792" t="str">
        <f t="shared" si="180"/>
        <v>Repeat Customer</v>
      </c>
      <c r="AI792" t="str">
        <f t="shared" si="181"/>
        <v>Standard (3-5 days)</v>
      </c>
    </row>
    <row r="793" spans="1:35" ht="15" customHeight="1" x14ac:dyDescent="0.3">
      <c r="A793">
        <v>792</v>
      </c>
      <c r="B793" t="s">
        <v>2667</v>
      </c>
      <c r="C793" s="12">
        <v>42181</v>
      </c>
      <c r="D793" s="12">
        <v>42185</v>
      </c>
      <c r="E793" t="s">
        <v>233</v>
      </c>
      <c r="F793" t="s">
        <v>1862</v>
      </c>
      <c r="G793" t="s">
        <v>1863</v>
      </c>
      <c r="H793" t="s">
        <v>209</v>
      </c>
      <c r="I793" t="s">
        <v>210</v>
      </c>
      <c r="J793" t="s">
        <v>1652</v>
      </c>
      <c r="K793" t="s">
        <v>502</v>
      </c>
      <c r="L793">
        <v>23223</v>
      </c>
      <c r="M793" t="s">
        <v>213</v>
      </c>
      <c r="N793" t="s">
        <v>2670</v>
      </c>
      <c r="O793" t="s">
        <v>215</v>
      </c>
      <c r="P793" t="s">
        <v>219</v>
      </c>
      <c r="Q793" t="s">
        <v>2671</v>
      </c>
      <c r="R793" s="13">
        <v>332.94</v>
      </c>
      <c r="S793">
        <v>3</v>
      </c>
      <c r="T793" s="14">
        <v>0</v>
      </c>
      <c r="U793" s="13">
        <v>79.905600000000007</v>
      </c>
      <c r="V793">
        <f t="shared" si="168"/>
        <v>2015</v>
      </c>
      <c r="W793" t="str">
        <f t="shared" si="169"/>
        <v>Jun</v>
      </c>
      <c r="X793" t="str">
        <f t="shared" si="170"/>
        <v>Q2</v>
      </c>
      <c r="Y793" t="str">
        <f t="shared" si="171"/>
        <v>Fri</v>
      </c>
      <c r="Z793" s="16">
        <f t="shared" si="172"/>
        <v>4</v>
      </c>
      <c r="AA793" s="13">
        <f t="shared" si="173"/>
        <v>110.98</v>
      </c>
      <c r="AB793" s="14">
        <f t="shared" si="174"/>
        <v>0.24000000000000002</v>
      </c>
      <c r="AC793" t="str">
        <f t="shared" si="175"/>
        <v>No Discount</v>
      </c>
      <c r="AD793" t="str">
        <f t="shared" si="176"/>
        <v>High ($200-$500)</v>
      </c>
      <c r="AE793" t="str">
        <f t="shared" si="177"/>
        <v>Medium (3-5 units)</v>
      </c>
      <c r="AF793" t="str">
        <f t="shared" si="178"/>
        <v>Profitable</v>
      </c>
      <c r="AG793" t="str">
        <f t="shared" si="179"/>
        <v>Healthy Margin</v>
      </c>
      <c r="AH793" t="str">
        <f t="shared" si="180"/>
        <v>Repeat Customer</v>
      </c>
      <c r="AI793" t="str">
        <f t="shared" si="181"/>
        <v>Standard (3-5 days)</v>
      </c>
    </row>
    <row r="794" spans="1:35" ht="15" customHeight="1" x14ac:dyDescent="0.3">
      <c r="A794">
        <v>793</v>
      </c>
      <c r="B794" t="s">
        <v>2672</v>
      </c>
      <c r="C794" s="12">
        <v>42510</v>
      </c>
      <c r="D794" s="12">
        <v>42510</v>
      </c>
      <c r="E794" t="s">
        <v>1476</v>
      </c>
      <c r="F794" t="s">
        <v>2673</v>
      </c>
      <c r="G794" t="s">
        <v>2674</v>
      </c>
      <c r="H794" t="s">
        <v>209</v>
      </c>
      <c r="I794" t="s">
        <v>210</v>
      </c>
      <c r="J794" t="s">
        <v>2675</v>
      </c>
      <c r="K794" t="s">
        <v>271</v>
      </c>
      <c r="L794">
        <v>28806</v>
      </c>
      <c r="M794" t="s">
        <v>213</v>
      </c>
      <c r="N794" t="s">
        <v>2676</v>
      </c>
      <c r="O794" t="s">
        <v>254</v>
      </c>
      <c r="P794" t="s">
        <v>255</v>
      </c>
      <c r="Q794" t="s">
        <v>2677</v>
      </c>
      <c r="R794" s="13">
        <v>1363.96</v>
      </c>
      <c r="S794">
        <v>5</v>
      </c>
      <c r="T794" s="14">
        <v>0.2</v>
      </c>
      <c r="U794" s="13">
        <v>85.247500000000002</v>
      </c>
      <c r="V794">
        <f t="shared" si="168"/>
        <v>2016</v>
      </c>
      <c r="W794" t="str">
        <f t="shared" si="169"/>
        <v>May</v>
      </c>
      <c r="X794" t="str">
        <f t="shared" si="170"/>
        <v>Q2</v>
      </c>
      <c r="Y794" t="str">
        <f t="shared" si="171"/>
        <v>Fri</v>
      </c>
      <c r="Z794" s="16">
        <f t="shared" si="172"/>
        <v>0</v>
      </c>
      <c r="AA794" s="13">
        <f t="shared" si="173"/>
        <v>272.79200000000003</v>
      </c>
      <c r="AB794" s="14">
        <f t="shared" si="174"/>
        <v>6.25E-2</v>
      </c>
      <c r="AC794" t="str">
        <f t="shared" si="175"/>
        <v>Low (1-20%)</v>
      </c>
      <c r="AD794" t="str">
        <f t="shared" si="176"/>
        <v>Premium ($500+)</v>
      </c>
      <c r="AE794" t="str">
        <f t="shared" si="177"/>
        <v>Medium (3-5 units)</v>
      </c>
      <c r="AF794" t="str">
        <f t="shared" si="178"/>
        <v>Profitable</v>
      </c>
      <c r="AG794" t="str">
        <f t="shared" si="179"/>
        <v>Low Margin</v>
      </c>
      <c r="AH794" t="str">
        <f t="shared" si="180"/>
        <v>Single Purchase</v>
      </c>
      <c r="AI794" t="str">
        <f t="shared" si="181"/>
        <v>Fast (&lt;=2 days)</v>
      </c>
    </row>
    <row r="795" spans="1:35" ht="15" customHeight="1" x14ac:dyDescent="0.3">
      <c r="A795">
        <v>794</v>
      </c>
      <c r="B795" t="s">
        <v>2678</v>
      </c>
      <c r="C795" s="12">
        <v>41902</v>
      </c>
      <c r="D795" s="12">
        <v>41908</v>
      </c>
      <c r="E795" t="s">
        <v>233</v>
      </c>
      <c r="F795" t="s">
        <v>2679</v>
      </c>
      <c r="G795" t="s">
        <v>2680</v>
      </c>
      <c r="H795" t="s">
        <v>209</v>
      </c>
      <c r="I795" t="s">
        <v>210</v>
      </c>
      <c r="J795" t="s">
        <v>310</v>
      </c>
      <c r="K795" t="s">
        <v>226</v>
      </c>
      <c r="L795">
        <v>94110</v>
      </c>
      <c r="M795" t="s">
        <v>227</v>
      </c>
      <c r="N795" t="s">
        <v>2681</v>
      </c>
      <c r="O795" t="s">
        <v>229</v>
      </c>
      <c r="P795" t="s">
        <v>230</v>
      </c>
      <c r="Q795" t="s">
        <v>2682</v>
      </c>
      <c r="R795" s="13">
        <v>9.9600000000000009</v>
      </c>
      <c r="S795">
        <v>2</v>
      </c>
      <c r="T795" s="14">
        <v>0</v>
      </c>
      <c r="U795" s="13">
        <v>4.5815999999999999</v>
      </c>
      <c r="V795">
        <f t="shared" si="168"/>
        <v>2014</v>
      </c>
      <c r="W795" t="str">
        <f t="shared" si="169"/>
        <v>Sep</v>
      </c>
      <c r="X795" t="str">
        <f t="shared" si="170"/>
        <v>Q3</v>
      </c>
      <c r="Y795" t="str">
        <f t="shared" si="171"/>
        <v>Sat</v>
      </c>
      <c r="Z795" s="16">
        <f t="shared" si="172"/>
        <v>6</v>
      </c>
      <c r="AA795" s="13">
        <f t="shared" si="173"/>
        <v>4.9800000000000004</v>
      </c>
      <c r="AB795" s="14">
        <f t="shared" si="174"/>
        <v>0.45999999999999996</v>
      </c>
      <c r="AC795" t="str">
        <f t="shared" si="175"/>
        <v>No Discount</v>
      </c>
      <c r="AD795" t="str">
        <f t="shared" si="176"/>
        <v>Low (&lt;$50)</v>
      </c>
      <c r="AE795" t="str">
        <f t="shared" si="177"/>
        <v>Small (1-2 units)</v>
      </c>
      <c r="AF795" t="str">
        <f t="shared" si="178"/>
        <v>Profitable</v>
      </c>
      <c r="AG795" t="str">
        <f t="shared" si="179"/>
        <v>High Margin</v>
      </c>
      <c r="AH795" t="str">
        <f t="shared" si="180"/>
        <v>Repeat Customer</v>
      </c>
      <c r="AI795" t="str">
        <f t="shared" si="181"/>
        <v>Slow (6+ days)</v>
      </c>
    </row>
    <row r="796" spans="1:35" ht="15" customHeight="1" x14ac:dyDescent="0.3">
      <c r="A796">
        <v>795</v>
      </c>
      <c r="B796" t="s">
        <v>2678</v>
      </c>
      <c r="C796" s="12">
        <v>41902</v>
      </c>
      <c r="D796" s="12">
        <v>41908</v>
      </c>
      <c r="E796" t="s">
        <v>233</v>
      </c>
      <c r="F796" t="s">
        <v>2679</v>
      </c>
      <c r="G796" t="s">
        <v>2680</v>
      </c>
      <c r="H796" t="s">
        <v>209</v>
      </c>
      <c r="I796" t="s">
        <v>210</v>
      </c>
      <c r="J796" t="s">
        <v>310</v>
      </c>
      <c r="K796" t="s">
        <v>226</v>
      </c>
      <c r="L796">
        <v>94110</v>
      </c>
      <c r="M796" t="s">
        <v>227</v>
      </c>
      <c r="N796" t="s">
        <v>1622</v>
      </c>
      <c r="O796" t="s">
        <v>229</v>
      </c>
      <c r="P796" t="s">
        <v>273</v>
      </c>
      <c r="Q796" t="s">
        <v>1623</v>
      </c>
      <c r="R796" s="13">
        <v>21.72</v>
      </c>
      <c r="S796">
        <v>4</v>
      </c>
      <c r="T796" s="14">
        <v>0</v>
      </c>
      <c r="U796" s="13">
        <v>10.642799999999999</v>
      </c>
      <c r="V796">
        <f t="shared" si="168"/>
        <v>2014</v>
      </c>
      <c r="W796" t="str">
        <f t="shared" si="169"/>
        <v>Sep</v>
      </c>
      <c r="X796" t="str">
        <f t="shared" si="170"/>
        <v>Q3</v>
      </c>
      <c r="Y796" t="str">
        <f t="shared" si="171"/>
        <v>Sat</v>
      </c>
      <c r="Z796" s="16">
        <f t="shared" si="172"/>
        <v>6</v>
      </c>
      <c r="AA796" s="13">
        <f t="shared" si="173"/>
        <v>5.43</v>
      </c>
      <c r="AB796" s="14">
        <f t="shared" si="174"/>
        <v>0.49</v>
      </c>
      <c r="AC796" t="str">
        <f t="shared" si="175"/>
        <v>No Discount</v>
      </c>
      <c r="AD796" t="str">
        <f t="shared" si="176"/>
        <v>Low (&lt;$50)</v>
      </c>
      <c r="AE796" t="str">
        <f t="shared" si="177"/>
        <v>Medium (3-5 units)</v>
      </c>
      <c r="AF796" t="str">
        <f t="shared" si="178"/>
        <v>Profitable</v>
      </c>
      <c r="AG796" t="str">
        <f t="shared" si="179"/>
        <v>High Margin</v>
      </c>
      <c r="AH796" t="str">
        <f t="shared" si="180"/>
        <v>Repeat Customer</v>
      </c>
      <c r="AI796" t="str">
        <f t="shared" si="181"/>
        <v>Slow (6+ days)</v>
      </c>
    </row>
    <row r="797" spans="1:35" ht="15" customHeight="1" x14ac:dyDescent="0.3">
      <c r="A797">
        <v>796</v>
      </c>
      <c r="B797" t="s">
        <v>2683</v>
      </c>
      <c r="C797" s="12">
        <v>42999</v>
      </c>
      <c r="D797" s="12">
        <v>43004</v>
      </c>
      <c r="E797" t="s">
        <v>233</v>
      </c>
      <c r="F797" t="s">
        <v>2684</v>
      </c>
      <c r="G797" t="s">
        <v>2685</v>
      </c>
      <c r="H797" t="s">
        <v>209</v>
      </c>
      <c r="I797" t="s">
        <v>210</v>
      </c>
      <c r="J797" t="s">
        <v>572</v>
      </c>
      <c r="K797" t="s">
        <v>412</v>
      </c>
      <c r="L797">
        <v>55901</v>
      </c>
      <c r="M797" t="s">
        <v>288</v>
      </c>
      <c r="N797" t="s">
        <v>2579</v>
      </c>
      <c r="O797" t="s">
        <v>229</v>
      </c>
      <c r="P797" t="s">
        <v>258</v>
      </c>
      <c r="Q797" t="s">
        <v>2580</v>
      </c>
      <c r="R797" s="13">
        <v>20.16</v>
      </c>
      <c r="S797">
        <v>7</v>
      </c>
      <c r="T797" s="14">
        <v>0</v>
      </c>
      <c r="U797" s="13">
        <v>9.8783999999999992</v>
      </c>
      <c r="V797">
        <f t="shared" si="168"/>
        <v>2017</v>
      </c>
      <c r="W797" t="str">
        <f t="shared" si="169"/>
        <v>Sep</v>
      </c>
      <c r="X797" t="str">
        <f t="shared" si="170"/>
        <v>Q3</v>
      </c>
      <c r="Y797" t="str">
        <f t="shared" si="171"/>
        <v>Thu</v>
      </c>
      <c r="Z797" s="16">
        <f t="shared" si="172"/>
        <v>5</v>
      </c>
      <c r="AA797" s="13">
        <f t="shared" si="173"/>
        <v>2.88</v>
      </c>
      <c r="AB797" s="14">
        <f t="shared" si="174"/>
        <v>0.48999999999999994</v>
      </c>
      <c r="AC797" t="str">
        <f t="shared" si="175"/>
        <v>No Discount</v>
      </c>
      <c r="AD797" t="str">
        <f t="shared" si="176"/>
        <v>Low (&lt;$50)</v>
      </c>
      <c r="AE797" t="str">
        <f t="shared" si="177"/>
        <v>Large (6+ units)</v>
      </c>
      <c r="AF797" t="str">
        <f t="shared" si="178"/>
        <v>Profitable</v>
      </c>
      <c r="AG797" t="str">
        <f t="shared" si="179"/>
        <v>High Margin</v>
      </c>
      <c r="AH797" t="str">
        <f t="shared" si="180"/>
        <v>Single Purchase</v>
      </c>
      <c r="AI797" t="str">
        <f t="shared" si="181"/>
        <v>Standard (3-5 days)</v>
      </c>
    </row>
    <row r="798" spans="1:35" ht="15" customHeight="1" x14ac:dyDescent="0.3">
      <c r="A798">
        <v>797</v>
      </c>
      <c r="B798" t="s">
        <v>2686</v>
      </c>
      <c r="C798" s="12">
        <v>42362</v>
      </c>
      <c r="D798" s="12">
        <v>42364</v>
      </c>
      <c r="E798" t="s">
        <v>371</v>
      </c>
      <c r="F798" t="s">
        <v>1095</v>
      </c>
      <c r="G798" t="s">
        <v>1096</v>
      </c>
      <c r="H798" t="s">
        <v>224</v>
      </c>
      <c r="I798" t="s">
        <v>210</v>
      </c>
      <c r="J798" t="s">
        <v>572</v>
      </c>
      <c r="K798" t="s">
        <v>450</v>
      </c>
      <c r="L798">
        <v>14609</v>
      </c>
      <c r="M798" t="s">
        <v>331</v>
      </c>
      <c r="N798" t="s">
        <v>2687</v>
      </c>
      <c r="O798" t="s">
        <v>229</v>
      </c>
      <c r="P798" t="s">
        <v>273</v>
      </c>
      <c r="Q798" t="s">
        <v>2688</v>
      </c>
      <c r="R798" s="13">
        <v>132.79</v>
      </c>
      <c r="S798">
        <v>7</v>
      </c>
      <c r="T798" s="14">
        <v>0</v>
      </c>
      <c r="U798" s="13">
        <v>63.739199999999997</v>
      </c>
      <c r="V798">
        <f t="shared" si="168"/>
        <v>2015</v>
      </c>
      <c r="W798" t="str">
        <f t="shared" si="169"/>
        <v>Dec</v>
      </c>
      <c r="X798" t="str">
        <f t="shared" si="170"/>
        <v>Q4</v>
      </c>
      <c r="Y798" t="str">
        <f t="shared" si="171"/>
        <v>Thu</v>
      </c>
      <c r="Z798" s="16">
        <f t="shared" si="172"/>
        <v>2</v>
      </c>
      <c r="AA798" s="13">
        <f t="shared" si="173"/>
        <v>18.97</v>
      </c>
      <c r="AB798" s="14">
        <f t="shared" si="174"/>
        <v>0.48</v>
      </c>
      <c r="AC798" t="str">
        <f t="shared" si="175"/>
        <v>No Discount</v>
      </c>
      <c r="AD798" t="str">
        <f t="shared" si="176"/>
        <v>Medium ($50-$200)</v>
      </c>
      <c r="AE798" t="str">
        <f t="shared" si="177"/>
        <v>Large (6+ units)</v>
      </c>
      <c r="AF798" t="str">
        <f t="shared" si="178"/>
        <v>Profitable</v>
      </c>
      <c r="AG798" t="str">
        <f t="shared" si="179"/>
        <v>High Margin</v>
      </c>
      <c r="AH798" t="str">
        <f t="shared" si="180"/>
        <v>Repeat Customer</v>
      </c>
      <c r="AI798" t="str">
        <f t="shared" si="181"/>
        <v>Fast (&lt;=2 days)</v>
      </c>
    </row>
    <row r="799" spans="1:35" ht="15" customHeight="1" x14ac:dyDescent="0.3">
      <c r="A799">
        <v>798</v>
      </c>
      <c r="B799" t="s">
        <v>2686</v>
      </c>
      <c r="C799" s="12">
        <v>42362</v>
      </c>
      <c r="D799" s="12">
        <v>42364</v>
      </c>
      <c r="E799" t="s">
        <v>371</v>
      </c>
      <c r="F799" t="s">
        <v>1095</v>
      </c>
      <c r="G799" t="s">
        <v>1096</v>
      </c>
      <c r="H799" t="s">
        <v>224</v>
      </c>
      <c r="I799" t="s">
        <v>210</v>
      </c>
      <c r="J799" t="s">
        <v>572</v>
      </c>
      <c r="K799" t="s">
        <v>450</v>
      </c>
      <c r="L799">
        <v>14609</v>
      </c>
      <c r="M799" t="s">
        <v>331</v>
      </c>
      <c r="N799" t="s">
        <v>272</v>
      </c>
      <c r="O799" t="s">
        <v>229</v>
      </c>
      <c r="P799" t="s">
        <v>273</v>
      </c>
      <c r="Q799" t="s">
        <v>274</v>
      </c>
      <c r="R799" s="13">
        <v>12.96</v>
      </c>
      <c r="S799">
        <v>2</v>
      </c>
      <c r="T799" s="14">
        <v>0</v>
      </c>
      <c r="U799" s="13">
        <v>6.2207999999999997</v>
      </c>
      <c r="V799">
        <f t="shared" si="168"/>
        <v>2015</v>
      </c>
      <c r="W799" t="str">
        <f t="shared" si="169"/>
        <v>Dec</v>
      </c>
      <c r="X799" t="str">
        <f t="shared" si="170"/>
        <v>Q4</v>
      </c>
      <c r="Y799" t="str">
        <f t="shared" si="171"/>
        <v>Thu</v>
      </c>
      <c r="Z799" s="16">
        <f t="shared" si="172"/>
        <v>2</v>
      </c>
      <c r="AA799" s="13">
        <f t="shared" si="173"/>
        <v>6.48</v>
      </c>
      <c r="AB799" s="14">
        <f t="shared" si="174"/>
        <v>0.47999999999999993</v>
      </c>
      <c r="AC799" t="str">
        <f t="shared" si="175"/>
        <v>No Discount</v>
      </c>
      <c r="AD799" t="str">
        <f t="shared" si="176"/>
        <v>Low (&lt;$50)</v>
      </c>
      <c r="AE799" t="str">
        <f t="shared" si="177"/>
        <v>Small (1-2 units)</v>
      </c>
      <c r="AF799" t="str">
        <f t="shared" si="178"/>
        <v>Profitable</v>
      </c>
      <c r="AG799" t="str">
        <f t="shared" si="179"/>
        <v>High Margin</v>
      </c>
      <c r="AH799" t="str">
        <f t="shared" si="180"/>
        <v>Repeat Customer</v>
      </c>
      <c r="AI799" t="str">
        <f t="shared" si="181"/>
        <v>Fast (&lt;=2 days)</v>
      </c>
    </row>
    <row r="800" spans="1:35" ht="15" customHeight="1" x14ac:dyDescent="0.3">
      <c r="A800">
        <v>799</v>
      </c>
      <c r="B800" t="s">
        <v>2686</v>
      </c>
      <c r="C800" s="12">
        <v>42362</v>
      </c>
      <c r="D800" s="12">
        <v>42364</v>
      </c>
      <c r="E800" t="s">
        <v>371</v>
      </c>
      <c r="F800" t="s">
        <v>1095</v>
      </c>
      <c r="G800" t="s">
        <v>1096</v>
      </c>
      <c r="H800" t="s">
        <v>224</v>
      </c>
      <c r="I800" t="s">
        <v>210</v>
      </c>
      <c r="J800" t="s">
        <v>572</v>
      </c>
      <c r="K800" t="s">
        <v>450</v>
      </c>
      <c r="L800">
        <v>14609</v>
      </c>
      <c r="M800" t="s">
        <v>331</v>
      </c>
      <c r="N800" t="s">
        <v>2689</v>
      </c>
      <c r="O800" t="s">
        <v>229</v>
      </c>
      <c r="P800" t="s">
        <v>230</v>
      </c>
      <c r="Q800" t="s">
        <v>2690</v>
      </c>
      <c r="R800" s="13">
        <v>21.56</v>
      </c>
      <c r="S800">
        <v>7</v>
      </c>
      <c r="T800" s="14">
        <v>0</v>
      </c>
      <c r="U800" s="13">
        <v>10.348800000000001</v>
      </c>
      <c r="V800">
        <f t="shared" si="168"/>
        <v>2015</v>
      </c>
      <c r="W800" t="str">
        <f t="shared" si="169"/>
        <v>Dec</v>
      </c>
      <c r="X800" t="str">
        <f t="shared" si="170"/>
        <v>Q4</v>
      </c>
      <c r="Y800" t="str">
        <f t="shared" si="171"/>
        <v>Thu</v>
      </c>
      <c r="Z800" s="16">
        <f t="shared" si="172"/>
        <v>2</v>
      </c>
      <c r="AA800" s="13">
        <f t="shared" si="173"/>
        <v>3.0799999999999996</v>
      </c>
      <c r="AB800" s="14">
        <f t="shared" si="174"/>
        <v>0.48000000000000004</v>
      </c>
      <c r="AC800" t="str">
        <f t="shared" si="175"/>
        <v>No Discount</v>
      </c>
      <c r="AD800" t="str">
        <f t="shared" si="176"/>
        <v>Low (&lt;$50)</v>
      </c>
      <c r="AE800" t="str">
        <f t="shared" si="177"/>
        <v>Large (6+ units)</v>
      </c>
      <c r="AF800" t="str">
        <f t="shared" si="178"/>
        <v>Profitable</v>
      </c>
      <c r="AG800" t="str">
        <f t="shared" si="179"/>
        <v>High Margin</v>
      </c>
      <c r="AH800" t="str">
        <f t="shared" si="180"/>
        <v>Repeat Customer</v>
      </c>
      <c r="AI800" t="str">
        <f t="shared" si="181"/>
        <v>Fast (&lt;=2 days)</v>
      </c>
    </row>
    <row r="801" spans="1:35" ht="15" customHeight="1" x14ac:dyDescent="0.3">
      <c r="A801">
        <v>800</v>
      </c>
      <c r="B801" t="s">
        <v>2691</v>
      </c>
      <c r="C801" s="12">
        <v>42335</v>
      </c>
      <c r="D801" s="12">
        <v>42341</v>
      </c>
      <c r="E801" t="s">
        <v>233</v>
      </c>
      <c r="F801" t="s">
        <v>2692</v>
      </c>
      <c r="G801" t="s">
        <v>2693</v>
      </c>
      <c r="H801" t="s">
        <v>209</v>
      </c>
      <c r="I801" t="s">
        <v>210</v>
      </c>
      <c r="J801" t="s">
        <v>2694</v>
      </c>
      <c r="K801" t="s">
        <v>226</v>
      </c>
      <c r="L801">
        <v>92530</v>
      </c>
      <c r="M801" t="s">
        <v>227</v>
      </c>
      <c r="N801" t="s">
        <v>2027</v>
      </c>
      <c r="O801" t="s">
        <v>215</v>
      </c>
      <c r="P801" t="s">
        <v>219</v>
      </c>
      <c r="Q801" t="s">
        <v>2028</v>
      </c>
      <c r="R801" s="13">
        <v>283.92</v>
      </c>
      <c r="S801">
        <v>5</v>
      </c>
      <c r="T801" s="14">
        <v>0.2</v>
      </c>
      <c r="U801" s="13">
        <v>17.745000000000001</v>
      </c>
      <c r="V801">
        <f t="shared" si="168"/>
        <v>2015</v>
      </c>
      <c r="W801" t="str">
        <f t="shared" si="169"/>
        <v>Nov</v>
      </c>
      <c r="X801" t="str">
        <f t="shared" si="170"/>
        <v>Q4</v>
      </c>
      <c r="Y801" t="str">
        <f t="shared" si="171"/>
        <v>Fri</v>
      </c>
      <c r="Z801" s="16">
        <f t="shared" si="172"/>
        <v>6</v>
      </c>
      <c r="AA801" s="13">
        <f t="shared" si="173"/>
        <v>56.784000000000006</v>
      </c>
      <c r="AB801" s="14">
        <f t="shared" si="174"/>
        <v>6.25E-2</v>
      </c>
      <c r="AC801" t="str">
        <f t="shared" si="175"/>
        <v>Low (1-20%)</v>
      </c>
      <c r="AD801" t="str">
        <f t="shared" si="176"/>
        <v>High ($200-$500)</v>
      </c>
      <c r="AE801" t="str">
        <f t="shared" si="177"/>
        <v>Medium (3-5 units)</v>
      </c>
      <c r="AF801" t="str">
        <f t="shared" si="178"/>
        <v>Profitable</v>
      </c>
      <c r="AG801" t="str">
        <f t="shared" si="179"/>
        <v>Low Margin</v>
      </c>
      <c r="AH801" t="str">
        <f t="shared" si="180"/>
        <v>Single Purchase</v>
      </c>
      <c r="AI801" t="str">
        <f t="shared" si="181"/>
        <v>Slow (6+ days)</v>
      </c>
    </row>
    <row r="802" spans="1:35" ht="15" customHeight="1" x14ac:dyDescent="0.3">
      <c r="A802">
        <v>801</v>
      </c>
      <c r="B802" t="s">
        <v>2695</v>
      </c>
      <c r="C802" s="12">
        <v>42786</v>
      </c>
      <c r="D802" s="12">
        <v>42789</v>
      </c>
      <c r="E802" t="s">
        <v>371</v>
      </c>
      <c r="F802" t="s">
        <v>2696</v>
      </c>
      <c r="G802" t="s">
        <v>2697</v>
      </c>
      <c r="H802" t="s">
        <v>224</v>
      </c>
      <c r="I802" t="s">
        <v>210</v>
      </c>
      <c r="J802" t="s">
        <v>1133</v>
      </c>
      <c r="K802" t="s">
        <v>226</v>
      </c>
      <c r="L802">
        <v>92105</v>
      </c>
      <c r="M802" t="s">
        <v>227</v>
      </c>
      <c r="N802" t="s">
        <v>2698</v>
      </c>
      <c r="O802" t="s">
        <v>215</v>
      </c>
      <c r="P802" t="s">
        <v>248</v>
      </c>
      <c r="Q802" t="s">
        <v>2699</v>
      </c>
      <c r="R802" s="13">
        <v>22.23</v>
      </c>
      <c r="S802">
        <v>1</v>
      </c>
      <c r="T802" s="14">
        <v>0</v>
      </c>
      <c r="U802" s="13">
        <v>7.3358999999999996</v>
      </c>
      <c r="V802">
        <f t="shared" si="168"/>
        <v>2017</v>
      </c>
      <c r="W802" t="str">
        <f t="shared" si="169"/>
        <v>Feb</v>
      </c>
      <c r="X802" t="str">
        <f t="shared" si="170"/>
        <v>Q1</v>
      </c>
      <c r="Y802" t="str">
        <f t="shared" si="171"/>
        <v>Mon</v>
      </c>
      <c r="Z802" s="16">
        <f t="shared" si="172"/>
        <v>3</v>
      </c>
      <c r="AA802" s="13">
        <f t="shared" si="173"/>
        <v>22.23</v>
      </c>
      <c r="AB802" s="14">
        <f t="shared" si="174"/>
        <v>0.32999999999999996</v>
      </c>
      <c r="AC802" t="str">
        <f t="shared" si="175"/>
        <v>No Discount</v>
      </c>
      <c r="AD802" t="str">
        <f t="shared" si="176"/>
        <v>Low (&lt;$50)</v>
      </c>
      <c r="AE802" t="str">
        <f t="shared" si="177"/>
        <v>Small (1-2 units)</v>
      </c>
      <c r="AF802" t="str">
        <f t="shared" si="178"/>
        <v>Profitable</v>
      </c>
      <c r="AG802" t="str">
        <f t="shared" si="179"/>
        <v>High Margin</v>
      </c>
      <c r="AH802" t="str">
        <f t="shared" si="180"/>
        <v>Repeat Customer</v>
      </c>
      <c r="AI802" t="str">
        <f t="shared" si="181"/>
        <v>Standard (3-5 days)</v>
      </c>
    </row>
    <row r="803" spans="1:35" ht="15" customHeight="1" x14ac:dyDescent="0.3">
      <c r="A803">
        <v>802</v>
      </c>
      <c r="B803" t="s">
        <v>2695</v>
      </c>
      <c r="C803" s="12">
        <v>42786</v>
      </c>
      <c r="D803" s="12">
        <v>42789</v>
      </c>
      <c r="E803" t="s">
        <v>371</v>
      </c>
      <c r="F803" t="s">
        <v>2696</v>
      </c>
      <c r="G803" t="s">
        <v>2697</v>
      </c>
      <c r="H803" t="s">
        <v>224</v>
      </c>
      <c r="I803" t="s">
        <v>210</v>
      </c>
      <c r="J803" t="s">
        <v>1133</v>
      </c>
      <c r="K803" t="s">
        <v>226</v>
      </c>
      <c r="L803">
        <v>92105</v>
      </c>
      <c r="M803" t="s">
        <v>227</v>
      </c>
      <c r="N803" t="s">
        <v>1148</v>
      </c>
      <c r="O803" t="s">
        <v>254</v>
      </c>
      <c r="P803" t="s">
        <v>255</v>
      </c>
      <c r="Q803" t="s">
        <v>1149</v>
      </c>
      <c r="R803" s="13">
        <v>215.96799999999999</v>
      </c>
      <c r="S803">
        <v>2</v>
      </c>
      <c r="T803" s="14">
        <v>0.2</v>
      </c>
      <c r="U803" s="13">
        <v>18.897200000000002</v>
      </c>
      <c r="V803">
        <f t="shared" si="168"/>
        <v>2017</v>
      </c>
      <c r="W803" t="str">
        <f t="shared" si="169"/>
        <v>Feb</v>
      </c>
      <c r="X803" t="str">
        <f t="shared" si="170"/>
        <v>Q1</v>
      </c>
      <c r="Y803" t="str">
        <f t="shared" si="171"/>
        <v>Mon</v>
      </c>
      <c r="Z803" s="16">
        <f t="shared" si="172"/>
        <v>3</v>
      </c>
      <c r="AA803" s="13">
        <f t="shared" si="173"/>
        <v>107.98399999999999</v>
      </c>
      <c r="AB803" s="14">
        <f t="shared" si="174"/>
        <v>8.7500000000000008E-2</v>
      </c>
      <c r="AC803" t="str">
        <f t="shared" si="175"/>
        <v>Low (1-20%)</v>
      </c>
      <c r="AD803" t="str">
        <f t="shared" si="176"/>
        <v>High ($200-$500)</v>
      </c>
      <c r="AE803" t="str">
        <f t="shared" si="177"/>
        <v>Small (1-2 units)</v>
      </c>
      <c r="AF803" t="str">
        <f t="shared" si="178"/>
        <v>Profitable</v>
      </c>
      <c r="AG803" t="str">
        <f t="shared" si="179"/>
        <v>Low Margin</v>
      </c>
      <c r="AH803" t="str">
        <f t="shared" si="180"/>
        <v>Repeat Customer</v>
      </c>
      <c r="AI803" t="str">
        <f t="shared" si="181"/>
        <v>Standard (3-5 days)</v>
      </c>
    </row>
    <row r="804" spans="1:35" ht="15" customHeight="1" x14ac:dyDescent="0.3">
      <c r="A804">
        <v>803</v>
      </c>
      <c r="B804" t="s">
        <v>2700</v>
      </c>
      <c r="C804" s="12">
        <v>42600</v>
      </c>
      <c r="D804" s="12">
        <v>42605</v>
      </c>
      <c r="E804" t="s">
        <v>206</v>
      </c>
      <c r="F804" t="s">
        <v>2696</v>
      </c>
      <c r="G804" t="s">
        <v>2697</v>
      </c>
      <c r="H804" t="s">
        <v>224</v>
      </c>
      <c r="I804" t="s">
        <v>210</v>
      </c>
      <c r="J804" t="s">
        <v>449</v>
      </c>
      <c r="K804" t="s">
        <v>450</v>
      </c>
      <c r="L804">
        <v>10024</v>
      </c>
      <c r="M804" t="s">
        <v>331</v>
      </c>
      <c r="N804" t="s">
        <v>2701</v>
      </c>
      <c r="O804" t="s">
        <v>229</v>
      </c>
      <c r="P804" t="s">
        <v>261</v>
      </c>
      <c r="Q804" t="s">
        <v>2702</v>
      </c>
      <c r="R804" s="13">
        <v>355.32</v>
      </c>
      <c r="S804">
        <v>9</v>
      </c>
      <c r="T804" s="14">
        <v>0</v>
      </c>
      <c r="U804" s="13">
        <v>99.489599999999996</v>
      </c>
      <c r="V804">
        <f t="shared" si="168"/>
        <v>2016</v>
      </c>
      <c r="W804" t="str">
        <f t="shared" si="169"/>
        <v>Aug</v>
      </c>
      <c r="X804" t="str">
        <f t="shared" si="170"/>
        <v>Q3</v>
      </c>
      <c r="Y804" t="str">
        <f t="shared" si="171"/>
        <v>Thu</v>
      </c>
      <c r="Z804" s="16">
        <f t="shared" si="172"/>
        <v>5</v>
      </c>
      <c r="AA804" s="13">
        <f t="shared" si="173"/>
        <v>39.479999999999997</v>
      </c>
      <c r="AB804" s="14">
        <f t="shared" si="174"/>
        <v>0.27999999999999997</v>
      </c>
      <c r="AC804" t="str">
        <f t="shared" si="175"/>
        <v>No Discount</v>
      </c>
      <c r="AD804" t="str">
        <f t="shared" si="176"/>
        <v>High ($200-$500)</v>
      </c>
      <c r="AE804" t="str">
        <f t="shared" si="177"/>
        <v>Large (6+ units)</v>
      </c>
      <c r="AF804" t="str">
        <f t="shared" si="178"/>
        <v>Profitable</v>
      </c>
      <c r="AG804" t="str">
        <f t="shared" si="179"/>
        <v>High Margin</v>
      </c>
      <c r="AH804" t="str">
        <f t="shared" si="180"/>
        <v>Repeat Customer</v>
      </c>
      <c r="AI804" t="str">
        <f t="shared" si="181"/>
        <v>Standard (3-5 days)</v>
      </c>
    </row>
    <row r="805" spans="1:35" ht="15" customHeight="1" x14ac:dyDescent="0.3">
      <c r="A805">
        <v>804</v>
      </c>
      <c r="B805" t="s">
        <v>2703</v>
      </c>
      <c r="C805" s="12">
        <v>42441</v>
      </c>
      <c r="D805" s="12">
        <v>42446</v>
      </c>
      <c r="E805" t="s">
        <v>233</v>
      </c>
      <c r="F805" t="s">
        <v>2704</v>
      </c>
      <c r="G805" t="s">
        <v>2705</v>
      </c>
      <c r="H805" t="s">
        <v>224</v>
      </c>
      <c r="I805" t="s">
        <v>210</v>
      </c>
      <c r="J805" t="s">
        <v>920</v>
      </c>
      <c r="K805" t="s">
        <v>921</v>
      </c>
      <c r="L805">
        <v>71203</v>
      </c>
      <c r="M805" t="s">
        <v>213</v>
      </c>
      <c r="N805" t="s">
        <v>2706</v>
      </c>
      <c r="O805" t="s">
        <v>229</v>
      </c>
      <c r="P805" t="s">
        <v>273</v>
      </c>
      <c r="Q805" t="s">
        <v>2707</v>
      </c>
      <c r="R805" s="13">
        <v>12.96</v>
      </c>
      <c r="S805">
        <v>2</v>
      </c>
      <c r="T805" s="14">
        <v>0</v>
      </c>
      <c r="U805" s="13">
        <v>6.2207999999999997</v>
      </c>
      <c r="V805">
        <f t="shared" si="168"/>
        <v>2016</v>
      </c>
      <c r="W805" t="str">
        <f t="shared" si="169"/>
        <v>Mar</v>
      </c>
      <c r="X805" t="str">
        <f t="shared" si="170"/>
        <v>Q1</v>
      </c>
      <c r="Y805" t="str">
        <f t="shared" si="171"/>
        <v>Sat</v>
      </c>
      <c r="Z805" s="16">
        <f t="shared" si="172"/>
        <v>5</v>
      </c>
      <c r="AA805" s="13">
        <f t="shared" si="173"/>
        <v>6.48</v>
      </c>
      <c r="AB805" s="14">
        <f t="shared" si="174"/>
        <v>0.47999999999999993</v>
      </c>
      <c r="AC805" t="str">
        <f t="shared" si="175"/>
        <v>No Discount</v>
      </c>
      <c r="AD805" t="str">
        <f t="shared" si="176"/>
        <v>Low (&lt;$50)</v>
      </c>
      <c r="AE805" t="str">
        <f t="shared" si="177"/>
        <v>Small (1-2 units)</v>
      </c>
      <c r="AF805" t="str">
        <f t="shared" si="178"/>
        <v>Profitable</v>
      </c>
      <c r="AG805" t="str">
        <f t="shared" si="179"/>
        <v>High Margin</v>
      </c>
      <c r="AH805" t="str">
        <f t="shared" si="180"/>
        <v>Single Purchase</v>
      </c>
      <c r="AI805" t="str">
        <f t="shared" si="181"/>
        <v>Standard (3-5 days)</v>
      </c>
    </row>
    <row r="806" spans="1:35" ht="15" customHeight="1" x14ac:dyDescent="0.3">
      <c r="A806">
        <v>805</v>
      </c>
      <c r="B806" t="s">
        <v>2708</v>
      </c>
      <c r="C806" s="12">
        <v>42847</v>
      </c>
      <c r="D806" s="12">
        <v>42849</v>
      </c>
      <c r="E806" t="s">
        <v>371</v>
      </c>
      <c r="F806" t="s">
        <v>2709</v>
      </c>
      <c r="G806" t="s">
        <v>2710</v>
      </c>
      <c r="H806" t="s">
        <v>209</v>
      </c>
      <c r="I806" t="s">
        <v>210</v>
      </c>
      <c r="J806" t="s">
        <v>310</v>
      </c>
      <c r="K806" t="s">
        <v>226</v>
      </c>
      <c r="L806">
        <v>94122</v>
      </c>
      <c r="M806" t="s">
        <v>227</v>
      </c>
      <c r="N806" t="s">
        <v>2711</v>
      </c>
      <c r="O806" t="s">
        <v>215</v>
      </c>
      <c r="P806" t="s">
        <v>248</v>
      </c>
      <c r="Q806" t="s">
        <v>2712</v>
      </c>
      <c r="R806" s="13">
        <v>18.28</v>
      </c>
      <c r="S806">
        <v>2</v>
      </c>
      <c r="T806" s="14">
        <v>0</v>
      </c>
      <c r="U806" s="13">
        <v>6.2152000000000003</v>
      </c>
      <c r="V806">
        <f t="shared" si="168"/>
        <v>2017</v>
      </c>
      <c r="W806" t="str">
        <f t="shared" si="169"/>
        <v>Apr</v>
      </c>
      <c r="X806" t="str">
        <f t="shared" si="170"/>
        <v>Q2</v>
      </c>
      <c r="Y806" t="str">
        <f t="shared" si="171"/>
        <v>Sat</v>
      </c>
      <c r="Z806" s="16">
        <f t="shared" si="172"/>
        <v>2</v>
      </c>
      <c r="AA806" s="13">
        <f t="shared" si="173"/>
        <v>9.14</v>
      </c>
      <c r="AB806" s="14">
        <f t="shared" si="174"/>
        <v>0.33999999999999997</v>
      </c>
      <c r="AC806" t="str">
        <f t="shared" si="175"/>
        <v>No Discount</v>
      </c>
      <c r="AD806" t="str">
        <f t="shared" si="176"/>
        <v>Low (&lt;$50)</v>
      </c>
      <c r="AE806" t="str">
        <f t="shared" si="177"/>
        <v>Small (1-2 units)</v>
      </c>
      <c r="AF806" t="str">
        <f t="shared" si="178"/>
        <v>Profitable</v>
      </c>
      <c r="AG806" t="str">
        <f t="shared" si="179"/>
        <v>High Margin</v>
      </c>
      <c r="AH806" t="str">
        <f t="shared" si="180"/>
        <v>Single Purchase</v>
      </c>
      <c r="AI806" t="str">
        <f t="shared" si="181"/>
        <v>Fast (&lt;=2 days)</v>
      </c>
    </row>
    <row r="807" spans="1:35" ht="15" customHeight="1" x14ac:dyDescent="0.3">
      <c r="A807">
        <v>806</v>
      </c>
      <c r="B807" t="s">
        <v>2713</v>
      </c>
      <c r="C807" s="12">
        <v>41944</v>
      </c>
      <c r="D807" s="12">
        <v>41950</v>
      </c>
      <c r="E807" t="s">
        <v>233</v>
      </c>
      <c r="F807" t="s">
        <v>1516</v>
      </c>
      <c r="G807" t="s">
        <v>1517</v>
      </c>
      <c r="H807" t="s">
        <v>209</v>
      </c>
      <c r="I807" t="s">
        <v>210</v>
      </c>
      <c r="J807" t="s">
        <v>992</v>
      </c>
      <c r="K807" t="s">
        <v>640</v>
      </c>
      <c r="L807">
        <v>80219</v>
      </c>
      <c r="M807" t="s">
        <v>227</v>
      </c>
      <c r="N807" t="s">
        <v>2714</v>
      </c>
      <c r="O807" t="s">
        <v>229</v>
      </c>
      <c r="P807" t="s">
        <v>251</v>
      </c>
      <c r="Q807" t="s">
        <v>2715</v>
      </c>
      <c r="R807" s="13">
        <v>43.176000000000002</v>
      </c>
      <c r="S807">
        <v>3</v>
      </c>
      <c r="T807" s="14">
        <v>0.2</v>
      </c>
      <c r="U807" s="13">
        <v>4.3175999999999997</v>
      </c>
      <c r="V807">
        <f t="shared" si="168"/>
        <v>2014</v>
      </c>
      <c r="W807" t="str">
        <f t="shared" si="169"/>
        <v>Nov</v>
      </c>
      <c r="X807" t="str">
        <f t="shared" si="170"/>
        <v>Q4</v>
      </c>
      <c r="Y807" t="str">
        <f t="shared" si="171"/>
        <v>Sat</v>
      </c>
      <c r="Z807" s="16">
        <f t="shared" si="172"/>
        <v>6</v>
      </c>
      <c r="AA807" s="13">
        <f t="shared" si="173"/>
        <v>14.392000000000001</v>
      </c>
      <c r="AB807" s="14">
        <f t="shared" si="174"/>
        <v>9.9999999999999992E-2</v>
      </c>
      <c r="AC807" t="str">
        <f t="shared" si="175"/>
        <v>Low (1-20%)</v>
      </c>
      <c r="AD807" t="str">
        <f t="shared" si="176"/>
        <v>Low (&lt;$50)</v>
      </c>
      <c r="AE807" t="str">
        <f t="shared" si="177"/>
        <v>Medium (3-5 units)</v>
      </c>
      <c r="AF807" t="str">
        <f t="shared" si="178"/>
        <v>Profitable</v>
      </c>
      <c r="AG807" t="str">
        <f t="shared" si="179"/>
        <v>Healthy Margin</v>
      </c>
      <c r="AH807" t="str">
        <f t="shared" si="180"/>
        <v>Repeat Customer</v>
      </c>
      <c r="AI807" t="str">
        <f t="shared" si="181"/>
        <v>Slow (6+ days)</v>
      </c>
    </row>
    <row r="808" spans="1:35" ht="15" customHeight="1" x14ac:dyDescent="0.3">
      <c r="A808">
        <v>807</v>
      </c>
      <c r="B808" t="s">
        <v>2713</v>
      </c>
      <c r="C808" s="12">
        <v>41944</v>
      </c>
      <c r="D808" s="12">
        <v>41950</v>
      </c>
      <c r="E808" t="s">
        <v>233</v>
      </c>
      <c r="F808" t="s">
        <v>1516</v>
      </c>
      <c r="G808" t="s">
        <v>1517</v>
      </c>
      <c r="H808" t="s">
        <v>209</v>
      </c>
      <c r="I808" t="s">
        <v>210</v>
      </c>
      <c r="J808" t="s">
        <v>992</v>
      </c>
      <c r="K808" t="s">
        <v>640</v>
      </c>
      <c r="L808">
        <v>80219</v>
      </c>
      <c r="M808" t="s">
        <v>227</v>
      </c>
      <c r="N808" t="s">
        <v>2716</v>
      </c>
      <c r="O808" t="s">
        <v>254</v>
      </c>
      <c r="P808" t="s">
        <v>255</v>
      </c>
      <c r="Q808" t="s">
        <v>2717</v>
      </c>
      <c r="R808" s="13">
        <v>1983.9680000000001</v>
      </c>
      <c r="S808">
        <v>4</v>
      </c>
      <c r="T808" s="14">
        <v>0.2</v>
      </c>
      <c r="U808" s="13">
        <v>247.99600000000001</v>
      </c>
      <c r="V808">
        <f t="shared" si="168"/>
        <v>2014</v>
      </c>
      <c r="W808" t="str">
        <f t="shared" si="169"/>
        <v>Nov</v>
      </c>
      <c r="X808" t="str">
        <f t="shared" si="170"/>
        <v>Q4</v>
      </c>
      <c r="Y808" t="str">
        <f t="shared" si="171"/>
        <v>Sat</v>
      </c>
      <c r="Z808" s="16">
        <f t="shared" si="172"/>
        <v>6</v>
      </c>
      <c r="AA808" s="13">
        <f t="shared" si="173"/>
        <v>495.99200000000002</v>
      </c>
      <c r="AB808" s="14">
        <f t="shared" si="174"/>
        <v>0.125</v>
      </c>
      <c r="AC808" t="str">
        <f t="shared" si="175"/>
        <v>Low (1-20%)</v>
      </c>
      <c r="AD808" t="str">
        <f t="shared" si="176"/>
        <v>Premium ($500+)</v>
      </c>
      <c r="AE808" t="str">
        <f t="shared" si="177"/>
        <v>Medium (3-5 units)</v>
      </c>
      <c r="AF808" t="str">
        <f t="shared" si="178"/>
        <v>Profitable</v>
      </c>
      <c r="AG808" t="str">
        <f t="shared" si="179"/>
        <v>Healthy Margin</v>
      </c>
      <c r="AH808" t="str">
        <f t="shared" si="180"/>
        <v>Repeat Customer</v>
      </c>
      <c r="AI808" t="str">
        <f t="shared" si="181"/>
        <v>Slow (6+ days)</v>
      </c>
    </row>
    <row r="809" spans="1:35" ht="15" customHeight="1" x14ac:dyDescent="0.3">
      <c r="A809">
        <v>808</v>
      </c>
      <c r="B809" t="s">
        <v>2718</v>
      </c>
      <c r="C809" s="12">
        <v>42038</v>
      </c>
      <c r="D809" s="12">
        <v>42040</v>
      </c>
      <c r="E809" t="s">
        <v>371</v>
      </c>
      <c r="F809" t="s">
        <v>2009</v>
      </c>
      <c r="G809" t="s">
        <v>2010</v>
      </c>
      <c r="H809" t="s">
        <v>209</v>
      </c>
      <c r="I809" t="s">
        <v>210</v>
      </c>
      <c r="J809" t="s">
        <v>2719</v>
      </c>
      <c r="K809" t="s">
        <v>321</v>
      </c>
      <c r="L809">
        <v>68104</v>
      </c>
      <c r="M809" t="s">
        <v>288</v>
      </c>
      <c r="N809" t="s">
        <v>1680</v>
      </c>
      <c r="O809" t="s">
        <v>215</v>
      </c>
      <c r="P809" t="s">
        <v>248</v>
      </c>
      <c r="Q809" t="s">
        <v>1681</v>
      </c>
      <c r="R809" s="13">
        <v>28.4</v>
      </c>
      <c r="S809">
        <v>2</v>
      </c>
      <c r="T809" s="14">
        <v>0</v>
      </c>
      <c r="U809" s="13">
        <v>11.076000000000001</v>
      </c>
      <c r="V809">
        <f t="shared" si="168"/>
        <v>2015</v>
      </c>
      <c r="W809" t="str">
        <f t="shared" si="169"/>
        <v>Feb</v>
      </c>
      <c r="X809" t="str">
        <f t="shared" si="170"/>
        <v>Q1</v>
      </c>
      <c r="Y809" t="str">
        <f t="shared" si="171"/>
        <v>Tue</v>
      </c>
      <c r="Z809" s="16">
        <f t="shared" si="172"/>
        <v>2</v>
      </c>
      <c r="AA809" s="13">
        <f t="shared" si="173"/>
        <v>14.2</v>
      </c>
      <c r="AB809" s="14">
        <f t="shared" si="174"/>
        <v>0.39</v>
      </c>
      <c r="AC809" t="str">
        <f t="shared" si="175"/>
        <v>No Discount</v>
      </c>
      <c r="AD809" t="str">
        <f t="shared" si="176"/>
        <v>Low (&lt;$50)</v>
      </c>
      <c r="AE809" t="str">
        <f t="shared" si="177"/>
        <v>Small (1-2 units)</v>
      </c>
      <c r="AF809" t="str">
        <f t="shared" si="178"/>
        <v>Profitable</v>
      </c>
      <c r="AG809" t="str">
        <f t="shared" si="179"/>
        <v>High Margin</v>
      </c>
      <c r="AH809" t="str">
        <f t="shared" si="180"/>
        <v>Repeat Customer</v>
      </c>
      <c r="AI809" t="str">
        <f t="shared" si="181"/>
        <v>Fast (&lt;=2 days)</v>
      </c>
    </row>
    <row r="810" spans="1:35" ht="15" customHeight="1" x14ac:dyDescent="0.3">
      <c r="A810">
        <v>809</v>
      </c>
      <c r="B810" t="s">
        <v>2718</v>
      </c>
      <c r="C810" s="12">
        <v>42038</v>
      </c>
      <c r="D810" s="12">
        <v>42040</v>
      </c>
      <c r="E810" t="s">
        <v>371</v>
      </c>
      <c r="F810" t="s">
        <v>2009</v>
      </c>
      <c r="G810" t="s">
        <v>2010</v>
      </c>
      <c r="H810" t="s">
        <v>209</v>
      </c>
      <c r="I810" t="s">
        <v>210</v>
      </c>
      <c r="J810" t="s">
        <v>2719</v>
      </c>
      <c r="K810" t="s">
        <v>321</v>
      </c>
      <c r="L810">
        <v>68104</v>
      </c>
      <c r="M810" t="s">
        <v>288</v>
      </c>
      <c r="N810" t="s">
        <v>2720</v>
      </c>
      <c r="O810" t="s">
        <v>254</v>
      </c>
      <c r="P810" t="s">
        <v>344</v>
      </c>
      <c r="Q810" t="s">
        <v>2721</v>
      </c>
      <c r="R810" s="13">
        <v>149.97</v>
      </c>
      <c r="S810">
        <v>3</v>
      </c>
      <c r="T810" s="14">
        <v>0</v>
      </c>
      <c r="U810" s="13">
        <v>50.989800000000002</v>
      </c>
      <c r="V810">
        <f t="shared" si="168"/>
        <v>2015</v>
      </c>
      <c r="W810" t="str">
        <f t="shared" si="169"/>
        <v>Feb</v>
      </c>
      <c r="X810" t="str">
        <f t="shared" si="170"/>
        <v>Q1</v>
      </c>
      <c r="Y810" t="str">
        <f t="shared" si="171"/>
        <v>Tue</v>
      </c>
      <c r="Z810" s="16">
        <f t="shared" si="172"/>
        <v>2</v>
      </c>
      <c r="AA810" s="13">
        <f t="shared" si="173"/>
        <v>49.99</v>
      </c>
      <c r="AB810" s="14">
        <f t="shared" si="174"/>
        <v>0.34</v>
      </c>
      <c r="AC810" t="str">
        <f t="shared" si="175"/>
        <v>No Discount</v>
      </c>
      <c r="AD810" t="str">
        <f t="shared" si="176"/>
        <v>Medium ($50-$200)</v>
      </c>
      <c r="AE810" t="str">
        <f t="shared" si="177"/>
        <v>Medium (3-5 units)</v>
      </c>
      <c r="AF810" t="str">
        <f t="shared" si="178"/>
        <v>Profitable</v>
      </c>
      <c r="AG810" t="str">
        <f t="shared" si="179"/>
        <v>High Margin</v>
      </c>
      <c r="AH810" t="str">
        <f t="shared" si="180"/>
        <v>Repeat Customer</v>
      </c>
      <c r="AI810" t="str">
        <f t="shared" si="181"/>
        <v>Fast (&lt;=2 days)</v>
      </c>
    </row>
    <row r="811" spans="1:35" ht="15" customHeight="1" x14ac:dyDescent="0.3">
      <c r="A811">
        <v>810</v>
      </c>
      <c r="B811" t="s">
        <v>2722</v>
      </c>
      <c r="C811" s="12">
        <v>41925</v>
      </c>
      <c r="D811" s="12">
        <v>41927</v>
      </c>
      <c r="E811" t="s">
        <v>371</v>
      </c>
      <c r="F811" t="s">
        <v>2162</v>
      </c>
      <c r="G811" t="s">
        <v>2163</v>
      </c>
      <c r="H811" t="s">
        <v>209</v>
      </c>
      <c r="I811" t="s">
        <v>210</v>
      </c>
      <c r="J811" t="s">
        <v>2723</v>
      </c>
      <c r="K811" t="s">
        <v>279</v>
      </c>
      <c r="L811">
        <v>98026</v>
      </c>
      <c r="M811" t="s">
        <v>227</v>
      </c>
      <c r="N811" t="s">
        <v>2724</v>
      </c>
      <c r="O811" t="s">
        <v>229</v>
      </c>
      <c r="P811" t="s">
        <v>251</v>
      </c>
      <c r="Q811" t="s">
        <v>2725</v>
      </c>
      <c r="R811" s="13">
        <v>11.52</v>
      </c>
      <c r="S811">
        <v>4</v>
      </c>
      <c r="T811" s="14">
        <v>0</v>
      </c>
      <c r="U811" s="13">
        <v>3.2256</v>
      </c>
      <c r="V811">
        <f t="shared" si="168"/>
        <v>2014</v>
      </c>
      <c r="W811" t="str">
        <f t="shared" si="169"/>
        <v>Oct</v>
      </c>
      <c r="X811" t="str">
        <f t="shared" si="170"/>
        <v>Q4</v>
      </c>
      <c r="Y811" t="str">
        <f t="shared" si="171"/>
        <v>Mon</v>
      </c>
      <c r="Z811" s="16">
        <f t="shared" si="172"/>
        <v>2</v>
      </c>
      <c r="AA811" s="13">
        <f t="shared" si="173"/>
        <v>2.88</v>
      </c>
      <c r="AB811" s="14">
        <f t="shared" si="174"/>
        <v>0.28000000000000003</v>
      </c>
      <c r="AC811" t="str">
        <f t="shared" si="175"/>
        <v>No Discount</v>
      </c>
      <c r="AD811" t="str">
        <f t="shared" si="176"/>
        <v>Low (&lt;$50)</v>
      </c>
      <c r="AE811" t="str">
        <f t="shared" si="177"/>
        <v>Medium (3-5 units)</v>
      </c>
      <c r="AF811" t="str">
        <f t="shared" si="178"/>
        <v>Profitable</v>
      </c>
      <c r="AG811" t="str">
        <f t="shared" si="179"/>
        <v>High Margin</v>
      </c>
      <c r="AH811" t="str">
        <f t="shared" si="180"/>
        <v>Repeat Customer</v>
      </c>
      <c r="AI811" t="str">
        <f t="shared" si="181"/>
        <v>Fast (&lt;=2 days)</v>
      </c>
    </row>
    <row r="812" spans="1:35" ht="15" customHeight="1" x14ac:dyDescent="0.3">
      <c r="A812">
        <v>811</v>
      </c>
      <c r="B812" t="s">
        <v>2722</v>
      </c>
      <c r="C812" s="12">
        <v>41925</v>
      </c>
      <c r="D812" s="12">
        <v>41927</v>
      </c>
      <c r="E812" t="s">
        <v>371</v>
      </c>
      <c r="F812" t="s">
        <v>2162</v>
      </c>
      <c r="G812" t="s">
        <v>2163</v>
      </c>
      <c r="H812" t="s">
        <v>209</v>
      </c>
      <c r="I812" t="s">
        <v>210</v>
      </c>
      <c r="J812" t="s">
        <v>2723</v>
      </c>
      <c r="K812" t="s">
        <v>279</v>
      </c>
      <c r="L812">
        <v>98026</v>
      </c>
      <c r="M812" t="s">
        <v>227</v>
      </c>
      <c r="N812" t="s">
        <v>1237</v>
      </c>
      <c r="O812" t="s">
        <v>215</v>
      </c>
      <c r="P812" t="s">
        <v>239</v>
      </c>
      <c r="Q812" t="s">
        <v>1238</v>
      </c>
      <c r="R812" s="13">
        <v>1298.55</v>
      </c>
      <c r="S812">
        <v>5</v>
      </c>
      <c r="T812" s="14">
        <v>0</v>
      </c>
      <c r="U812" s="13">
        <v>311.65199999999999</v>
      </c>
      <c r="V812">
        <f t="shared" si="168"/>
        <v>2014</v>
      </c>
      <c r="W812" t="str">
        <f t="shared" si="169"/>
        <v>Oct</v>
      </c>
      <c r="X812" t="str">
        <f t="shared" si="170"/>
        <v>Q4</v>
      </c>
      <c r="Y812" t="str">
        <f t="shared" si="171"/>
        <v>Mon</v>
      </c>
      <c r="Z812" s="16">
        <f t="shared" si="172"/>
        <v>2</v>
      </c>
      <c r="AA812" s="13">
        <f t="shared" si="173"/>
        <v>259.70999999999998</v>
      </c>
      <c r="AB812" s="14">
        <f t="shared" si="174"/>
        <v>0.24</v>
      </c>
      <c r="AC812" t="str">
        <f t="shared" si="175"/>
        <v>No Discount</v>
      </c>
      <c r="AD812" t="str">
        <f t="shared" si="176"/>
        <v>Premium ($500+)</v>
      </c>
      <c r="AE812" t="str">
        <f t="shared" si="177"/>
        <v>Medium (3-5 units)</v>
      </c>
      <c r="AF812" t="str">
        <f t="shared" si="178"/>
        <v>Profitable</v>
      </c>
      <c r="AG812" t="str">
        <f t="shared" si="179"/>
        <v>Healthy Margin</v>
      </c>
      <c r="AH812" t="str">
        <f t="shared" si="180"/>
        <v>Repeat Customer</v>
      </c>
      <c r="AI812" t="str">
        <f t="shared" si="181"/>
        <v>Fast (&lt;=2 days)</v>
      </c>
    </row>
    <row r="813" spans="1:35" ht="15" customHeight="1" x14ac:dyDescent="0.3">
      <c r="A813">
        <v>812</v>
      </c>
      <c r="B813" t="s">
        <v>2722</v>
      </c>
      <c r="C813" s="12">
        <v>41925</v>
      </c>
      <c r="D813" s="12">
        <v>41927</v>
      </c>
      <c r="E813" t="s">
        <v>371</v>
      </c>
      <c r="F813" t="s">
        <v>2162</v>
      </c>
      <c r="G813" t="s">
        <v>2163</v>
      </c>
      <c r="H813" t="s">
        <v>209</v>
      </c>
      <c r="I813" t="s">
        <v>210</v>
      </c>
      <c r="J813" t="s">
        <v>2723</v>
      </c>
      <c r="K813" t="s">
        <v>279</v>
      </c>
      <c r="L813">
        <v>98026</v>
      </c>
      <c r="M813" t="s">
        <v>227</v>
      </c>
      <c r="N813" t="s">
        <v>2726</v>
      </c>
      <c r="O813" t="s">
        <v>229</v>
      </c>
      <c r="P813" t="s">
        <v>261</v>
      </c>
      <c r="Q813" t="s">
        <v>2727</v>
      </c>
      <c r="R813" s="13">
        <v>213.92</v>
      </c>
      <c r="S813">
        <v>4</v>
      </c>
      <c r="T813" s="14">
        <v>0</v>
      </c>
      <c r="U813" s="13">
        <v>62.036799999999999</v>
      </c>
      <c r="V813">
        <f t="shared" si="168"/>
        <v>2014</v>
      </c>
      <c r="W813" t="str">
        <f t="shared" si="169"/>
        <v>Oct</v>
      </c>
      <c r="X813" t="str">
        <f t="shared" si="170"/>
        <v>Q4</v>
      </c>
      <c r="Y813" t="str">
        <f t="shared" si="171"/>
        <v>Mon</v>
      </c>
      <c r="Z813" s="16">
        <f t="shared" si="172"/>
        <v>2</v>
      </c>
      <c r="AA813" s="13">
        <f t="shared" si="173"/>
        <v>53.48</v>
      </c>
      <c r="AB813" s="14">
        <f t="shared" si="174"/>
        <v>0.29000000000000004</v>
      </c>
      <c r="AC813" t="str">
        <f t="shared" si="175"/>
        <v>No Discount</v>
      </c>
      <c r="AD813" t="str">
        <f t="shared" si="176"/>
        <v>High ($200-$500)</v>
      </c>
      <c r="AE813" t="str">
        <f t="shared" si="177"/>
        <v>Medium (3-5 units)</v>
      </c>
      <c r="AF813" t="str">
        <f t="shared" si="178"/>
        <v>Profitable</v>
      </c>
      <c r="AG813" t="str">
        <f t="shared" si="179"/>
        <v>High Margin</v>
      </c>
      <c r="AH813" t="str">
        <f t="shared" si="180"/>
        <v>Repeat Customer</v>
      </c>
      <c r="AI813" t="str">
        <f t="shared" si="181"/>
        <v>Fast (&lt;=2 days)</v>
      </c>
    </row>
    <row r="814" spans="1:35" ht="15" customHeight="1" x14ac:dyDescent="0.3">
      <c r="A814">
        <v>813</v>
      </c>
      <c r="B814" t="s">
        <v>2722</v>
      </c>
      <c r="C814" s="12">
        <v>41925</v>
      </c>
      <c r="D814" s="12">
        <v>41927</v>
      </c>
      <c r="E814" t="s">
        <v>371</v>
      </c>
      <c r="F814" t="s">
        <v>2162</v>
      </c>
      <c r="G814" t="s">
        <v>2163</v>
      </c>
      <c r="H814" t="s">
        <v>209</v>
      </c>
      <c r="I814" t="s">
        <v>210</v>
      </c>
      <c r="J814" t="s">
        <v>2723</v>
      </c>
      <c r="K814" t="s">
        <v>279</v>
      </c>
      <c r="L814">
        <v>98026</v>
      </c>
      <c r="M814" t="s">
        <v>227</v>
      </c>
      <c r="N814" t="s">
        <v>2337</v>
      </c>
      <c r="O814" t="s">
        <v>254</v>
      </c>
      <c r="P814" t="s">
        <v>344</v>
      </c>
      <c r="Q814" t="s">
        <v>2338</v>
      </c>
      <c r="R814" s="13">
        <v>25.78</v>
      </c>
      <c r="S814">
        <v>2</v>
      </c>
      <c r="T814" s="14">
        <v>0</v>
      </c>
      <c r="U814" s="13">
        <v>2.5779999999999998</v>
      </c>
      <c r="V814">
        <f t="shared" si="168"/>
        <v>2014</v>
      </c>
      <c r="W814" t="str">
        <f t="shared" si="169"/>
        <v>Oct</v>
      </c>
      <c r="X814" t="str">
        <f t="shared" si="170"/>
        <v>Q4</v>
      </c>
      <c r="Y814" t="str">
        <f t="shared" si="171"/>
        <v>Mon</v>
      </c>
      <c r="Z814" s="16">
        <f t="shared" si="172"/>
        <v>2</v>
      </c>
      <c r="AA814" s="13">
        <f t="shared" si="173"/>
        <v>12.89</v>
      </c>
      <c r="AB814" s="14">
        <f t="shared" si="174"/>
        <v>9.9999999999999992E-2</v>
      </c>
      <c r="AC814" t="str">
        <f t="shared" si="175"/>
        <v>No Discount</v>
      </c>
      <c r="AD814" t="str">
        <f t="shared" si="176"/>
        <v>Low (&lt;$50)</v>
      </c>
      <c r="AE814" t="str">
        <f t="shared" si="177"/>
        <v>Small (1-2 units)</v>
      </c>
      <c r="AF814" t="str">
        <f t="shared" si="178"/>
        <v>Profitable</v>
      </c>
      <c r="AG814" t="str">
        <f t="shared" si="179"/>
        <v>Healthy Margin</v>
      </c>
      <c r="AH814" t="str">
        <f t="shared" si="180"/>
        <v>Repeat Customer</v>
      </c>
      <c r="AI814" t="str">
        <f t="shared" si="181"/>
        <v>Fast (&lt;=2 days)</v>
      </c>
    </row>
    <row r="815" spans="1:35" ht="15" customHeight="1" x14ac:dyDescent="0.3">
      <c r="A815">
        <v>814</v>
      </c>
      <c r="B815" t="s">
        <v>2728</v>
      </c>
      <c r="C815" s="12">
        <v>42869</v>
      </c>
      <c r="D815" s="12">
        <v>42869</v>
      </c>
      <c r="E815" t="s">
        <v>1476</v>
      </c>
      <c r="F815" t="s">
        <v>2729</v>
      </c>
      <c r="G815" t="s">
        <v>2730</v>
      </c>
      <c r="H815" t="s">
        <v>209</v>
      </c>
      <c r="I815" t="s">
        <v>210</v>
      </c>
      <c r="J815" t="s">
        <v>2731</v>
      </c>
      <c r="K815" t="s">
        <v>226</v>
      </c>
      <c r="L815">
        <v>92704</v>
      </c>
      <c r="M815" t="s">
        <v>227</v>
      </c>
      <c r="N815" t="s">
        <v>2711</v>
      </c>
      <c r="O815" t="s">
        <v>215</v>
      </c>
      <c r="P815" t="s">
        <v>248</v>
      </c>
      <c r="Q815" t="s">
        <v>2712</v>
      </c>
      <c r="R815" s="13">
        <v>18.28</v>
      </c>
      <c r="S815">
        <v>2</v>
      </c>
      <c r="T815" s="14">
        <v>0</v>
      </c>
      <c r="U815" s="13">
        <v>6.2152000000000003</v>
      </c>
      <c r="V815">
        <f t="shared" si="168"/>
        <v>2017</v>
      </c>
      <c r="W815" t="str">
        <f t="shared" si="169"/>
        <v>May</v>
      </c>
      <c r="X815" t="str">
        <f t="shared" si="170"/>
        <v>Q2</v>
      </c>
      <c r="Y815" t="str">
        <f t="shared" si="171"/>
        <v>Sun</v>
      </c>
      <c r="Z815" s="16">
        <f t="shared" si="172"/>
        <v>0</v>
      </c>
      <c r="AA815" s="13">
        <f t="shared" si="173"/>
        <v>9.14</v>
      </c>
      <c r="AB815" s="14">
        <f t="shared" si="174"/>
        <v>0.33999999999999997</v>
      </c>
      <c r="AC815" t="str">
        <f t="shared" si="175"/>
        <v>No Discount</v>
      </c>
      <c r="AD815" t="str">
        <f t="shared" si="176"/>
        <v>Low (&lt;$50)</v>
      </c>
      <c r="AE815" t="str">
        <f t="shared" si="177"/>
        <v>Small (1-2 units)</v>
      </c>
      <c r="AF815" t="str">
        <f t="shared" si="178"/>
        <v>Profitable</v>
      </c>
      <c r="AG815" t="str">
        <f t="shared" si="179"/>
        <v>High Margin</v>
      </c>
      <c r="AH815" t="str">
        <f t="shared" si="180"/>
        <v>Repeat Customer</v>
      </c>
      <c r="AI815" t="str">
        <f t="shared" si="181"/>
        <v>Fast (&lt;=2 days)</v>
      </c>
    </row>
    <row r="816" spans="1:35" ht="15" customHeight="1" x14ac:dyDescent="0.3">
      <c r="A816">
        <v>815</v>
      </c>
      <c r="B816" t="s">
        <v>2728</v>
      </c>
      <c r="C816" s="12">
        <v>42869</v>
      </c>
      <c r="D816" s="12">
        <v>42869</v>
      </c>
      <c r="E816" t="s">
        <v>1476</v>
      </c>
      <c r="F816" t="s">
        <v>2729</v>
      </c>
      <c r="G816" t="s">
        <v>2730</v>
      </c>
      <c r="H816" t="s">
        <v>209</v>
      </c>
      <c r="I816" t="s">
        <v>210</v>
      </c>
      <c r="J816" t="s">
        <v>2731</v>
      </c>
      <c r="K816" t="s">
        <v>226</v>
      </c>
      <c r="L816">
        <v>92704</v>
      </c>
      <c r="M816" t="s">
        <v>227</v>
      </c>
      <c r="N816" t="s">
        <v>2732</v>
      </c>
      <c r="O816" t="s">
        <v>254</v>
      </c>
      <c r="P816" t="s">
        <v>344</v>
      </c>
      <c r="Q816" t="s">
        <v>2733</v>
      </c>
      <c r="R816" s="13">
        <v>1399.93</v>
      </c>
      <c r="S816">
        <v>7</v>
      </c>
      <c r="T816" s="14">
        <v>0</v>
      </c>
      <c r="U816" s="13">
        <v>601.96990000000005</v>
      </c>
      <c r="V816">
        <f t="shared" si="168"/>
        <v>2017</v>
      </c>
      <c r="W816" t="str">
        <f t="shared" si="169"/>
        <v>May</v>
      </c>
      <c r="X816" t="str">
        <f t="shared" si="170"/>
        <v>Q2</v>
      </c>
      <c r="Y816" t="str">
        <f t="shared" si="171"/>
        <v>Sun</v>
      </c>
      <c r="Z816" s="16">
        <f t="shared" si="172"/>
        <v>0</v>
      </c>
      <c r="AA816" s="13">
        <f t="shared" si="173"/>
        <v>199.99</v>
      </c>
      <c r="AB816" s="14">
        <f t="shared" si="174"/>
        <v>0.43</v>
      </c>
      <c r="AC816" t="str">
        <f t="shared" si="175"/>
        <v>No Discount</v>
      </c>
      <c r="AD816" t="str">
        <f t="shared" si="176"/>
        <v>Premium ($500+)</v>
      </c>
      <c r="AE816" t="str">
        <f t="shared" si="177"/>
        <v>Large (6+ units)</v>
      </c>
      <c r="AF816" t="str">
        <f t="shared" si="178"/>
        <v>Profitable</v>
      </c>
      <c r="AG816" t="str">
        <f t="shared" si="179"/>
        <v>High Margin</v>
      </c>
      <c r="AH816" t="str">
        <f t="shared" si="180"/>
        <v>Repeat Customer</v>
      </c>
      <c r="AI816" t="str">
        <f t="shared" si="181"/>
        <v>Fast (&lt;=2 days)</v>
      </c>
    </row>
    <row r="817" spans="1:35" ht="15" customHeight="1" x14ac:dyDescent="0.3">
      <c r="A817">
        <v>816</v>
      </c>
      <c r="B817" t="s">
        <v>2734</v>
      </c>
      <c r="C817" s="12">
        <v>42083</v>
      </c>
      <c r="D817" s="12">
        <v>42086</v>
      </c>
      <c r="E817" t="s">
        <v>371</v>
      </c>
      <c r="F817" t="s">
        <v>2735</v>
      </c>
      <c r="G817" t="s">
        <v>2736</v>
      </c>
      <c r="H817" t="s">
        <v>224</v>
      </c>
      <c r="I817" t="s">
        <v>210</v>
      </c>
      <c r="J817" t="s">
        <v>2737</v>
      </c>
      <c r="K817" t="s">
        <v>297</v>
      </c>
      <c r="L817">
        <v>53209</v>
      </c>
      <c r="M817" t="s">
        <v>288</v>
      </c>
      <c r="N817" t="s">
        <v>953</v>
      </c>
      <c r="O817" t="s">
        <v>229</v>
      </c>
      <c r="P817" t="s">
        <v>273</v>
      </c>
      <c r="Q817" t="s">
        <v>954</v>
      </c>
      <c r="R817" s="13">
        <v>51.84</v>
      </c>
      <c r="S817">
        <v>8</v>
      </c>
      <c r="T817" s="14">
        <v>0</v>
      </c>
      <c r="U817" s="13">
        <v>24.883199999999999</v>
      </c>
      <c r="V817">
        <f t="shared" si="168"/>
        <v>2015</v>
      </c>
      <c r="W817" t="str">
        <f t="shared" si="169"/>
        <v>Mar</v>
      </c>
      <c r="X817" t="str">
        <f t="shared" si="170"/>
        <v>Q1</v>
      </c>
      <c r="Y817" t="str">
        <f t="shared" si="171"/>
        <v>Fri</v>
      </c>
      <c r="Z817" s="16">
        <f t="shared" si="172"/>
        <v>3</v>
      </c>
      <c r="AA817" s="13">
        <f t="shared" si="173"/>
        <v>6.48</v>
      </c>
      <c r="AB817" s="14">
        <f t="shared" si="174"/>
        <v>0.47999999999999993</v>
      </c>
      <c r="AC817" t="str">
        <f t="shared" si="175"/>
        <v>No Discount</v>
      </c>
      <c r="AD817" t="str">
        <f t="shared" si="176"/>
        <v>Medium ($50-$200)</v>
      </c>
      <c r="AE817" t="str">
        <f t="shared" si="177"/>
        <v>Large (6+ units)</v>
      </c>
      <c r="AF817" t="str">
        <f t="shared" si="178"/>
        <v>Profitable</v>
      </c>
      <c r="AG817" t="str">
        <f t="shared" si="179"/>
        <v>High Margin</v>
      </c>
      <c r="AH817" t="str">
        <f t="shared" si="180"/>
        <v>Repeat Customer</v>
      </c>
      <c r="AI817" t="str">
        <f t="shared" si="181"/>
        <v>Standard (3-5 days)</v>
      </c>
    </row>
    <row r="818" spans="1:35" ht="15" customHeight="1" x14ac:dyDescent="0.3">
      <c r="A818">
        <v>817</v>
      </c>
      <c r="B818" t="s">
        <v>2738</v>
      </c>
      <c r="C818" s="12">
        <v>42628</v>
      </c>
      <c r="D818" s="12">
        <v>42632</v>
      </c>
      <c r="E818" t="s">
        <v>233</v>
      </c>
      <c r="F818" t="s">
        <v>1960</v>
      </c>
      <c r="G818" t="s">
        <v>1961</v>
      </c>
      <c r="H818" t="s">
        <v>209</v>
      </c>
      <c r="I818" t="s">
        <v>210</v>
      </c>
      <c r="J818" t="s">
        <v>329</v>
      </c>
      <c r="K818" t="s">
        <v>330</v>
      </c>
      <c r="L818">
        <v>19140</v>
      </c>
      <c r="M818" t="s">
        <v>331</v>
      </c>
      <c r="N818" t="s">
        <v>2739</v>
      </c>
      <c r="O818" t="s">
        <v>229</v>
      </c>
      <c r="P818" t="s">
        <v>273</v>
      </c>
      <c r="Q818" t="s">
        <v>2740</v>
      </c>
      <c r="R818" s="13">
        <v>5.3440000000000003</v>
      </c>
      <c r="S818">
        <v>1</v>
      </c>
      <c r="T818" s="14">
        <v>0.2</v>
      </c>
      <c r="U818" s="13">
        <v>1.8704000000000001</v>
      </c>
      <c r="V818">
        <f t="shared" si="168"/>
        <v>2016</v>
      </c>
      <c r="W818" t="str">
        <f t="shared" si="169"/>
        <v>Sep</v>
      </c>
      <c r="X818" t="str">
        <f t="shared" si="170"/>
        <v>Q3</v>
      </c>
      <c r="Y818" t="str">
        <f t="shared" si="171"/>
        <v>Thu</v>
      </c>
      <c r="Z818" s="16">
        <f t="shared" si="172"/>
        <v>4</v>
      </c>
      <c r="AA818" s="13">
        <f t="shared" si="173"/>
        <v>5.3440000000000003</v>
      </c>
      <c r="AB818" s="14">
        <f t="shared" si="174"/>
        <v>0.35</v>
      </c>
      <c r="AC818" t="str">
        <f t="shared" si="175"/>
        <v>Low (1-20%)</v>
      </c>
      <c r="AD818" t="str">
        <f t="shared" si="176"/>
        <v>Low (&lt;$50)</v>
      </c>
      <c r="AE818" t="str">
        <f t="shared" si="177"/>
        <v>Small (1-2 units)</v>
      </c>
      <c r="AF818" t="str">
        <f t="shared" si="178"/>
        <v>Profitable</v>
      </c>
      <c r="AG818" t="str">
        <f t="shared" si="179"/>
        <v>High Margin</v>
      </c>
      <c r="AH818" t="str">
        <f t="shared" si="180"/>
        <v>Repeat Customer</v>
      </c>
      <c r="AI818" t="str">
        <f t="shared" si="181"/>
        <v>Standard (3-5 days)</v>
      </c>
    </row>
    <row r="819" spans="1:35" ht="15" customHeight="1" x14ac:dyDescent="0.3">
      <c r="A819">
        <v>818</v>
      </c>
      <c r="B819" t="s">
        <v>2741</v>
      </c>
      <c r="C819" s="12">
        <v>41818</v>
      </c>
      <c r="D819" s="12">
        <v>41822</v>
      </c>
      <c r="E819" t="s">
        <v>233</v>
      </c>
      <c r="F819" t="s">
        <v>2094</v>
      </c>
      <c r="G819" t="s">
        <v>2095</v>
      </c>
      <c r="H819" t="s">
        <v>209</v>
      </c>
      <c r="I819" t="s">
        <v>210</v>
      </c>
      <c r="J819" t="s">
        <v>329</v>
      </c>
      <c r="K819" t="s">
        <v>330</v>
      </c>
      <c r="L819">
        <v>19140</v>
      </c>
      <c r="M819" t="s">
        <v>331</v>
      </c>
      <c r="N819" t="s">
        <v>587</v>
      </c>
      <c r="O819" t="s">
        <v>229</v>
      </c>
      <c r="P819" t="s">
        <v>273</v>
      </c>
      <c r="Q819" t="s">
        <v>588</v>
      </c>
      <c r="R819" s="13">
        <v>41.472000000000001</v>
      </c>
      <c r="S819">
        <v>8</v>
      </c>
      <c r="T819" s="14">
        <v>0.2</v>
      </c>
      <c r="U819" s="13">
        <v>14.5152</v>
      </c>
      <c r="V819">
        <f t="shared" si="168"/>
        <v>2014</v>
      </c>
      <c r="W819" t="str">
        <f t="shared" si="169"/>
        <v>Jun</v>
      </c>
      <c r="X819" t="str">
        <f t="shared" si="170"/>
        <v>Q2</v>
      </c>
      <c r="Y819" t="str">
        <f t="shared" si="171"/>
        <v>Sat</v>
      </c>
      <c r="Z819" s="16">
        <f t="shared" si="172"/>
        <v>4</v>
      </c>
      <c r="AA819" s="13">
        <f t="shared" si="173"/>
        <v>5.1840000000000002</v>
      </c>
      <c r="AB819" s="14">
        <f t="shared" si="174"/>
        <v>0.35</v>
      </c>
      <c r="AC819" t="str">
        <f t="shared" si="175"/>
        <v>Low (1-20%)</v>
      </c>
      <c r="AD819" t="str">
        <f t="shared" si="176"/>
        <v>Low (&lt;$50)</v>
      </c>
      <c r="AE819" t="str">
        <f t="shared" si="177"/>
        <v>Large (6+ units)</v>
      </c>
      <c r="AF819" t="str">
        <f t="shared" si="178"/>
        <v>Profitable</v>
      </c>
      <c r="AG819" t="str">
        <f t="shared" si="179"/>
        <v>High Margin</v>
      </c>
      <c r="AH819" t="str">
        <f t="shared" si="180"/>
        <v>Repeat Customer</v>
      </c>
      <c r="AI819" t="str">
        <f t="shared" si="181"/>
        <v>Standard (3-5 days)</v>
      </c>
    </row>
    <row r="820" spans="1:35" ht="15" customHeight="1" x14ac:dyDescent="0.3">
      <c r="A820">
        <v>819</v>
      </c>
      <c r="B820" t="s">
        <v>2741</v>
      </c>
      <c r="C820" s="12">
        <v>41818</v>
      </c>
      <c r="D820" s="12">
        <v>41822</v>
      </c>
      <c r="E820" t="s">
        <v>233</v>
      </c>
      <c r="F820" t="s">
        <v>2094</v>
      </c>
      <c r="G820" t="s">
        <v>2095</v>
      </c>
      <c r="H820" t="s">
        <v>209</v>
      </c>
      <c r="I820" t="s">
        <v>210</v>
      </c>
      <c r="J820" t="s">
        <v>329</v>
      </c>
      <c r="K820" t="s">
        <v>330</v>
      </c>
      <c r="L820">
        <v>19140</v>
      </c>
      <c r="M820" t="s">
        <v>331</v>
      </c>
      <c r="N820" t="s">
        <v>2742</v>
      </c>
      <c r="O820" t="s">
        <v>229</v>
      </c>
      <c r="P820" t="s">
        <v>258</v>
      </c>
      <c r="Q820" t="s">
        <v>2743</v>
      </c>
      <c r="R820" s="13">
        <v>3.1680000000000001</v>
      </c>
      <c r="S820">
        <v>3</v>
      </c>
      <c r="T820" s="14">
        <v>0.7</v>
      </c>
      <c r="U820" s="13">
        <v>-2.4287999999999998</v>
      </c>
      <c r="V820">
        <f t="shared" si="168"/>
        <v>2014</v>
      </c>
      <c r="W820" t="str">
        <f t="shared" si="169"/>
        <v>Jun</v>
      </c>
      <c r="X820" t="str">
        <f t="shared" si="170"/>
        <v>Q2</v>
      </c>
      <c r="Y820" t="str">
        <f t="shared" si="171"/>
        <v>Sat</v>
      </c>
      <c r="Z820" s="16">
        <f t="shared" si="172"/>
        <v>4</v>
      </c>
      <c r="AA820" s="13">
        <f t="shared" si="173"/>
        <v>1.056</v>
      </c>
      <c r="AB820" s="14">
        <f t="shared" si="174"/>
        <v>-0.76666666666666661</v>
      </c>
      <c r="AC820" t="str">
        <f t="shared" si="175"/>
        <v>High (40%+)</v>
      </c>
      <c r="AD820" t="str">
        <f t="shared" si="176"/>
        <v>Low (&lt;$50)</v>
      </c>
      <c r="AE820" t="str">
        <f t="shared" si="177"/>
        <v>Medium (3-5 units)</v>
      </c>
      <c r="AF820" t="str">
        <f t="shared" si="178"/>
        <v>Loss-Making</v>
      </c>
      <c r="AG820" t="str">
        <f t="shared" si="179"/>
        <v>Underperforming</v>
      </c>
      <c r="AH820" t="str">
        <f t="shared" si="180"/>
        <v>Repeat Customer</v>
      </c>
      <c r="AI820" t="str">
        <f t="shared" si="181"/>
        <v>Standard (3-5 days)</v>
      </c>
    </row>
    <row r="821" spans="1:35" ht="15" customHeight="1" x14ac:dyDescent="0.3">
      <c r="A821">
        <v>820</v>
      </c>
      <c r="B821" t="s">
        <v>2741</v>
      </c>
      <c r="C821" s="12">
        <v>41818</v>
      </c>
      <c r="D821" s="12">
        <v>41822</v>
      </c>
      <c r="E821" t="s">
        <v>233</v>
      </c>
      <c r="F821" t="s">
        <v>2094</v>
      </c>
      <c r="G821" t="s">
        <v>2095</v>
      </c>
      <c r="H821" t="s">
        <v>209</v>
      </c>
      <c r="I821" t="s">
        <v>210</v>
      </c>
      <c r="J821" t="s">
        <v>329</v>
      </c>
      <c r="K821" t="s">
        <v>330</v>
      </c>
      <c r="L821">
        <v>19140</v>
      </c>
      <c r="M821" t="s">
        <v>331</v>
      </c>
      <c r="N821" t="s">
        <v>2744</v>
      </c>
      <c r="O821" t="s">
        <v>215</v>
      </c>
      <c r="P821" t="s">
        <v>219</v>
      </c>
      <c r="Q821" t="s">
        <v>2745</v>
      </c>
      <c r="R821" s="13">
        <v>1228.4649999999999</v>
      </c>
      <c r="S821">
        <v>5</v>
      </c>
      <c r="T821" s="14">
        <v>0.3</v>
      </c>
      <c r="U821" s="13">
        <v>0</v>
      </c>
      <c r="V821">
        <f t="shared" si="168"/>
        <v>2014</v>
      </c>
      <c r="W821" t="str">
        <f t="shared" si="169"/>
        <v>Jun</v>
      </c>
      <c r="X821" t="str">
        <f t="shared" si="170"/>
        <v>Q2</v>
      </c>
      <c r="Y821" t="str">
        <f t="shared" si="171"/>
        <v>Sat</v>
      </c>
      <c r="Z821" s="16">
        <f t="shared" si="172"/>
        <v>4</v>
      </c>
      <c r="AA821" s="13">
        <f t="shared" si="173"/>
        <v>245.69299999999998</v>
      </c>
      <c r="AB821" s="14">
        <f t="shared" si="174"/>
        <v>0</v>
      </c>
      <c r="AC821" t="str">
        <f t="shared" si="175"/>
        <v>Medium (21-40%)</v>
      </c>
      <c r="AD821" t="str">
        <f t="shared" si="176"/>
        <v>Premium ($500+)</v>
      </c>
      <c r="AE821" t="str">
        <f t="shared" si="177"/>
        <v>Medium (3-5 units)</v>
      </c>
      <c r="AF821" t="str">
        <f t="shared" si="178"/>
        <v>Profitable</v>
      </c>
      <c r="AG821" t="str">
        <f t="shared" si="179"/>
        <v>Low Margin</v>
      </c>
      <c r="AH821" t="str">
        <f t="shared" si="180"/>
        <v>Repeat Customer</v>
      </c>
      <c r="AI821" t="str">
        <f t="shared" si="181"/>
        <v>Standard (3-5 days)</v>
      </c>
    </row>
    <row r="822" spans="1:35" ht="15" customHeight="1" x14ac:dyDescent="0.3">
      <c r="A822">
        <v>821</v>
      </c>
      <c r="B822" t="s">
        <v>2741</v>
      </c>
      <c r="C822" s="12">
        <v>41818</v>
      </c>
      <c r="D822" s="12">
        <v>41822</v>
      </c>
      <c r="E822" t="s">
        <v>233</v>
      </c>
      <c r="F822" t="s">
        <v>2094</v>
      </c>
      <c r="G822" t="s">
        <v>2095</v>
      </c>
      <c r="H822" t="s">
        <v>209</v>
      </c>
      <c r="I822" t="s">
        <v>210</v>
      </c>
      <c r="J822" t="s">
        <v>329</v>
      </c>
      <c r="K822" t="s">
        <v>330</v>
      </c>
      <c r="L822">
        <v>19140</v>
      </c>
      <c r="M822" t="s">
        <v>331</v>
      </c>
      <c r="N822" t="s">
        <v>2746</v>
      </c>
      <c r="O822" t="s">
        <v>229</v>
      </c>
      <c r="P822" t="s">
        <v>258</v>
      </c>
      <c r="Q822" t="s">
        <v>2747</v>
      </c>
      <c r="R822" s="13">
        <v>31.085999999999999</v>
      </c>
      <c r="S822">
        <v>3</v>
      </c>
      <c r="T822" s="14">
        <v>0.7</v>
      </c>
      <c r="U822" s="13">
        <v>-22.796399999999998</v>
      </c>
      <c r="V822">
        <f t="shared" si="168"/>
        <v>2014</v>
      </c>
      <c r="W822" t="str">
        <f t="shared" si="169"/>
        <v>Jun</v>
      </c>
      <c r="X822" t="str">
        <f t="shared" si="170"/>
        <v>Q2</v>
      </c>
      <c r="Y822" t="str">
        <f t="shared" si="171"/>
        <v>Sat</v>
      </c>
      <c r="Z822" s="16">
        <f t="shared" si="172"/>
        <v>4</v>
      </c>
      <c r="AA822" s="13">
        <f t="shared" si="173"/>
        <v>10.362</v>
      </c>
      <c r="AB822" s="14">
        <f t="shared" si="174"/>
        <v>-0.73333333333333328</v>
      </c>
      <c r="AC822" t="str">
        <f t="shared" si="175"/>
        <v>High (40%+)</v>
      </c>
      <c r="AD822" t="str">
        <f t="shared" si="176"/>
        <v>Low (&lt;$50)</v>
      </c>
      <c r="AE822" t="str">
        <f t="shared" si="177"/>
        <v>Medium (3-5 units)</v>
      </c>
      <c r="AF822" t="str">
        <f t="shared" si="178"/>
        <v>Loss-Making</v>
      </c>
      <c r="AG822" t="str">
        <f t="shared" si="179"/>
        <v>Underperforming</v>
      </c>
      <c r="AH822" t="str">
        <f t="shared" si="180"/>
        <v>Repeat Customer</v>
      </c>
      <c r="AI822" t="str">
        <f t="shared" si="181"/>
        <v>Standard (3-5 days)</v>
      </c>
    </row>
    <row r="823" spans="1:35" ht="15" customHeight="1" x14ac:dyDescent="0.3">
      <c r="A823">
        <v>822</v>
      </c>
      <c r="B823" t="s">
        <v>2741</v>
      </c>
      <c r="C823" s="12">
        <v>41818</v>
      </c>
      <c r="D823" s="12">
        <v>41822</v>
      </c>
      <c r="E823" t="s">
        <v>233</v>
      </c>
      <c r="F823" t="s">
        <v>2094</v>
      </c>
      <c r="G823" t="s">
        <v>2095</v>
      </c>
      <c r="H823" t="s">
        <v>209</v>
      </c>
      <c r="I823" t="s">
        <v>210</v>
      </c>
      <c r="J823" t="s">
        <v>329</v>
      </c>
      <c r="K823" t="s">
        <v>330</v>
      </c>
      <c r="L823">
        <v>19140</v>
      </c>
      <c r="M823" t="s">
        <v>331</v>
      </c>
      <c r="N823" t="s">
        <v>2748</v>
      </c>
      <c r="O823" t="s">
        <v>229</v>
      </c>
      <c r="P823" t="s">
        <v>273</v>
      </c>
      <c r="Q823" t="s">
        <v>2749</v>
      </c>
      <c r="R823" s="13">
        <v>335.52</v>
      </c>
      <c r="S823">
        <v>4</v>
      </c>
      <c r="T823" s="14">
        <v>0.2</v>
      </c>
      <c r="U823" s="13">
        <v>117.432</v>
      </c>
      <c r="V823">
        <f t="shared" si="168"/>
        <v>2014</v>
      </c>
      <c r="W823" t="str">
        <f t="shared" si="169"/>
        <v>Jun</v>
      </c>
      <c r="X823" t="str">
        <f t="shared" si="170"/>
        <v>Q2</v>
      </c>
      <c r="Y823" t="str">
        <f t="shared" si="171"/>
        <v>Sat</v>
      </c>
      <c r="Z823" s="16">
        <f t="shared" si="172"/>
        <v>4</v>
      </c>
      <c r="AA823" s="13">
        <f t="shared" si="173"/>
        <v>83.88</v>
      </c>
      <c r="AB823" s="14">
        <f t="shared" si="174"/>
        <v>0.35000000000000003</v>
      </c>
      <c r="AC823" t="str">
        <f t="shared" si="175"/>
        <v>Low (1-20%)</v>
      </c>
      <c r="AD823" t="str">
        <f t="shared" si="176"/>
        <v>High ($200-$500)</v>
      </c>
      <c r="AE823" t="str">
        <f t="shared" si="177"/>
        <v>Medium (3-5 units)</v>
      </c>
      <c r="AF823" t="str">
        <f t="shared" si="178"/>
        <v>Profitable</v>
      </c>
      <c r="AG823" t="str">
        <f t="shared" si="179"/>
        <v>High Margin</v>
      </c>
      <c r="AH823" t="str">
        <f t="shared" si="180"/>
        <v>Repeat Customer</v>
      </c>
      <c r="AI823" t="str">
        <f t="shared" si="181"/>
        <v>Standard (3-5 days)</v>
      </c>
    </row>
    <row r="824" spans="1:35" ht="15" customHeight="1" x14ac:dyDescent="0.3">
      <c r="A824">
        <v>823</v>
      </c>
      <c r="B824" t="s">
        <v>2750</v>
      </c>
      <c r="C824" s="12">
        <v>42906</v>
      </c>
      <c r="D824" s="12">
        <v>42913</v>
      </c>
      <c r="E824" t="s">
        <v>233</v>
      </c>
      <c r="F824" t="s">
        <v>2751</v>
      </c>
      <c r="G824" t="s">
        <v>2752</v>
      </c>
      <c r="H824" t="s">
        <v>209</v>
      </c>
      <c r="I824" t="s">
        <v>210</v>
      </c>
      <c r="J824" t="s">
        <v>1279</v>
      </c>
      <c r="K824" t="s">
        <v>973</v>
      </c>
      <c r="L824">
        <v>7109</v>
      </c>
      <c r="M824" t="s">
        <v>331</v>
      </c>
      <c r="N824" t="s">
        <v>2753</v>
      </c>
      <c r="O824" t="s">
        <v>254</v>
      </c>
      <c r="P824" t="s">
        <v>344</v>
      </c>
      <c r="Q824" t="s">
        <v>2754</v>
      </c>
      <c r="R824" s="13">
        <v>239.97</v>
      </c>
      <c r="S824">
        <v>3</v>
      </c>
      <c r="T824" s="14">
        <v>0</v>
      </c>
      <c r="U824" s="13">
        <v>71.991</v>
      </c>
      <c r="V824">
        <f t="shared" si="168"/>
        <v>2017</v>
      </c>
      <c r="W824" t="str">
        <f t="shared" si="169"/>
        <v>Jun</v>
      </c>
      <c r="X824" t="str">
        <f t="shared" si="170"/>
        <v>Q2</v>
      </c>
      <c r="Y824" t="str">
        <f t="shared" si="171"/>
        <v>Tue</v>
      </c>
      <c r="Z824" s="16">
        <f t="shared" si="172"/>
        <v>7</v>
      </c>
      <c r="AA824" s="13">
        <f t="shared" si="173"/>
        <v>79.989999999999995</v>
      </c>
      <c r="AB824" s="14">
        <f t="shared" si="174"/>
        <v>0.3</v>
      </c>
      <c r="AC824" t="str">
        <f t="shared" si="175"/>
        <v>No Discount</v>
      </c>
      <c r="AD824" t="str">
        <f t="shared" si="176"/>
        <v>High ($200-$500)</v>
      </c>
      <c r="AE824" t="str">
        <f t="shared" si="177"/>
        <v>Medium (3-5 units)</v>
      </c>
      <c r="AF824" t="str">
        <f t="shared" si="178"/>
        <v>Profitable</v>
      </c>
      <c r="AG824" t="str">
        <f t="shared" si="179"/>
        <v>High Margin</v>
      </c>
      <c r="AH824" t="str">
        <f t="shared" si="180"/>
        <v>Repeat Customer</v>
      </c>
      <c r="AI824" t="str">
        <f t="shared" si="181"/>
        <v>Slow (6+ days)</v>
      </c>
    </row>
    <row r="825" spans="1:35" ht="15" customHeight="1" x14ac:dyDescent="0.3">
      <c r="A825">
        <v>824</v>
      </c>
      <c r="B825" t="s">
        <v>2750</v>
      </c>
      <c r="C825" s="12">
        <v>42906</v>
      </c>
      <c r="D825" s="12">
        <v>42913</v>
      </c>
      <c r="E825" t="s">
        <v>233</v>
      </c>
      <c r="F825" t="s">
        <v>2751</v>
      </c>
      <c r="G825" t="s">
        <v>2752</v>
      </c>
      <c r="H825" t="s">
        <v>209</v>
      </c>
      <c r="I825" t="s">
        <v>210</v>
      </c>
      <c r="J825" t="s">
        <v>1279</v>
      </c>
      <c r="K825" t="s">
        <v>973</v>
      </c>
      <c r="L825">
        <v>7109</v>
      </c>
      <c r="M825" t="s">
        <v>331</v>
      </c>
      <c r="N825" t="s">
        <v>2553</v>
      </c>
      <c r="O825" t="s">
        <v>229</v>
      </c>
      <c r="P825" t="s">
        <v>230</v>
      </c>
      <c r="Q825" t="s">
        <v>2554</v>
      </c>
      <c r="R825" s="13">
        <v>9.82</v>
      </c>
      <c r="S825">
        <v>2</v>
      </c>
      <c r="T825" s="14">
        <v>0</v>
      </c>
      <c r="U825" s="13">
        <v>4.8117999999999999</v>
      </c>
      <c r="V825">
        <f t="shared" si="168"/>
        <v>2017</v>
      </c>
      <c r="W825" t="str">
        <f t="shared" si="169"/>
        <v>Jun</v>
      </c>
      <c r="X825" t="str">
        <f t="shared" si="170"/>
        <v>Q2</v>
      </c>
      <c r="Y825" t="str">
        <f t="shared" si="171"/>
        <v>Tue</v>
      </c>
      <c r="Z825" s="16">
        <f t="shared" si="172"/>
        <v>7</v>
      </c>
      <c r="AA825" s="13">
        <f t="shared" si="173"/>
        <v>4.91</v>
      </c>
      <c r="AB825" s="14">
        <f t="shared" si="174"/>
        <v>0.49</v>
      </c>
      <c r="AC825" t="str">
        <f t="shared" si="175"/>
        <v>No Discount</v>
      </c>
      <c r="AD825" t="str">
        <f t="shared" si="176"/>
        <v>Low (&lt;$50)</v>
      </c>
      <c r="AE825" t="str">
        <f t="shared" si="177"/>
        <v>Small (1-2 units)</v>
      </c>
      <c r="AF825" t="str">
        <f t="shared" si="178"/>
        <v>Profitable</v>
      </c>
      <c r="AG825" t="str">
        <f t="shared" si="179"/>
        <v>High Margin</v>
      </c>
      <c r="AH825" t="str">
        <f t="shared" si="180"/>
        <v>Repeat Customer</v>
      </c>
      <c r="AI825" t="str">
        <f t="shared" si="181"/>
        <v>Slow (6+ days)</v>
      </c>
    </row>
    <row r="826" spans="1:35" ht="15" customHeight="1" x14ac:dyDescent="0.3">
      <c r="A826">
        <v>825</v>
      </c>
      <c r="B826" t="s">
        <v>2755</v>
      </c>
      <c r="C826" s="12">
        <v>41768</v>
      </c>
      <c r="D826" s="12">
        <v>41774</v>
      </c>
      <c r="E826" t="s">
        <v>233</v>
      </c>
      <c r="F826" t="s">
        <v>2756</v>
      </c>
      <c r="G826" t="s">
        <v>2757</v>
      </c>
      <c r="H826" t="s">
        <v>209</v>
      </c>
      <c r="I826" t="s">
        <v>210</v>
      </c>
      <c r="J826" t="s">
        <v>310</v>
      </c>
      <c r="K826" t="s">
        <v>226</v>
      </c>
      <c r="L826">
        <v>94110</v>
      </c>
      <c r="M826" t="s">
        <v>227</v>
      </c>
      <c r="N826" t="s">
        <v>2758</v>
      </c>
      <c r="O826" t="s">
        <v>254</v>
      </c>
      <c r="P826" t="s">
        <v>344</v>
      </c>
      <c r="Q826" t="s">
        <v>2759</v>
      </c>
      <c r="R826" s="13">
        <v>67.8</v>
      </c>
      <c r="S826">
        <v>4</v>
      </c>
      <c r="T826" s="14">
        <v>0</v>
      </c>
      <c r="U826" s="13">
        <v>4.0679999999999996</v>
      </c>
      <c r="V826">
        <f t="shared" si="168"/>
        <v>2014</v>
      </c>
      <c r="W826" t="str">
        <f t="shared" si="169"/>
        <v>May</v>
      </c>
      <c r="X826" t="str">
        <f t="shared" si="170"/>
        <v>Q2</v>
      </c>
      <c r="Y826" t="str">
        <f t="shared" si="171"/>
        <v>Fri</v>
      </c>
      <c r="Z826" s="16">
        <f t="shared" si="172"/>
        <v>6</v>
      </c>
      <c r="AA826" s="13">
        <f t="shared" si="173"/>
        <v>16.95</v>
      </c>
      <c r="AB826" s="14">
        <f t="shared" si="174"/>
        <v>0.06</v>
      </c>
      <c r="AC826" t="str">
        <f t="shared" si="175"/>
        <v>No Discount</v>
      </c>
      <c r="AD826" t="str">
        <f t="shared" si="176"/>
        <v>Medium ($50-$200)</v>
      </c>
      <c r="AE826" t="str">
        <f t="shared" si="177"/>
        <v>Medium (3-5 units)</v>
      </c>
      <c r="AF826" t="str">
        <f t="shared" si="178"/>
        <v>Profitable</v>
      </c>
      <c r="AG826" t="str">
        <f t="shared" si="179"/>
        <v>Low Margin</v>
      </c>
      <c r="AH826" t="str">
        <f t="shared" si="180"/>
        <v>Repeat Customer</v>
      </c>
      <c r="AI826" t="str">
        <f t="shared" si="181"/>
        <v>Slow (6+ days)</v>
      </c>
    </row>
    <row r="827" spans="1:35" ht="15" customHeight="1" x14ac:dyDescent="0.3">
      <c r="A827">
        <v>826</v>
      </c>
      <c r="B827" t="s">
        <v>2755</v>
      </c>
      <c r="C827" s="12">
        <v>41768</v>
      </c>
      <c r="D827" s="12">
        <v>41774</v>
      </c>
      <c r="E827" t="s">
        <v>233</v>
      </c>
      <c r="F827" t="s">
        <v>2756</v>
      </c>
      <c r="G827" t="s">
        <v>2757</v>
      </c>
      <c r="H827" t="s">
        <v>209</v>
      </c>
      <c r="I827" t="s">
        <v>210</v>
      </c>
      <c r="J827" t="s">
        <v>310</v>
      </c>
      <c r="K827" t="s">
        <v>226</v>
      </c>
      <c r="L827">
        <v>94110</v>
      </c>
      <c r="M827" t="s">
        <v>227</v>
      </c>
      <c r="N827" t="s">
        <v>1041</v>
      </c>
      <c r="O827" t="s">
        <v>254</v>
      </c>
      <c r="P827" t="s">
        <v>344</v>
      </c>
      <c r="Q827" t="s">
        <v>1042</v>
      </c>
      <c r="R827" s="13">
        <v>167.97</v>
      </c>
      <c r="S827">
        <v>3</v>
      </c>
      <c r="T827" s="14">
        <v>0</v>
      </c>
      <c r="U827" s="13">
        <v>40.312800000000003</v>
      </c>
      <c r="V827">
        <f t="shared" si="168"/>
        <v>2014</v>
      </c>
      <c r="W827" t="str">
        <f t="shared" si="169"/>
        <v>May</v>
      </c>
      <c r="X827" t="str">
        <f t="shared" si="170"/>
        <v>Q2</v>
      </c>
      <c r="Y827" t="str">
        <f t="shared" si="171"/>
        <v>Fri</v>
      </c>
      <c r="Z827" s="16">
        <f t="shared" si="172"/>
        <v>6</v>
      </c>
      <c r="AA827" s="13">
        <f t="shared" si="173"/>
        <v>55.99</v>
      </c>
      <c r="AB827" s="14">
        <f t="shared" si="174"/>
        <v>0.24000000000000002</v>
      </c>
      <c r="AC827" t="str">
        <f t="shared" si="175"/>
        <v>No Discount</v>
      </c>
      <c r="AD827" t="str">
        <f t="shared" si="176"/>
        <v>Medium ($50-$200)</v>
      </c>
      <c r="AE827" t="str">
        <f t="shared" si="177"/>
        <v>Medium (3-5 units)</v>
      </c>
      <c r="AF827" t="str">
        <f t="shared" si="178"/>
        <v>Profitable</v>
      </c>
      <c r="AG827" t="str">
        <f t="shared" si="179"/>
        <v>Healthy Margin</v>
      </c>
      <c r="AH827" t="str">
        <f t="shared" si="180"/>
        <v>Repeat Customer</v>
      </c>
      <c r="AI827" t="str">
        <f t="shared" si="181"/>
        <v>Slow (6+ days)</v>
      </c>
    </row>
    <row r="828" spans="1:35" ht="15" customHeight="1" x14ac:dyDescent="0.3">
      <c r="A828">
        <v>827</v>
      </c>
      <c r="B828" t="s">
        <v>2760</v>
      </c>
      <c r="C828" s="12">
        <v>42968</v>
      </c>
      <c r="D828" s="12">
        <v>42975</v>
      </c>
      <c r="E828" t="s">
        <v>233</v>
      </c>
      <c r="F828" t="s">
        <v>2066</v>
      </c>
      <c r="G828" t="s">
        <v>2067</v>
      </c>
      <c r="H828" t="s">
        <v>209</v>
      </c>
      <c r="I828" t="s">
        <v>210</v>
      </c>
      <c r="J828" t="s">
        <v>1118</v>
      </c>
      <c r="K828" t="s">
        <v>412</v>
      </c>
      <c r="L828">
        <v>55044</v>
      </c>
      <c r="M828" t="s">
        <v>288</v>
      </c>
      <c r="N828" t="s">
        <v>2761</v>
      </c>
      <c r="O828" t="s">
        <v>229</v>
      </c>
      <c r="P828" t="s">
        <v>452</v>
      </c>
      <c r="Q828" t="s">
        <v>2762</v>
      </c>
      <c r="R828" s="13">
        <v>35</v>
      </c>
      <c r="S828">
        <v>7</v>
      </c>
      <c r="T828" s="14">
        <v>0</v>
      </c>
      <c r="U828" s="13">
        <v>16.8</v>
      </c>
      <c r="V828">
        <f t="shared" si="168"/>
        <v>2017</v>
      </c>
      <c r="W828" t="str">
        <f t="shared" si="169"/>
        <v>Aug</v>
      </c>
      <c r="X828" t="str">
        <f t="shared" si="170"/>
        <v>Q3</v>
      </c>
      <c r="Y828" t="str">
        <f t="shared" si="171"/>
        <v>Mon</v>
      </c>
      <c r="Z828" s="16">
        <f t="shared" si="172"/>
        <v>7</v>
      </c>
      <c r="AA828" s="13">
        <f t="shared" si="173"/>
        <v>5</v>
      </c>
      <c r="AB828" s="14">
        <f t="shared" si="174"/>
        <v>0.48000000000000004</v>
      </c>
      <c r="AC828" t="str">
        <f t="shared" si="175"/>
        <v>No Discount</v>
      </c>
      <c r="AD828" t="str">
        <f t="shared" si="176"/>
        <v>Low (&lt;$50)</v>
      </c>
      <c r="AE828" t="str">
        <f t="shared" si="177"/>
        <v>Large (6+ units)</v>
      </c>
      <c r="AF828" t="str">
        <f t="shared" si="178"/>
        <v>Profitable</v>
      </c>
      <c r="AG828" t="str">
        <f t="shared" si="179"/>
        <v>High Margin</v>
      </c>
      <c r="AH828" t="str">
        <f t="shared" si="180"/>
        <v>Repeat Customer</v>
      </c>
      <c r="AI828" t="str">
        <f t="shared" si="181"/>
        <v>Slow (6+ days)</v>
      </c>
    </row>
    <row r="829" spans="1:35" ht="15" customHeight="1" x14ac:dyDescent="0.3">
      <c r="A829">
        <v>828</v>
      </c>
      <c r="B829" t="s">
        <v>2760</v>
      </c>
      <c r="C829" s="12">
        <v>42968</v>
      </c>
      <c r="D829" s="12">
        <v>42975</v>
      </c>
      <c r="E829" t="s">
        <v>233</v>
      </c>
      <c r="F829" t="s">
        <v>2066</v>
      </c>
      <c r="G829" t="s">
        <v>2067</v>
      </c>
      <c r="H829" t="s">
        <v>209</v>
      </c>
      <c r="I829" t="s">
        <v>210</v>
      </c>
      <c r="J829" t="s">
        <v>1118</v>
      </c>
      <c r="K829" t="s">
        <v>412</v>
      </c>
      <c r="L829">
        <v>55044</v>
      </c>
      <c r="M829" t="s">
        <v>288</v>
      </c>
      <c r="N829" t="s">
        <v>2763</v>
      </c>
      <c r="O829" t="s">
        <v>229</v>
      </c>
      <c r="P829" t="s">
        <v>762</v>
      </c>
      <c r="Q829" t="s">
        <v>2764</v>
      </c>
      <c r="R829" s="13">
        <v>37.24</v>
      </c>
      <c r="S829">
        <v>4</v>
      </c>
      <c r="T829" s="14">
        <v>0</v>
      </c>
      <c r="U829" s="13">
        <v>10.7996</v>
      </c>
      <c r="V829">
        <f t="shared" si="168"/>
        <v>2017</v>
      </c>
      <c r="W829" t="str">
        <f t="shared" si="169"/>
        <v>Aug</v>
      </c>
      <c r="X829" t="str">
        <f t="shared" si="170"/>
        <v>Q3</v>
      </c>
      <c r="Y829" t="str">
        <f t="shared" si="171"/>
        <v>Mon</v>
      </c>
      <c r="Z829" s="16">
        <f t="shared" si="172"/>
        <v>7</v>
      </c>
      <c r="AA829" s="13">
        <f t="shared" si="173"/>
        <v>9.31</v>
      </c>
      <c r="AB829" s="14">
        <f t="shared" si="174"/>
        <v>0.28999999999999998</v>
      </c>
      <c r="AC829" t="str">
        <f t="shared" si="175"/>
        <v>No Discount</v>
      </c>
      <c r="AD829" t="str">
        <f t="shared" si="176"/>
        <v>Low (&lt;$50)</v>
      </c>
      <c r="AE829" t="str">
        <f t="shared" si="177"/>
        <v>Medium (3-5 units)</v>
      </c>
      <c r="AF829" t="str">
        <f t="shared" si="178"/>
        <v>Profitable</v>
      </c>
      <c r="AG829" t="str">
        <f t="shared" si="179"/>
        <v>High Margin</v>
      </c>
      <c r="AH829" t="str">
        <f t="shared" si="180"/>
        <v>Repeat Customer</v>
      </c>
      <c r="AI829" t="str">
        <f t="shared" si="181"/>
        <v>Slow (6+ days)</v>
      </c>
    </row>
    <row r="830" spans="1:35" ht="15" customHeight="1" x14ac:dyDescent="0.3">
      <c r="A830">
        <v>829</v>
      </c>
      <c r="B830" t="s">
        <v>2760</v>
      </c>
      <c r="C830" s="12">
        <v>42968</v>
      </c>
      <c r="D830" s="12">
        <v>42975</v>
      </c>
      <c r="E830" t="s">
        <v>233</v>
      </c>
      <c r="F830" t="s">
        <v>2066</v>
      </c>
      <c r="G830" t="s">
        <v>2067</v>
      </c>
      <c r="H830" t="s">
        <v>209</v>
      </c>
      <c r="I830" t="s">
        <v>210</v>
      </c>
      <c r="J830" t="s">
        <v>1118</v>
      </c>
      <c r="K830" t="s">
        <v>412</v>
      </c>
      <c r="L830">
        <v>55044</v>
      </c>
      <c r="M830" t="s">
        <v>288</v>
      </c>
      <c r="N830" t="s">
        <v>2765</v>
      </c>
      <c r="O830" t="s">
        <v>229</v>
      </c>
      <c r="P830" t="s">
        <v>356</v>
      </c>
      <c r="Q830" t="s">
        <v>2766</v>
      </c>
      <c r="R830" s="13">
        <v>15.28</v>
      </c>
      <c r="S830">
        <v>2</v>
      </c>
      <c r="T830" s="14">
        <v>0</v>
      </c>
      <c r="U830" s="13">
        <v>7.4871999999999996</v>
      </c>
      <c r="V830">
        <f t="shared" si="168"/>
        <v>2017</v>
      </c>
      <c r="W830" t="str">
        <f t="shared" si="169"/>
        <v>Aug</v>
      </c>
      <c r="X830" t="str">
        <f t="shared" si="170"/>
        <v>Q3</v>
      </c>
      <c r="Y830" t="str">
        <f t="shared" si="171"/>
        <v>Mon</v>
      </c>
      <c r="Z830" s="16">
        <f t="shared" si="172"/>
        <v>7</v>
      </c>
      <c r="AA830" s="13">
        <f t="shared" si="173"/>
        <v>7.64</v>
      </c>
      <c r="AB830" s="14">
        <f t="shared" si="174"/>
        <v>0.49</v>
      </c>
      <c r="AC830" t="str">
        <f t="shared" si="175"/>
        <v>No Discount</v>
      </c>
      <c r="AD830" t="str">
        <f t="shared" si="176"/>
        <v>Low (&lt;$50)</v>
      </c>
      <c r="AE830" t="str">
        <f t="shared" si="177"/>
        <v>Small (1-2 units)</v>
      </c>
      <c r="AF830" t="str">
        <f t="shared" si="178"/>
        <v>Profitable</v>
      </c>
      <c r="AG830" t="str">
        <f t="shared" si="179"/>
        <v>High Margin</v>
      </c>
      <c r="AH830" t="str">
        <f t="shared" si="180"/>
        <v>Repeat Customer</v>
      </c>
      <c r="AI830" t="str">
        <f t="shared" si="181"/>
        <v>Slow (6+ days)</v>
      </c>
    </row>
    <row r="831" spans="1:35" ht="15" customHeight="1" x14ac:dyDescent="0.3">
      <c r="A831">
        <v>830</v>
      </c>
      <c r="B831" t="s">
        <v>2767</v>
      </c>
      <c r="C831" s="12">
        <v>42902</v>
      </c>
      <c r="D831" s="12">
        <v>42907</v>
      </c>
      <c r="E831" t="s">
        <v>206</v>
      </c>
      <c r="F831" t="s">
        <v>515</v>
      </c>
      <c r="G831" t="s">
        <v>516</v>
      </c>
      <c r="H831" t="s">
        <v>209</v>
      </c>
      <c r="I831" t="s">
        <v>210</v>
      </c>
      <c r="J831" t="s">
        <v>2768</v>
      </c>
      <c r="K831" t="s">
        <v>212</v>
      </c>
      <c r="L831">
        <v>41042</v>
      </c>
      <c r="M831" t="s">
        <v>213</v>
      </c>
      <c r="N831" t="s">
        <v>2769</v>
      </c>
      <c r="O831" t="s">
        <v>215</v>
      </c>
      <c r="P831" t="s">
        <v>219</v>
      </c>
      <c r="Q831" t="s">
        <v>2770</v>
      </c>
      <c r="R831" s="13">
        <v>301.95999999999998</v>
      </c>
      <c r="S831">
        <v>2</v>
      </c>
      <c r="T831" s="14">
        <v>0</v>
      </c>
      <c r="U831" s="13">
        <v>90.587999999999994</v>
      </c>
      <c r="V831">
        <f t="shared" si="168"/>
        <v>2017</v>
      </c>
      <c r="W831" t="str">
        <f t="shared" si="169"/>
        <v>Jun</v>
      </c>
      <c r="X831" t="str">
        <f t="shared" si="170"/>
        <v>Q2</v>
      </c>
      <c r="Y831" t="str">
        <f t="shared" si="171"/>
        <v>Fri</v>
      </c>
      <c r="Z831" s="16">
        <f t="shared" si="172"/>
        <v>5</v>
      </c>
      <c r="AA831" s="13">
        <f t="shared" si="173"/>
        <v>150.97999999999999</v>
      </c>
      <c r="AB831" s="14">
        <f t="shared" si="174"/>
        <v>0.3</v>
      </c>
      <c r="AC831" t="str">
        <f t="shared" si="175"/>
        <v>No Discount</v>
      </c>
      <c r="AD831" t="str">
        <f t="shared" si="176"/>
        <v>High ($200-$500)</v>
      </c>
      <c r="AE831" t="str">
        <f t="shared" si="177"/>
        <v>Small (1-2 units)</v>
      </c>
      <c r="AF831" t="str">
        <f t="shared" si="178"/>
        <v>Profitable</v>
      </c>
      <c r="AG831" t="str">
        <f t="shared" si="179"/>
        <v>High Margin</v>
      </c>
      <c r="AH831" t="str">
        <f t="shared" si="180"/>
        <v>Repeat Customer</v>
      </c>
      <c r="AI831" t="str">
        <f t="shared" si="181"/>
        <v>Standard (3-5 days)</v>
      </c>
    </row>
    <row r="832" spans="1:35" ht="15" customHeight="1" x14ac:dyDescent="0.3">
      <c r="A832">
        <v>831</v>
      </c>
      <c r="B832" t="s">
        <v>2767</v>
      </c>
      <c r="C832" s="12">
        <v>42902</v>
      </c>
      <c r="D832" s="12">
        <v>42907</v>
      </c>
      <c r="E832" t="s">
        <v>206</v>
      </c>
      <c r="F832" t="s">
        <v>515</v>
      </c>
      <c r="G832" t="s">
        <v>516</v>
      </c>
      <c r="H832" t="s">
        <v>209</v>
      </c>
      <c r="I832" t="s">
        <v>210</v>
      </c>
      <c r="J832" t="s">
        <v>2768</v>
      </c>
      <c r="K832" t="s">
        <v>212</v>
      </c>
      <c r="L832">
        <v>41042</v>
      </c>
      <c r="M832" t="s">
        <v>213</v>
      </c>
      <c r="N832" t="s">
        <v>2771</v>
      </c>
      <c r="O832" t="s">
        <v>229</v>
      </c>
      <c r="P832" t="s">
        <v>261</v>
      </c>
      <c r="Q832" t="s">
        <v>2772</v>
      </c>
      <c r="R832" s="13">
        <v>180.66</v>
      </c>
      <c r="S832">
        <v>3</v>
      </c>
      <c r="T832" s="14">
        <v>0</v>
      </c>
      <c r="U832" s="13">
        <v>50.584800000000001</v>
      </c>
      <c r="V832">
        <f t="shared" si="168"/>
        <v>2017</v>
      </c>
      <c r="W832" t="str">
        <f t="shared" si="169"/>
        <v>Jun</v>
      </c>
      <c r="X832" t="str">
        <f t="shared" si="170"/>
        <v>Q2</v>
      </c>
      <c r="Y832" t="str">
        <f t="shared" si="171"/>
        <v>Fri</v>
      </c>
      <c r="Z832" s="16">
        <f t="shared" si="172"/>
        <v>5</v>
      </c>
      <c r="AA832" s="13">
        <f t="shared" si="173"/>
        <v>60.22</v>
      </c>
      <c r="AB832" s="14">
        <f t="shared" si="174"/>
        <v>0.28000000000000003</v>
      </c>
      <c r="AC832" t="str">
        <f t="shared" si="175"/>
        <v>No Discount</v>
      </c>
      <c r="AD832" t="str">
        <f t="shared" si="176"/>
        <v>Medium ($50-$200)</v>
      </c>
      <c r="AE832" t="str">
        <f t="shared" si="177"/>
        <v>Medium (3-5 units)</v>
      </c>
      <c r="AF832" t="str">
        <f t="shared" si="178"/>
        <v>Profitable</v>
      </c>
      <c r="AG832" t="str">
        <f t="shared" si="179"/>
        <v>High Margin</v>
      </c>
      <c r="AH832" t="str">
        <f t="shared" si="180"/>
        <v>Repeat Customer</v>
      </c>
      <c r="AI832" t="str">
        <f t="shared" si="181"/>
        <v>Standard (3-5 days)</v>
      </c>
    </row>
    <row r="833" spans="1:35" ht="15" customHeight="1" x14ac:dyDescent="0.3">
      <c r="A833">
        <v>832</v>
      </c>
      <c r="B833" t="s">
        <v>2767</v>
      </c>
      <c r="C833" s="12">
        <v>42902</v>
      </c>
      <c r="D833" s="12">
        <v>42907</v>
      </c>
      <c r="E833" t="s">
        <v>206</v>
      </c>
      <c r="F833" t="s">
        <v>515</v>
      </c>
      <c r="G833" t="s">
        <v>516</v>
      </c>
      <c r="H833" t="s">
        <v>209</v>
      </c>
      <c r="I833" t="s">
        <v>210</v>
      </c>
      <c r="J833" t="s">
        <v>2768</v>
      </c>
      <c r="K833" t="s">
        <v>212</v>
      </c>
      <c r="L833">
        <v>41042</v>
      </c>
      <c r="M833" t="s">
        <v>213</v>
      </c>
      <c r="N833" t="s">
        <v>2773</v>
      </c>
      <c r="O833" t="s">
        <v>254</v>
      </c>
      <c r="P833" t="s">
        <v>255</v>
      </c>
      <c r="Q833" t="s">
        <v>2774</v>
      </c>
      <c r="R833" s="13">
        <v>191.98</v>
      </c>
      <c r="S833">
        <v>2</v>
      </c>
      <c r="T833" s="14">
        <v>0</v>
      </c>
      <c r="U833" s="13">
        <v>51.834600000000002</v>
      </c>
      <c r="V833">
        <f t="shared" si="168"/>
        <v>2017</v>
      </c>
      <c r="W833" t="str">
        <f t="shared" si="169"/>
        <v>Jun</v>
      </c>
      <c r="X833" t="str">
        <f t="shared" si="170"/>
        <v>Q2</v>
      </c>
      <c r="Y833" t="str">
        <f t="shared" si="171"/>
        <v>Fri</v>
      </c>
      <c r="Z833" s="16">
        <f t="shared" si="172"/>
        <v>5</v>
      </c>
      <c r="AA833" s="13">
        <f t="shared" si="173"/>
        <v>95.99</v>
      </c>
      <c r="AB833" s="14">
        <f t="shared" si="174"/>
        <v>0.27</v>
      </c>
      <c r="AC833" t="str">
        <f t="shared" si="175"/>
        <v>No Discount</v>
      </c>
      <c r="AD833" t="str">
        <f t="shared" si="176"/>
        <v>Medium ($50-$200)</v>
      </c>
      <c r="AE833" t="str">
        <f t="shared" si="177"/>
        <v>Small (1-2 units)</v>
      </c>
      <c r="AF833" t="str">
        <f t="shared" si="178"/>
        <v>Profitable</v>
      </c>
      <c r="AG833" t="str">
        <f t="shared" si="179"/>
        <v>High Margin</v>
      </c>
      <c r="AH833" t="str">
        <f t="shared" si="180"/>
        <v>Repeat Customer</v>
      </c>
      <c r="AI833" t="str">
        <f t="shared" si="181"/>
        <v>Standard (3-5 days)</v>
      </c>
    </row>
    <row r="834" spans="1:35" ht="15" customHeight="1" x14ac:dyDescent="0.3">
      <c r="A834">
        <v>833</v>
      </c>
      <c r="B834" t="s">
        <v>2767</v>
      </c>
      <c r="C834" s="12">
        <v>42902</v>
      </c>
      <c r="D834" s="12">
        <v>42907</v>
      </c>
      <c r="E834" t="s">
        <v>206</v>
      </c>
      <c r="F834" t="s">
        <v>515</v>
      </c>
      <c r="G834" t="s">
        <v>516</v>
      </c>
      <c r="H834" t="s">
        <v>209</v>
      </c>
      <c r="I834" t="s">
        <v>210</v>
      </c>
      <c r="J834" t="s">
        <v>2768</v>
      </c>
      <c r="K834" t="s">
        <v>212</v>
      </c>
      <c r="L834">
        <v>41042</v>
      </c>
      <c r="M834" t="s">
        <v>213</v>
      </c>
      <c r="N834" t="s">
        <v>2775</v>
      </c>
      <c r="O834" t="s">
        <v>254</v>
      </c>
      <c r="P834" t="s">
        <v>255</v>
      </c>
      <c r="Q834" t="s">
        <v>2776</v>
      </c>
      <c r="R834" s="13">
        <v>65.989999999999995</v>
      </c>
      <c r="S834">
        <v>1</v>
      </c>
      <c r="T834" s="14">
        <v>0</v>
      </c>
      <c r="U834" s="13">
        <v>17.157399999999999</v>
      </c>
      <c r="V834">
        <f t="shared" ref="V834:V897" si="182">YEAR(C834)</f>
        <v>2017</v>
      </c>
      <c r="W834" t="str">
        <f t="shared" ref="W834:W897" si="183">TEXT(C834,"mmm")</f>
        <v>Jun</v>
      </c>
      <c r="X834" t="str">
        <f t="shared" ref="X834:X897" si="184">"Q"&amp;ROUNDUP(MONTH(C834)/3,0)</f>
        <v>Q2</v>
      </c>
      <c r="Y834" t="str">
        <f t="shared" ref="Y834:Y897" si="185">TEXT(C834,"ddd")</f>
        <v>Fri</v>
      </c>
      <c r="Z834" s="16">
        <f t="shared" ref="Z834:Z897" si="186">D834-C834</f>
        <v>5</v>
      </c>
      <c r="AA834" s="13">
        <f t="shared" ref="AA834:AA897" si="187">IFERROR(R834/S834,0)</f>
        <v>65.989999999999995</v>
      </c>
      <c r="AB834" s="14">
        <f t="shared" ref="AB834:AB897" si="188">IFERROR(U834/R834,0)</f>
        <v>0.26</v>
      </c>
      <c r="AC834" t="str">
        <f t="shared" ref="AC834:AC897" si="189">IF(T834=0,"No Discount",IF(T834&lt;=0.2,"Low (1-20%)",IF(T834&lt;=0.4,"Medium (21-40%)","High (40%+)")))</f>
        <v>No Discount</v>
      </c>
      <c r="AD834" t="str">
        <f t="shared" ref="AD834:AD897" si="190">IF(R834&lt;50,"Low (&lt;$50)",IF(R834&lt;200,"Medium ($50-$200)",IF(R834&lt;500,"High ($200-$500)","Premium ($500+)")))</f>
        <v>Medium ($50-$200)</v>
      </c>
      <c r="AE834" t="str">
        <f t="shared" ref="AE834:AE897" si="191">IF(S834&lt;=2,"Small (1-2 units)",IF(S834&lt;=5,"Medium (3-5 units)","Large (6+ units)"))</f>
        <v>Small (1-2 units)</v>
      </c>
      <c r="AF834" t="str">
        <f t="shared" ref="AF834:AF897" si="192">IF(U834&lt;0,"Loss-Making","Profitable")</f>
        <v>Profitable</v>
      </c>
      <c r="AG834" t="str">
        <f t="shared" ref="AG834:AG897" si="193">IF(AB834&lt;0,"Underperforming",IF(AB834&lt;0.1,"Low Margin",IF(AB834&lt;0.25,"Healthy Margin","High Margin")))</f>
        <v>High Margin</v>
      </c>
      <c r="AH834" t="str">
        <f t="shared" ref="AH834:AH897" si="194">IF(COUNTIF($F$2:$F$1001,F834)&gt;1,"Repeat Customer","Single Purchase")</f>
        <v>Repeat Customer</v>
      </c>
      <c r="AI834" t="str">
        <f t="shared" ref="AI834:AI897" si="195">IF(Z834&lt;=2,"Fast (&lt;=2 days)",IF(Z834&lt;=5,"Standard (3-5 days)","Slow (6+ days)"))</f>
        <v>Standard (3-5 days)</v>
      </c>
    </row>
    <row r="835" spans="1:35" ht="15" customHeight="1" x14ac:dyDescent="0.3">
      <c r="A835">
        <v>834</v>
      </c>
      <c r="B835" t="s">
        <v>2777</v>
      </c>
      <c r="C835" s="12">
        <v>42574</v>
      </c>
      <c r="D835" s="12">
        <v>42578</v>
      </c>
      <c r="E835" t="s">
        <v>233</v>
      </c>
      <c r="F835" t="s">
        <v>889</v>
      </c>
      <c r="G835" t="s">
        <v>890</v>
      </c>
      <c r="H835" t="s">
        <v>224</v>
      </c>
      <c r="I835" t="s">
        <v>210</v>
      </c>
      <c r="J835" t="s">
        <v>1085</v>
      </c>
      <c r="K835" t="s">
        <v>237</v>
      </c>
      <c r="L835">
        <v>33614</v>
      </c>
      <c r="M835" t="s">
        <v>213</v>
      </c>
      <c r="N835" t="s">
        <v>2778</v>
      </c>
      <c r="O835" t="s">
        <v>229</v>
      </c>
      <c r="P835" t="s">
        <v>251</v>
      </c>
      <c r="Q835" t="s">
        <v>2779</v>
      </c>
      <c r="R835" s="13">
        <v>35.216000000000001</v>
      </c>
      <c r="S835">
        <v>2</v>
      </c>
      <c r="T835" s="14">
        <v>0.2</v>
      </c>
      <c r="U835" s="13">
        <v>2.6412</v>
      </c>
      <c r="V835">
        <f t="shared" si="182"/>
        <v>2016</v>
      </c>
      <c r="W835" t="str">
        <f t="shared" si="183"/>
        <v>Jul</v>
      </c>
      <c r="X835" t="str">
        <f t="shared" si="184"/>
        <v>Q3</v>
      </c>
      <c r="Y835" t="str">
        <f t="shared" si="185"/>
        <v>Sat</v>
      </c>
      <c r="Z835" s="16">
        <f t="shared" si="186"/>
        <v>4</v>
      </c>
      <c r="AA835" s="13">
        <f t="shared" si="187"/>
        <v>17.608000000000001</v>
      </c>
      <c r="AB835" s="14">
        <f t="shared" si="188"/>
        <v>7.4999999999999997E-2</v>
      </c>
      <c r="AC835" t="str">
        <f t="shared" si="189"/>
        <v>Low (1-20%)</v>
      </c>
      <c r="AD835" t="str">
        <f t="shared" si="190"/>
        <v>Low (&lt;$50)</v>
      </c>
      <c r="AE835" t="str">
        <f t="shared" si="191"/>
        <v>Small (1-2 units)</v>
      </c>
      <c r="AF835" t="str">
        <f t="shared" si="192"/>
        <v>Profitable</v>
      </c>
      <c r="AG835" t="str">
        <f t="shared" si="193"/>
        <v>Low Margin</v>
      </c>
      <c r="AH835" t="str">
        <f t="shared" si="194"/>
        <v>Repeat Customer</v>
      </c>
      <c r="AI835" t="str">
        <f t="shared" si="195"/>
        <v>Standard (3-5 days)</v>
      </c>
    </row>
    <row r="836" spans="1:35" ht="15" customHeight="1" x14ac:dyDescent="0.3">
      <c r="A836">
        <v>835</v>
      </c>
      <c r="B836" t="s">
        <v>2777</v>
      </c>
      <c r="C836" s="12">
        <v>42574</v>
      </c>
      <c r="D836" s="12">
        <v>42578</v>
      </c>
      <c r="E836" t="s">
        <v>233</v>
      </c>
      <c r="F836" t="s">
        <v>889</v>
      </c>
      <c r="G836" t="s">
        <v>890</v>
      </c>
      <c r="H836" t="s">
        <v>224</v>
      </c>
      <c r="I836" t="s">
        <v>210</v>
      </c>
      <c r="J836" t="s">
        <v>1085</v>
      </c>
      <c r="K836" t="s">
        <v>237</v>
      </c>
      <c r="L836">
        <v>33614</v>
      </c>
      <c r="M836" t="s">
        <v>213</v>
      </c>
      <c r="N836" t="s">
        <v>2780</v>
      </c>
      <c r="O836" t="s">
        <v>229</v>
      </c>
      <c r="P836" t="s">
        <v>261</v>
      </c>
      <c r="Q836" t="s">
        <v>2781</v>
      </c>
      <c r="R836" s="13">
        <v>23.696000000000002</v>
      </c>
      <c r="S836">
        <v>2</v>
      </c>
      <c r="T836" s="14">
        <v>0.2</v>
      </c>
      <c r="U836" s="13">
        <v>6.5164</v>
      </c>
      <c r="V836">
        <f t="shared" si="182"/>
        <v>2016</v>
      </c>
      <c r="W836" t="str">
        <f t="shared" si="183"/>
        <v>Jul</v>
      </c>
      <c r="X836" t="str">
        <f t="shared" si="184"/>
        <v>Q3</v>
      </c>
      <c r="Y836" t="str">
        <f t="shared" si="185"/>
        <v>Sat</v>
      </c>
      <c r="Z836" s="16">
        <f t="shared" si="186"/>
        <v>4</v>
      </c>
      <c r="AA836" s="13">
        <f t="shared" si="187"/>
        <v>11.848000000000001</v>
      </c>
      <c r="AB836" s="14">
        <f t="shared" si="188"/>
        <v>0.27499999999999997</v>
      </c>
      <c r="AC836" t="str">
        <f t="shared" si="189"/>
        <v>Low (1-20%)</v>
      </c>
      <c r="AD836" t="str">
        <f t="shared" si="190"/>
        <v>Low (&lt;$50)</v>
      </c>
      <c r="AE836" t="str">
        <f t="shared" si="191"/>
        <v>Small (1-2 units)</v>
      </c>
      <c r="AF836" t="str">
        <f t="shared" si="192"/>
        <v>Profitable</v>
      </c>
      <c r="AG836" t="str">
        <f t="shared" si="193"/>
        <v>High Margin</v>
      </c>
      <c r="AH836" t="str">
        <f t="shared" si="194"/>
        <v>Repeat Customer</v>
      </c>
      <c r="AI836" t="str">
        <f t="shared" si="195"/>
        <v>Standard (3-5 days)</v>
      </c>
    </row>
    <row r="837" spans="1:35" ht="15" customHeight="1" x14ac:dyDescent="0.3">
      <c r="A837">
        <v>836</v>
      </c>
      <c r="B837" t="s">
        <v>2777</v>
      </c>
      <c r="C837" s="12">
        <v>42574</v>
      </c>
      <c r="D837" s="12">
        <v>42578</v>
      </c>
      <c r="E837" t="s">
        <v>233</v>
      </c>
      <c r="F837" t="s">
        <v>889</v>
      </c>
      <c r="G837" t="s">
        <v>890</v>
      </c>
      <c r="H837" t="s">
        <v>224</v>
      </c>
      <c r="I837" t="s">
        <v>210</v>
      </c>
      <c r="J837" t="s">
        <v>1085</v>
      </c>
      <c r="K837" t="s">
        <v>237</v>
      </c>
      <c r="L837">
        <v>33614</v>
      </c>
      <c r="M837" t="s">
        <v>213</v>
      </c>
      <c r="N837" t="s">
        <v>2782</v>
      </c>
      <c r="O837" t="s">
        <v>254</v>
      </c>
      <c r="P837" t="s">
        <v>867</v>
      </c>
      <c r="Q837" t="s">
        <v>2783</v>
      </c>
      <c r="R837" s="13">
        <v>265.47500000000002</v>
      </c>
      <c r="S837">
        <v>1</v>
      </c>
      <c r="T837" s="14">
        <v>0.5</v>
      </c>
      <c r="U837" s="13">
        <v>-111.4995</v>
      </c>
      <c r="V837">
        <f t="shared" si="182"/>
        <v>2016</v>
      </c>
      <c r="W837" t="str">
        <f t="shared" si="183"/>
        <v>Jul</v>
      </c>
      <c r="X837" t="str">
        <f t="shared" si="184"/>
        <v>Q3</v>
      </c>
      <c r="Y837" t="str">
        <f t="shared" si="185"/>
        <v>Sat</v>
      </c>
      <c r="Z837" s="16">
        <f t="shared" si="186"/>
        <v>4</v>
      </c>
      <c r="AA837" s="13">
        <f t="shared" si="187"/>
        <v>265.47500000000002</v>
      </c>
      <c r="AB837" s="14">
        <f t="shared" si="188"/>
        <v>-0.41999999999999993</v>
      </c>
      <c r="AC837" t="str">
        <f t="shared" si="189"/>
        <v>High (40%+)</v>
      </c>
      <c r="AD837" t="str">
        <f t="shared" si="190"/>
        <v>High ($200-$500)</v>
      </c>
      <c r="AE837" t="str">
        <f t="shared" si="191"/>
        <v>Small (1-2 units)</v>
      </c>
      <c r="AF837" t="str">
        <f t="shared" si="192"/>
        <v>Loss-Making</v>
      </c>
      <c r="AG837" t="str">
        <f t="shared" si="193"/>
        <v>Underperforming</v>
      </c>
      <c r="AH837" t="str">
        <f t="shared" si="194"/>
        <v>Repeat Customer</v>
      </c>
      <c r="AI837" t="str">
        <f t="shared" si="195"/>
        <v>Standard (3-5 days)</v>
      </c>
    </row>
    <row r="838" spans="1:35" ht="15" customHeight="1" x14ac:dyDescent="0.3">
      <c r="A838">
        <v>837</v>
      </c>
      <c r="B838" t="s">
        <v>2784</v>
      </c>
      <c r="C838" s="12">
        <v>41890</v>
      </c>
      <c r="D838" s="12">
        <v>41895</v>
      </c>
      <c r="E838" t="s">
        <v>206</v>
      </c>
      <c r="F838" t="s">
        <v>2605</v>
      </c>
      <c r="G838" t="s">
        <v>2606</v>
      </c>
      <c r="H838" t="s">
        <v>209</v>
      </c>
      <c r="I838" t="s">
        <v>210</v>
      </c>
      <c r="J838" t="s">
        <v>2390</v>
      </c>
      <c r="K838" t="s">
        <v>287</v>
      </c>
      <c r="L838">
        <v>75701</v>
      </c>
      <c r="M838" t="s">
        <v>288</v>
      </c>
      <c r="N838" t="s">
        <v>2785</v>
      </c>
      <c r="O838" t="s">
        <v>229</v>
      </c>
      <c r="P838" t="s">
        <v>258</v>
      </c>
      <c r="Q838" t="s">
        <v>2786</v>
      </c>
      <c r="R838" s="13">
        <v>51.183999999999997</v>
      </c>
      <c r="S838">
        <v>4</v>
      </c>
      <c r="T838" s="14">
        <v>0.8</v>
      </c>
      <c r="U838" s="13">
        <v>-79.3352</v>
      </c>
      <c r="V838">
        <f t="shared" si="182"/>
        <v>2014</v>
      </c>
      <c r="W838" t="str">
        <f t="shared" si="183"/>
        <v>Sep</v>
      </c>
      <c r="X838" t="str">
        <f t="shared" si="184"/>
        <v>Q3</v>
      </c>
      <c r="Y838" t="str">
        <f t="shared" si="185"/>
        <v>Mon</v>
      </c>
      <c r="Z838" s="16">
        <f t="shared" si="186"/>
        <v>5</v>
      </c>
      <c r="AA838" s="13">
        <f t="shared" si="187"/>
        <v>12.795999999999999</v>
      </c>
      <c r="AB838" s="14">
        <f t="shared" si="188"/>
        <v>-1.55</v>
      </c>
      <c r="AC838" t="str">
        <f t="shared" si="189"/>
        <v>High (40%+)</v>
      </c>
      <c r="AD838" t="str">
        <f t="shared" si="190"/>
        <v>Medium ($50-$200)</v>
      </c>
      <c r="AE838" t="str">
        <f t="shared" si="191"/>
        <v>Medium (3-5 units)</v>
      </c>
      <c r="AF838" t="str">
        <f t="shared" si="192"/>
        <v>Loss-Making</v>
      </c>
      <c r="AG838" t="str">
        <f t="shared" si="193"/>
        <v>Underperforming</v>
      </c>
      <c r="AH838" t="str">
        <f t="shared" si="194"/>
        <v>Repeat Customer</v>
      </c>
      <c r="AI838" t="str">
        <f t="shared" si="195"/>
        <v>Standard (3-5 days)</v>
      </c>
    </row>
    <row r="839" spans="1:35" ht="15" customHeight="1" x14ac:dyDescent="0.3">
      <c r="A839">
        <v>838</v>
      </c>
      <c r="B839" t="s">
        <v>2787</v>
      </c>
      <c r="C839" s="12">
        <v>43043</v>
      </c>
      <c r="D839" s="12">
        <v>43050</v>
      </c>
      <c r="E839" t="s">
        <v>233</v>
      </c>
      <c r="F839" t="s">
        <v>2788</v>
      </c>
      <c r="G839" t="s">
        <v>2789</v>
      </c>
      <c r="H839" t="s">
        <v>285</v>
      </c>
      <c r="I839" t="s">
        <v>210</v>
      </c>
      <c r="J839" t="s">
        <v>565</v>
      </c>
      <c r="K839" t="s">
        <v>518</v>
      </c>
      <c r="L839">
        <v>38401</v>
      </c>
      <c r="M839" t="s">
        <v>213</v>
      </c>
      <c r="N839" t="s">
        <v>2790</v>
      </c>
      <c r="O839" t="s">
        <v>229</v>
      </c>
      <c r="P839" t="s">
        <v>273</v>
      </c>
      <c r="Q839" t="s">
        <v>2791</v>
      </c>
      <c r="R839" s="13">
        <v>9.6639999999999997</v>
      </c>
      <c r="S839">
        <v>2</v>
      </c>
      <c r="T839" s="14">
        <v>0.2</v>
      </c>
      <c r="U839" s="13">
        <v>3.2616000000000001</v>
      </c>
      <c r="V839">
        <f t="shared" si="182"/>
        <v>2017</v>
      </c>
      <c r="W839" t="str">
        <f t="shared" si="183"/>
        <v>Nov</v>
      </c>
      <c r="X839" t="str">
        <f t="shared" si="184"/>
        <v>Q4</v>
      </c>
      <c r="Y839" t="str">
        <f t="shared" si="185"/>
        <v>Sat</v>
      </c>
      <c r="Z839" s="16">
        <f t="shared" si="186"/>
        <v>7</v>
      </c>
      <c r="AA839" s="13">
        <f t="shared" si="187"/>
        <v>4.8319999999999999</v>
      </c>
      <c r="AB839" s="14">
        <f t="shared" si="188"/>
        <v>0.33750000000000002</v>
      </c>
      <c r="AC839" t="str">
        <f t="shared" si="189"/>
        <v>Low (1-20%)</v>
      </c>
      <c r="AD839" t="str">
        <f t="shared" si="190"/>
        <v>Low (&lt;$50)</v>
      </c>
      <c r="AE839" t="str">
        <f t="shared" si="191"/>
        <v>Small (1-2 units)</v>
      </c>
      <c r="AF839" t="str">
        <f t="shared" si="192"/>
        <v>Profitable</v>
      </c>
      <c r="AG839" t="str">
        <f t="shared" si="193"/>
        <v>High Margin</v>
      </c>
      <c r="AH839" t="str">
        <f t="shared" si="194"/>
        <v>Single Purchase</v>
      </c>
      <c r="AI839" t="str">
        <f t="shared" si="195"/>
        <v>Slow (6+ days)</v>
      </c>
    </row>
    <row r="840" spans="1:35" ht="15" customHeight="1" x14ac:dyDescent="0.3">
      <c r="A840">
        <v>839</v>
      </c>
      <c r="B840" t="s">
        <v>2792</v>
      </c>
      <c r="C840" s="12">
        <v>42436</v>
      </c>
      <c r="D840" s="12">
        <v>42441</v>
      </c>
      <c r="E840" t="s">
        <v>233</v>
      </c>
      <c r="F840" t="s">
        <v>1762</v>
      </c>
      <c r="G840" t="s">
        <v>1763</v>
      </c>
      <c r="H840" t="s">
        <v>224</v>
      </c>
      <c r="I840" t="s">
        <v>210</v>
      </c>
      <c r="J840" t="s">
        <v>286</v>
      </c>
      <c r="K840" t="s">
        <v>287</v>
      </c>
      <c r="L840">
        <v>76106</v>
      </c>
      <c r="M840" t="s">
        <v>288</v>
      </c>
      <c r="N840" t="s">
        <v>1759</v>
      </c>
      <c r="O840" t="s">
        <v>254</v>
      </c>
      <c r="P840" t="s">
        <v>255</v>
      </c>
      <c r="Q840" t="s">
        <v>1760</v>
      </c>
      <c r="R840" s="13">
        <v>21.071999999999999</v>
      </c>
      <c r="S840">
        <v>3</v>
      </c>
      <c r="T840" s="14">
        <v>0.2</v>
      </c>
      <c r="U840" s="13">
        <v>1.5804</v>
      </c>
      <c r="V840">
        <f t="shared" si="182"/>
        <v>2016</v>
      </c>
      <c r="W840" t="str">
        <f t="shared" si="183"/>
        <v>Mar</v>
      </c>
      <c r="X840" t="str">
        <f t="shared" si="184"/>
        <v>Q1</v>
      </c>
      <c r="Y840" t="str">
        <f t="shared" si="185"/>
        <v>Mon</v>
      </c>
      <c r="Z840" s="16">
        <f t="shared" si="186"/>
        <v>5</v>
      </c>
      <c r="AA840" s="13">
        <f t="shared" si="187"/>
        <v>7.024</v>
      </c>
      <c r="AB840" s="14">
        <f t="shared" si="188"/>
        <v>7.5000000000000011E-2</v>
      </c>
      <c r="AC840" t="str">
        <f t="shared" si="189"/>
        <v>Low (1-20%)</v>
      </c>
      <c r="AD840" t="str">
        <f t="shared" si="190"/>
        <v>Low (&lt;$50)</v>
      </c>
      <c r="AE840" t="str">
        <f t="shared" si="191"/>
        <v>Medium (3-5 units)</v>
      </c>
      <c r="AF840" t="str">
        <f t="shared" si="192"/>
        <v>Profitable</v>
      </c>
      <c r="AG840" t="str">
        <f t="shared" si="193"/>
        <v>Low Margin</v>
      </c>
      <c r="AH840" t="str">
        <f t="shared" si="194"/>
        <v>Repeat Customer</v>
      </c>
      <c r="AI840" t="str">
        <f t="shared" si="195"/>
        <v>Standard (3-5 days)</v>
      </c>
    </row>
    <row r="841" spans="1:35" ht="15" customHeight="1" x14ac:dyDescent="0.3">
      <c r="A841">
        <v>840</v>
      </c>
      <c r="B841" t="s">
        <v>2793</v>
      </c>
      <c r="C841" s="12">
        <v>42328</v>
      </c>
      <c r="D841" s="12">
        <v>42333</v>
      </c>
      <c r="E841" t="s">
        <v>233</v>
      </c>
      <c r="F841" t="s">
        <v>2794</v>
      </c>
      <c r="G841" t="s">
        <v>2795</v>
      </c>
      <c r="H841" t="s">
        <v>224</v>
      </c>
      <c r="I841" t="s">
        <v>210</v>
      </c>
      <c r="J841" t="s">
        <v>449</v>
      </c>
      <c r="K841" t="s">
        <v>450</v>
      </c>
      <c r="L841">
        <v>10035</v>
      </c>
      <c r="M841" t="s">
        <v>331</v>
      </c>
      <c r="N841" t="s">
        <v>2634</v>
      </c>
      <c r="O841" t="s">
        <v>229</v>
      </c>
      <c r="P841" t="s">
        <v>251</v>
      </c>
      <c r="Q841" t="s">
        <v>2635</v>
      </c>
      <c r="R841" s="13">
        <v>60.45</v>
      </c>
      <c r="S841">
        <v>3</v>
      </c>
      <c r="T841" s="14">
        <v>0</v>
      </c>
      <c r="U841" s="13">
        <v>16.3215</v>
      </c>
      <c r="V841">
        <f t="shared" si="182"/>
        <v>2015</v>
      </c>
      <c r="W841" t="str">
        <f t="shared" si="183"/>
        <v>Nov</v>
      </c>
      <c r="X841" t="str">
        <f t="shared" si="184"/>
        <v>Q4</v>
      </c>
      <c r="Y841" t="str">
        <f t="shared" si="185"/>
        <v>Fri</v>
      </c>
      <c r="Z841" s="16">
        <f t="shared" si="186"/>
        <v>5</v>
      </c>
      <c r="AA841" s="13">
        <f t="shared" si="187"/>
        <v>20.150000000000002</v>
      </c>
      <c r="AB841" s="14">
        <f t="shared" si="188"/>
        <v>0.27</v>
      </c>
      <c r="AC841" t="str">
        <f t="shared" si="189"/>
        <v>No Discount</v>
      </c>
      <c r="AD841" t="str">
        <f t="shared" si="190"/>
        <v>Medium ($50-$200)</v>
      </c>
      <c r="AE841" t="str">
        <f t="shared" si="191"/>
        <v>Medium (3-5 units)</v>
      </c>
      <c r="AF841" t="str">
        <f t="shared" si="192"/>
        <v>Profitable</v>
      </c>
      <c r="AG841" t="str">
        <f t="shared" si="193"/>
        <v>High Margin</v>
      </c>
      <c r="AH841" t="str">
        <f t="shared" si="194"/>
        <v>Repeat Customer</v>
      </c>
      <c r="AI841" t="str">
        <f t="shared" si="195"/>
        <v>Standard (3-5 days)</v>
      </c>
    </row>
    <row r="842" spans="1:35" ht="15" customHeight="1" x14ac:dyDescent="0.3">
      <c r="A842">
        <v>841</v>
      </c>
      <c r="B842" t="s">
        <v>2793</v>
      </c>
      <c r="C842" s="12">
        <v>42328</v>
      </c>
      <c r="D842" s="12">
        <v>42333</v>
      </c>
      <c r="E842" t="s">
        <v>233</v>
      </c>
      <c r="F842" t="s">
        <v>2794</v>
      </c>
      <c r="G842" t="s">
        <v>2795</v>
      </c>
      <c r="H842" t="s">
        <v>224</v>
      </c>
      <c r="I842" t="s">
        <v>210</v>
      </c>
      <c r="J842" t="s">
        <v>449</v>
      </c>
      <c r="K842" t="s">
        <v>450</v>
      </c>
      <c r="L842">
        <v>10035</v>
      </c>
      <c r="M842" t="s">
        <v>331</v>
      </c>
      <c r="N842" t="s">
        <v>2796</v>
      </c>
      <c r="O842" t="s">
        <v>229</v>
      </c>
      <c r="P842" t="s">
        <v>251</v>
      </c>
      <c r="Q842" t="s">
        <v>2797</v>
      </c>
      <c r="R842" s="13">
        <v>11.52</v>
      </c>
      <c r="S842">
        <v>4</v>
      </c>
      <c r="T842" s="14">
        <v>0</v>
      </c>
      <c r="U842" s="13">
        <v>3.3408000000000002</v>
      </c>
      <c r="V842">
        <f t="shared" si="182"/>
        <v>2015</v>
      </c>
      <c r="W842" t="str">
        <f t="shared" si="183"/>
        <v>Nov</v>
      </c>
      <c r="X842" t="str">
        <f t="shared" si="184"/>
        <v>Q4</v>
      </c>
      <c r="Y842" t="str">
        <f t="shared" si="185"/>
        <v>Fri</v>
      </c>
      <c r="Z842" s="16">
        <f t="shared" si="186"/>
        <v>5</v>
      </c>
      <c r="AA842" s="13">
        <f t="shared" si="187"/>
        <v>2.88</v>
      </c>
      <c r="AB842" s="14">
        <f t="shared" si="188"/>
        <v>0.29000000000000004</v>
      </c>
      <c r="AC842" t="str">
        <f t="shared" si="189"/>
        <v>No Discount</v>
      </c>
      <c r="AD842" t="str">
        <f t="shared" si="190"/>
        <v>Low (&lt;$50)</v>
      </c>
      <c r="AE842" t="str">
        <f t="shared" si="191"/>
        <v>Medium (3-5 units)</v>
      </c>
      <c r="AF842" t="str">
        <f t="shared" si="192"/>
        <v>Profitable</v>
      </c>
      <c r="AG842" t="str">
        <f t="shared" si="193"/>
        <v>High Margin</v>
      </c>
      <c r="AH842" t="str">
        <f t="shared" si="194"/>
        <v>Repeat Customer</v>
      </c>
      <c r="AI842" t="str">
        <f t="shared" si="195"/>
        <v>Standard (3-5 days)</v>
      </c>
    </row>
    <row r="843" spans="1:35" ht="15" customHeight="1" x14ac:dyDescent="0.3">
      <c r="A843">
        <v>842</v>
      </c>
      <c r="B843" t="s">
        <v>2793</v>
      </c>
      <c r="C843" s="12">
        <v>42328</v>
      </c>
      <c r="D843" s="12">
        <v>42333</v>
      </c>
      <c r="E843" t="s">
        <v>233</v>
      </c>
      <c r="F843" t="s">
        <v>2794</v>
      </c>
      <c r="G843" t="s">
        <v>2795</v>
      </c>
      <c r="H843" t="s">
        <v>224</v>
      </c>
      <c r="I843" t="s">
        <v>210</v>
      </c>
      <c r="J843" t="s">
        <v>449</v>
      </c>
      <c r="K843" t="s">
        <v>450</v>
      </c>
      <c r="L843">
        <v>10035</v>
      </c>
      <c r="M843" t="s">
        <v>331</v>
      </c>
      <c r="N843" t="s">
        <v>2798</v>
      </c>
      <c r="O843" t="s">
        <v>215</v>
      </c>
      <c r="P843" t="s">
        <v>216</v>
      </c>
      <c r="Q843" t="s">
        <v>2799</v>
      </c>
      <c r="R843" s="13">
        <v>186.048</v>
      </c>
      <c r="S843">
        <v>4</v>
      </c>
      <c r="T843" s="14">
        <v>0.2</v>
      </c>
      <c r="U843" s="13">
        <v>9.3024000000000093</v>
      </c>
      <c r="V843">
        <f t="shared" si="182"/>
        <v>2015</v>
      </c>
      <c r="W843" t="str">
        <f t="shared" si="183"/>
        <v>Nov</v>
      </c>
      <c r="X843" t="str">
        <f t="shared" si="184"/>
        <v>Q4</v>
      </c>
      <c r="Y843" t="str">
        <f t="shared" si="185"/>
        <v>Fri</v>
      </c>
      <c r="Z843" s="16">
        <f t="shared" si="186"/>
        <v>5</v>
      </c>
      <c r="AA843" s="13">
        <f t="shared" si="187"/>
        <v>46.512</v>
      </c>
      <c r="AB843" s="14">
        <f t="shared" si="188"/>
        <v>5.0000000000000051E-2</v>
      </c>
      <c r="AC843" t="str">
        <f t="shared" si="189"/>
        <v>Low (1-20%)</v>
      </c>
      <c r="AD843" t="str">
        <f t="shared" si="190"/>
        <v>Medium ($50-$200)</v>
      </c>
      <c r="AE843" t="str">
        <f t="shared" si="191"/>
        <v>Medium (3-5 units)</v>
      </c>
      <c r="AF843" t="str">
        <f t="shared" si="192"/>
        <v>Profitable</v>
      </c>
      <c r="AG843" t="str">
        <f t="shared" si="193"/>
        <v>Low Margin</v>
      </c>
      <c r="AH843" t="str">
        <f t="shared" si="194"/>
        <v>Repeat Customer</v>
      </c>
      <c r="AI843" t="str">
        <f t="shared" si="195"/>
        <v>Standard (3-5 days)</v>
      </c>
    </row>
    <row r="844" spans="1:35" ht="15" customHeight="1" x14ac:dyDescent="0.3">
      <c r="A844">
        <v>843</v>
      </c>
      <c r="B844" t="s">
        <v>2800</v>
      </c>
      <c r="C844" s="12">
        <v>42681</v>
      </c>
      <c r="D844" s="12">
        <v>42683</v>
      </c>
      <c r="E844" t="s">
        <v>371</v>
      </c>
      <c r="F844" t="s">
        <v>2801</v>
      </c>
      <c r="G844" t="s">
        <v>2802</v>
      </c>
      <c r="H844" t="s">
        <v>224</v>
      </c>
      <c r="I844" t="s">
        <v>210</v>
      </c>
      <c r="J844" t="s">
        <v>225</v>
      </c>
      <c r="K844" t="s">
        <v>226</v>
      </c>
      <c r="L844">
        <v>90036</v>
      </c>
      <c r="M844" t="s">
        <v>227</v>
      </c>
      <c r="N844" t="s">
        <v>2803</v>
      </c>
      <c r="O844" t="s">
        <v>229</v>
      </c>
      <c r="P844" t="s">
        <v>258</v>
      </c>
      <c r="Q844" t="s">
        <v>2804</v>
      </c>
      <c r="R844" s="13">
        <v>37.44</v>
      </c>
      <c r="S844">
        <v>4</v>
      </c>
      <c r="T844" s="14">
        <v>0.2</v>
      </c>
      <c r="U844" s="13">
        <v>11.7</v>
      </c>
      <c r="V844">
        <f t="shared" si="182"/>
        <v>2016</v>
      </c>
      <c r="W844" t="str">
        <f t="shared" si="183"/>
        <v>Nov</v>
      </c>
      <c r="X844" t="str">
        <f t="shared" si="184"/>
        <v>Q4</v>
      </c>
      <c r="Y844" t="str">
        <f t="shared" si="185"/>
        <v>Mon</v>
      </c>
      <c r="Z844" s="16">
        <f t="shared" si="186"/>
        <v>2</v>
      </c>
      <c r="AA844" s="13">
        <f t="shared" si="187"/>
        <v>9.36</v>
      </c>
      <c r="AB844" s="14">
        <f t="shared" si="188"/>
        <v>0.3125</v>
      </c>
      <c r="AC844" t="str">
        <f t="shared" si="189"/>
        <v>Low (1-20%)</v>
      </c>
      <c r="AD844" t="str">
        <f t="shared" si="190"/>
        <v>Low (&lt;$50)</v>
      </c>
      <c r="AE844" t="str">
        <f t="shared" si="191"/>
        <v>Medium (3-5 units)</v>
      </c>
      <c r="AF844" t="str">
        <f t="shared" si="192"/>
        <v>Profitable</v>
      </c>
      <c r="AG844" t="str">
        <f t="shared" si="193"/>
        <v>High Margin</v>
      </c>
      <c r="AH844" t="str">
        <f t="shared" si="194"/>
        <v>Repeat Customer</v>
      </c>
      <c r="AI844" t="str">
        <f t="shared" si="195"/>
        <v>Fast (&lt;=2 days)</v>
      </c>
    </row>
    <row r="845" spans="1:35" ht="15" customHeight="1" x14ac:dyDescent="0.3">
      <c r="A845">
        <v>844</v>
      </c>
      <c r="B845" t="s">
        <v>2800</v>
      </c>
      <c r="C845" s="12">
        <v>42681</v>
      </c>
      <c r="D845" s="12">
        <v>42683</v>
      </c>
      <c r="E845" t="s">
        <v>371</v>
      </c>
      <c r="F845" t="s">
        <v>2801</v>
      </c>
      <c r="G845" t="s">
        <v>2802</v>
      </c>
      <c r="H845" t="s">
        <v>224</v>
      </c>
      <c r="I845" t="s">
        <v>210</v>
      </c>
      <c r="J845" t="s">
        <v>225</v>
      </c>
      <c r="K845" t="s">
        <v>226</v>
      </c>
      <c r="L845">
        <v>90036</v>
      </c>
      <c r="M845" t="s">
        <v>227</v>
      </c>
      <c r="N845" t="s">
        <v>2805</v>
      </c>
      <c r="O845" t="s">
        <v>229</v>
      </c>
      <c r="P845" t="s">
        <v>258</v>
      </c>
      <c r="Q845" t="s">
        <v>2806</v>
      </c>
      <c r="R845" s="13">
        <v>26.975999999999999</v>
      </c>
      <c r="S845">
        <v>4</v>
      </c>
      <c r="T845" s="14">
        <v>0.2</v>
      </c>
      <c r="U845" s="13">
        <v>8.7672000000000008</v>
      </c>
      <c r="V845">
        <f t="shared" si="182"/>
        <v>2016</v>
      </c>
      <c r="W845" t="str">
        <f t="shared" si="183"/>
        <v>Nov</v>
      </c>
      <c r="X845" t="str">
        <f t="shared" si="184"/>
        <v>Q4</v>
      </c>
      <c r="Y845" t="str">
        <f t="shared" si="185"/>
        <v>Mon</v>
      </c>
      <c r="Z845" s="16">
        <f t="shared" si="186"/>
        <v>2</v>
      </c>
      <c r="AA845" s="13">
        <f t="shared" si="187"/>
        <v>6.7439999999999998</v>
      </c>
      <c r="AB845" s="14">
        <f t="shared" si="188"/>
        <v>0.32500000000000007</v>
      </c>
      <c r="AC845" t="str">
        <f t="shared" si="189"/>
        <v>Low (1-20%)</v>
      </c>
      <c r="AD845" t="str">
        <f t="shared" si="190"/>
        <v>Low (&lt;$50)</v>
      </c>
      <c r="AE845" t="str">
        <f t="shared" si="191"/>
        <v>Medium (3-5 units)</v>
      </c>
      <c r="AF845" t="str">
        <f t="shared" si="192"/>
        <v>Profitable</v>
      </c>
      <c r="AG845" t="str">
        <f t="shared" si="193"/>
        <v>High Margin</v>
      </c>
      <c r="AH845" t="str">
        <f t="shared" si="194"/>
        <v>Repeat Customer</v>
      </c>
      <c r="AI845" t="str">
        <f t="shared" si="195"/>
        <v>Fast (&lt;=2 days)</v>
      </c>
    </row>
    <row r="846" spans="1:35" ht="15" customHeight="1" x14ac:dyDescent="0.3">
      <c r="A846">
        <v>845</v>
      </c>
      <c r="B846" t="s">
        <v>2800</v>
      </c>
      <c r="C846" s="12">
        <v>42681</v>
      </c>
      <c r="D846" s="12">
        <v>42683</v>
      </c>
      <c r="E846" t="s">
        <v>371</v>
      </c>
      <c r="F846" t="s">
        <v>2801</v>
      </c>
      <c r="G846" t="s">
        <v>2802</v>
      </c>
      <c r="H846" t="s">
        <v>224</v>
      </c>
      <c r="I846" t="s">
        <v>210</v>
      </c>
      <c r="J846" t="s">
        <v>225</v>
      </c>
      <c r="K846" t="s">
        <v>226</v>
      </c>
      <c r="L846">
        <v>90036</v>
      </c>
      <c r="M846" t="s">
        <v>227</v>
      </c>
      <c r="N846" t="s">
        <v>2807</v>
      </c>
      <c r="O846" t="s">
        <v>229</v>
      </c>
      <c r="P846" t="s">
        <v>762</v>
      </c>
      <c r="Q846" t="s">
        <v>2808</v>
      </c>
      <c r="R846" s="13">
        <v>11.36</v>
      </c>
      <c r="S846">
        <v>2</v>
      </c>
      <c r="T846" s="14">
        <v>0</v>
      </c>
      <c r="U846" s="13">
        <v>3.2944</v>
      </c>
      <c r="V846">
        <f t="shared" si="182"/>
        <v>2016</v>
      </c>
      <c r="W846" t="str">
        <f t="shared" si="183"/>
        <v>Nov</v>
      </c>
      <c r="X846" t="str">
        <f t="shared" si="184"/>
        <v>Q4</v>
      </c>
      <c r="Y846" t="str">
        <f t="shared" si="185"/>
        <v>Mon</v>
      </c>
      <c r="Z846" s="16">
        <f t="shared" si="186"/>
        <v>2</v>
      </c>
      <c r="AA846" s="13">
        <f t="shared" si="187"/>
        <v>5.68</v>
      </c>
      <c r="AB846" s="14">
        <f t="shared" si="188"/>
        <v>0.29000000000000004</v>
      </c>
      <c r="AC846" t="str">
        <f t="shared" si="189"/>
        <v>No Discount</v>
      </c>
      <c r="AD846" t="str">
        <f t="shared" si="190"/>
        <v>Low (&lt;$50)</v>
      </c>
      <c r="AE846" t="str">
        <f t="shared" si="191"/>
        <v>Small (1-2 units)</v>
      </c>
      <c r="AF846" t="str">
        <f t="shared" si="192"/>
        <v>Profitable</v>
      </c>
      <c r="AG846" t="str">
        <f t="shared" si="193"/>
        <v>High Margin</v>
      </c>
      <c r="AH846" t="str">
        <f t="shared" si="194"/>
        <v>Repeat Customer</v>
      </c>
      <c r="AI846" t="str">
        <f t="shared" si="195"/>
        <v>Fast (&lt;=2 days)</v>
      </c>
    </row>
    <row r="847" spans="1:35" ht="15" customHeight="1" x14ac:dyDescent="0.3">
      <c r="A847">
        <v>846</v>
      </c>
      <c r="B847" t="s">
        <v>2800</v>
      </c>
      <c r="C847" s="12">
        <v>42681</v>
      </c>
      <c r="D847" s="12">
        <v>42683</v>
      </c>
      <c r="E847" t="s">
        <v>371</v>
      </c>
      <c r="F847" t="s">
        <v>2801</v>
      </c>
      <c r="G847" t="s">
        <v>2802</v>
      </c>
      <c r="H847" t="s">
        <v>224</v>
      </c>
      <c r="I847" t="s">
        <v>210</v>
      </c>
      <c r="J847" t="s">
        <v>225</v>
      </c>
      <c r="K847" t="s">
        <v>226</v>
      </c>
      <c r="L847">
        <v>90036</v>
      </c>
      <c r="M847" t="s">
        <v>227</v>
      </c>
      <c r="N847" t="s">
        <v>2809</v>
      </c>
      <c r="O847" t="s">
        <v>229</v>
      </c>
      <c r="P847" t="s">
        <v>230</v>
      </c>
      <c r="Q847" t="s">
        <v>2810</v>
      </c>
      <c r="R847" s="13">
        <v>14.62</v>
      </c>
      <c r="S847">
        <v>2</v>
      </c>
      <c r="T847" s="14">
        <v>0</v>
      </c>
      <c r="U847" s="13">
        <v>6.8714000000000004</v>
      </c>
      <c r="V847">
        <f t="shared" si="182"/>
        <v>2016</v>
      </c>
      <c r="W847" t="str">
        <f t="shared" si="183"/>
        <v>Nov</v>
      </c>
      <c r="X847" t="str">
        <f t="shared" si="184"/>
        <v>Q4</v>
      </c>
      <c r="Y847" t="str">
        <f t="shared" si="185"/>
        <v>Mon</v>
      </c>
      <c r="Z847" s="16">
        <f t="shared" si="186"/>
        <v>2</v>
      </c>
      <c r="AA847" s="13">
        <f t="shared" si="187"/>
        <v>7.31</v>
      </c>
      <c r="AB847" s="14">
        <f t="shared" si="188"/>
        <v>0.47000000000000003</v>
      </c>
      <c r="AC847" t="str">
        <f t="shared" si="189"/>
        <v>No Discount</v>
      </c>
      <c r="AD847" t="str">
        <f t="shared" si="190"/>
        <v>Low (&lt;$50)</v>
      </c>
      <c r="AE847" t="str">
        <f t="shared" si="191"/>
        <v>Small (1-2 units)</v>
      </c>
      <c r="AF847" t="str">
        <f t="shared" si="192"/>
        <v>Profitable</v>
      </c>
      <c r="AG847" t="str">
        <f t="shared" si="193"/>
        <v>High Margin</v>
      </c>
      <c r="AH847" t="str">
        <f t="shared" si="194"/>
        <v>Repeat Customer</v>
      </c>
      <c r="AI847" t="str">
        <f t="shared" si="195"/>
        <v>Fast (&lt;=2 days)</v>
      </c>
    </row>
    <row r="848" spans="1:35" ht="15" customHeight="1" x14ac:dyDescent="0.3">
      <c r="A848">
        <v>847</v>
      </c>
      <c r="B848" t="s">
        <v>2811</v>
      </c>
      <c r="C848" s="12">
        <v>42290</v>
      </c>
      <c r="D848" s="12">
        <v>42294</v>
      </c>
      <c r="E848" t="s">
        <v>233</v>
      </c>
      <c r="F848" t="s">
        <v>2812</v>
      </c>
      <c r="G848" t="s">
        <v>2813</v>
      </c>
      <c r="H848" t="s">
        <v>209</v>
      </c>
      <c r="I848" t="s">
        <v>210</v>
      </c>
      <c r="J848" t="s">
        <v>1661</v>
      </c>
      <c r="K848" t="s">
        <v>212</v>
      </c>
      <c r="L848">
        <v>40214</v>
      </c>
      <c r="M848" t="s">
        <v>213</v>
      </c>
      <c r="N848" t="s">
        <v>951</v>
      </c>
      <c r="O848" t="s">
        <v>254</v>
      </c>
      <c r="P848" t="s">
        <v>255</v>
      </c>
      <c r="Q848" t="s">
        <v>952</v>
      </c>
      <c r="R848" s="13">
        <v>83.72</v>
      </c>
      <c r="S848">
        <v>7</v>
      </c>
      <c r="T848" s="14">
        <v>0</v>
      </c>
      <c r="U848" s="13">
        <v>23.441600000000001</v>
      </c>
      <c r="V848">
        <f t="shared" si="182"/>
        <v>2015</v>
      </c>
      <c r="W848" t="str">
        <f t="shared" si="183"/>
        <v>Oct</v>
      </c>
      <c r="X848" t="str">
        <f t="shared" si="184"/>
        <v>Q4</v>
      </c>
      <c r="Y848" t="str">
        <f t="shared" si="185"/>
        <v>Tue</v>
      </c>
      <c r="Z848" s="16">
        <f t="shared" si="186"/>
        <v>4</v>
      </c>
      <c r="AA848" s="13">
        <f t="shared" si="187"/>
        <v>11.959999999999999</v>
      </c>
      <c r="AB848" s="14">
        <f t="shared" si="188"/>
        <v>0.28000000000000003</v>
      </c>
      <c r="AC848" t="str">
        <f t="shared" si="189"/>
        <v>No Discount</v>
      </c>
      <c r="AD848" t="str">
        <f t="shared" si="190"/>
        <v>Medium ($50-$200)</v>
      </c>
      <c r="AE848" t="str">
        <f t="shared" si="191"/>
        <v>Large (6+ units)</v>
      </c>
      <c r="AF848" t="str">
        <f t="shared" si="192"/>
        <v>Profitable</v>
      </c>
      <c r="AG848" t="str">
        <f t="shared" si="193"/>
        <v>High Margin</v>
      </c>
      <c r="AH848" t="str">
        <f t="shared" si="194"/>
        <v>Repeat Customer</v>
      </c>
      <c r="AI848" t="str">
        <f t="shared" si="195"/>
        <v>Standard (3-5 days)</v>
      </c>
    </row>
    <row r="849" spans="1:35" ht="15" customHeight="1" x14ac:dyDescent="0.3">
      <c r="A849">
        <v>848</v>
      </c>
      <c r="B849" t="s">
        <v>2811</v>
      </c>
      <c r="C849" s="12">
        <v>42290</v>
      </c>
      <c r="D849" s="12">
        <v>42294</v>
      </c>
      <c r="E849" t="s">
        <v>233</v>
      </c>
      <c r="F849" t="s">
        <v>2812</v>
      </c>
      <c r="G849" t="s">
        <v>2813</v>
      </c>
      <c r="H849" t="s">
        <v>209</v>
      </c>
      <c r="I849" t="s">
        <v>210</v>
      </c>
      <c r="J849" t="s">
        <v>1661</v>
      </c>
      <c r="K849" t="s">
        <v>212</v>
      </c>
      <c r="L849">
        <v>40214</v>
      </c>
      <c r="M849" t="s">
        <v>213</v>
      </c>
      <c r="N849" t="s">
        <v>1270</v>
      </c>
      <c r="O849" t="s">
        <v>215</v>
      </c>
      <c r="P849" t="s">
        <v>219</v>
      </c>
      <c r="Q849" t="s">
        <v>1271</v>
      </c>
      <c r="R849" s="13">
        <v>287.94</v>
      </c>
      <c r="S849">
        <v>3</v>
      </c>
      <c r="T849" s="14">
        <v>0</v>
      </c>
      <c r="U849" s="13">
        <v>77.743799999999993</v>
      </c>
      <c r="V849">
        <f t="shared" si="182"/>
        <v>2015</v>
      </c>
      <c r="W849" t="str">
        <f t="shared" si="183"/>
        <v>Oct</v>
      </c>
      <c r="X849" t="str">
        <f t="shared" si="184"/>
        <v>Q4</v>
      </c>
      <c r="Y849" t="str">
        <f t="shared" si="185"/>
        <v>Tue</v>
      </c>
      <c r="Z849" s="16">
        <f t="shared" si="186"/>
        <v>4</v>
      </c>
      <c r="AA849" s="13">
        <f t="shared" si="187"/>
        <v>95.98</v>
      </c>
      <c r="AB849" s="14">
        <f t="shared" si="188"/>
        <v>0.26999999999999996</v>
      </c>
      <c r="AC849" t="str">
        <f t="shared" si="189"/>
        <v>No Discount</v>
      </c>
      <c r="AD849" t="str">
        <f t="shared" si="190"/>
        <v>High ($200-$500)</v>
      </c>
      <c r="AE849" t="str">
        <f t="shared" si="191"/>
        <v>Medium (3-5 units)</v>
      </c>
      <c r="AF849" t="str">
        <f t="shared" si="192"/>
        <v>Profitable</v>
      </c>
      <c r="AG849" t="str">
        <f t="shared" si="193"/>
        <v>High Margin</v>
      </c>
      <c r="AH849" t="str">
        <f t="shared" si="194"/>
        <v>Repeat Customer</v>
      </c>
      <c r="AI849" t="str">
        <f t="shared" si="195"/>
        <v>Standard (3-5 days)</v>
      </c>
    </row>
    <row r="850" spans="1:35" ht="15" customHeight="1" x14ac:dyDescent="0.3">
      <c r="A850">
        <v>849</v>
      </c>
      <c r="B850" t="s">
        <v>2814</v>
      </c>
      <c r="C850" s="12">
        <v>42736</v>
      </c>
      <c r="D850" s="12">
        <v>42741</v>
      </c>
      <c r="E850" t="s">
        <v>233</v>
      </c>
      <c r="F850" t="s">
        <v>2815</v>
      </c>
      <c r="G850" t="s">
        <v>2816</v>
      </c>
      <c r="H850" t="s">
        <v>209</v>
      </c>
      <c r="I850" t="s">
        <v>210</v>
      </c>
      <c r="J850" t="s">
        <v>2817</v>
      </c>
      <c r="K850" t="s">
        <v>681</v>
      </c>
      <c r="L850">
        <v>44052</v>
      </c>
      <c r="M850" t="s">
        <v>331</v>
      </c>
      <c r="N850" t="s">
        <v>2818</v>
      </c>
      <c r="O850" t="s">
        <v>215</v>
      </c>
      <c r="P850" t="s">
        <v>248</v>
      </c>
      <c r="Q850" t="s">
        <v>2819</v>
      </c>
      <c r="R850" s="13">
        <v>48.896000000000001</v>
      </c>
      <c r="S850">
        <v>4</v>
      </c>
      <c r="T850" s="14">
        <v>0.2</v>
      </c>
      <c r="U850" s="13">
        <v>8.5568000000000008</v>
      </c>
      <c r="V850">
        <f t="shared" si="182"/>
        <v>2017</v>
      </c>
      <c r="W850" t="str">
        <f t="shared" si="183"/>
        <v>Jan</v>
      </c>
      <c r="X850" t="str">
        <f t="shared" si="184"/>
        <v>Q1</v>
      </c>
      <c r="Y850" t="str">
        <f t="shared" si="185"/>
        <v>Sun</v>
      </c>
      <c r="Z850" s="16">
        <f t="shared" si="186"/>
        <v>5</v>
      </c>
      <c r="AA850" s="13">
        <f t="shared" si="187"/>
        <v>12.224</v>
      </c>
      <c r="AB850" s="14">
        <f t="shared" si="188"/>
        <v>0.17500000000000002</v>
      </c>
      <c r="AC850" t="str">
        <f t="shared" si="189"/>
        <v>Low (1-20%)</v>
      </c>
      <c r="AD850" t="str">
        <f t="shared" si="190"/>
        <v>Low (&lt;$50)</v>
      </c>
      <c r="AE850" t="str">
        <f t="shared" si="191"/>
        <v>Medium (3-5 units)</v>
      </c>
      <c r="AF850" t="str">
        <f t="shared" si="192"/>
        <v>Profitable</v>
      </c>
      <c r="AG850" t="str">
        <f t="shared" si="193"/>
        <v>Healthy Margin</v>
      </c>
      <c r="AH850" t="str">
        <f t="shared" si="194"/>
        <v>Repeat Customer</v>
      </c>
      <c r="AI850" t="str">
        <f t="shared" si="195"/>
        <v>Standard (3-5 days)</v>
      </c>
    </row>
    <row r="851" spans="1:35" ht="15" customHeight="1" x14ac:dyDescent="0.3">
      <c r="A851">
        <v>850</v>
      </c>
      <c r="B851" t="s">
        <v>2820</v>
      </c>
      <c r="C851" s="12">
        <v>41677</v>
      </c>
      <c r="D851" s="12">
        <v>41682</v>
      </c>
      <c r="E851" t="s">
        <v>233</v>
      </c>
      <c r="F851" t="s">
        <v>2821</v>
      </c>
      <c r="G851" t="s">
        <v>2822</v>
      </c>
      <c r="H851" t="s">
        <v>224</v>
      </c>
      <c r="I851" t="s">
        <v>210</v>
      </c>
      <c r="J851" t="s">
        <v>2823</v>
      </c>
      <c r="K851" t="s">
        <v>973</v>
      </c>
      <c r="L851">
        <v>7036</v>
      </c>
      <c r="M851" t="s">
        <v>331</v>
      </c>
      <c r="N851" t="s">
        <v>2824</v>
      </c>
      <c r="O851" t="s">
        <v>254</v>
      </c>
      <c r="P851" t="s">
        <v>344</v>
      </c>
      <c r="Q851" t="s">
        <v>2825</v>
      </c>
      <c r="R851" s="13">
        <v>115.36</v>
      </c>
      <c r="S851">
        <v>7</v>
      </c>
      <c r="T851" s="14">
        <v>0</v>
      </c>
      <c r="U851" s="13">
        <v>49.604799999999997</v>
      </c>
      <c r="V851">
        <f t="shared" si="182"/>
        <v>2014</v>
      </c>
      <c r="W851" t="str">
        <f t="shared" si="183"/>
        <v>Feb</v>
      </c>
      <c r="X851" t="str">
        <f t="shared" si="184"/>
        <v>Q1</v>
      </c>
      <c r="Y851" t="str">
        <f t="shared" si="185"/>
        <v>Fri</v>
      </c>
      <c r="Z851" s="16">
        <f t="shared" si="186"/>
        <v>5</v>
      </c>
      <c r="AA851" s="13">
        <f t="shared" si="187"/>
        <v>16.48</v>
      </c>
      <c r="AB851" s="14">
        <f t="shared" si="188"/>
        <v>0.43</v>
      </c>
      <c r="AC851" t="str">
        <f t="shared" si="189"/>
        <v>No Discount</v>
      </c>
      <c r="AD851" t="str">
        <f t="shared" si="190"/>
        <v>Medium ($50-$200)</v>
      </c>
      <c r="AE851" t="str">
        <f t="shared" si="191"/>
        <v>Large (6+ units)</v>
      </c>
      <c r="AF851" t="str">
        <f t="shared" si="192"/>
        <v>Profitable</v>
      </c>
      <c r="AG851" t="str">
        <f t="shared" si="193"/>
        <v>High Margin</v>
      </c>
      <c r="AH851" t="str">
        <f t="shared" si="194"/>
        <v>Repeat Customer</v>
      </c>
      <c r="AI851" t="str">
        <f t="shared" si="195"/>
        <v>Standard (3-5 days)</v>
      </c>
    </row>
    <row r="852" spans="1:35" ht="15" customHeight="1" x14ac:dyDescent="0.3">
      <c r="A852">
        <v>851</v>
      </c>
      <c r="B852" t="s">
        <v>2826</v>
      </c>
      <c r="C852" s="12">
        <v>42541</v>
      </c>
      <c r="D852" s="12">
        <v>42546</v>
      </c>
      <c r="E852" t="s">
        <v>206</v>
      </c>
      <c r="F852" t="s">
        <v>2827</v>
      </c>
      <c r="G852" t="s">
        <v>2828</v>
      </c>
      <c r="H852" t="s">
        <v>224</v>
      </c>
      <c r="I852" t="s">
        <v>210</v>
      </c>
      <c r="J852" t="s">
        <v>2829</v>
      </c>
      <c r="K852" t="s">
        <v>226</v>
      </c>
      <c r="L852">
        <v>93905</v>
      </c>
      <c r="M852" t="s">
        <v>227</v>
      </c>
      <c r="N852" t="s">
        <v>2830</v>
      </c>
      <c r="O852" t="s">
        <v>229</v>
      </c>
      <c r="P852" t="s">
        <v>251</v>
      </c>
      <c r="Q852" t="s">
        <v>2831</v>
      </c>
      <c r="R852" s="13">
        <v>5.16</v>
      </c>
      <c r="S852">
        <v>2</v>
      </c>
      <c r="T852" s="14">
        <v>0</v>
      </c>
      <c r="U852" s="13">
        <v>1.3415999999999999</v>
      </c>
      <c r="V852">
        <f t="shared" si="182"/>
        <v>2016</v>
      </c>
      <c r="W852" t="str">
        <f t="shared" si="183"/>
        <v>Jun</v>
      </c>
      <c r="X852" t="str">
        <f t="shared" si="184"/>
        <v>Q2</v>
      </c>
      <c r="Y852" t="str">
        <f t="shared" si="185"/>
        <v>Mon</v>
      </c>
      <c r="Z852" s="16">
        <f t="shared" si="186"/>
        <v>5</v>
      </c>
      <c r="AA852" s="13">
        <f t="shared" si="187"/>
        <v>2.58</v>
      </c>
      <c r="AB852" s="14">
        <f t="shared" si="188"/>
        <v>0.25999999999999995</v>
      </c>
      <c r="AC852" t="str">
        <f t="shared" si="189"/>
        <v>No Discount</v>
      </c>
      <c r="AD852" t="str">
        <f t="shared" si="190"/>
        <v>Low (&lt;$50)</v>
      </c>
      <c r="AE852" t="str">
        <f t="shared" si="191"/>
        <v>Small (1-2 units)</v>
      </c>
      <c r="AF852" t="str">
        <f t="shared" si="192"/>
        <v>Profitable</v>
      </c>
      <c r="AG852" t="str">
        <f t="shared" si="193"/>
        <v>High Margin</v>
      </c>
      <c r="AH852" t="str">
        <f t="shared" si="194"/>
        <v>Repeat Customer</v>
      </c>
      <c r="AI852" t="str">
        <f t="shared" si="195"/>
        <v>Standard (3-5 days)</v>
      </c>
    </row>
    <row r="853" spans="1:35" ht="15" customHeight="1" x14ac:dyDescent="0.3">
      <c r="A853">
        <v>852</v>
      </c>
      <c r="B853" t="s">
        <v>2826</v>
      </c>
      <c r="C853" s="12">
        <v>42541</v>
      </c>
      <c r="D853" s="12">
        <v>42546</v>
      </c>
      <c r="E853" t="s">
        <v>206</v>
      </c>
      <c r="F853" t="s">
        <v>2827</v>
      </c>
      <c r="G853" t="s">
        <v>2828</v>
      </c>
      <c r="H853" t="s">
        <v>224</v>
      </c>
      <c r="I853" t="s">
        <v>210</v>
      </c>
      <c r="J853" t="s">
        <v>2829</v>
      </c>
      <c r="K853" t="s">
        <v>226</v>
      </c>
      <c r="L853">
        <v>93905</v>
      </c>
      <c r="M853" t="s">
        <v>227</v>
      </c>
      <c r="N853" t="s">
        <v>2832</v>
      </c>
      <c r="O853" t="s">
        <v>229</v>
      </c>
      <c r="P853" t="s">
        <v>273</v>
      </c>
      <c r="Q853" t="s">
        <v>2833</v>
      </c>
      <c r="R853" s="13">
        <v>38.880000000000003</v>
      </c>
      <c r="S853">
        <v>6</v>
      </c>
      <c r="T853" s="14">
        <v>0</v>
      </c>
      <c r="U853" s="13">
        <v>18.662400000000002</v>
      </c>
      <c r="V853">
        <f t="shared" si="182"/>
        <v>2016</v>
      </c>
      <c r="W853" t="str">
        <f t="shared" si="183"/>
        <v>Jun</v>
      </c>
      <c r="X853" t="str">
        <f t="shared" si="184"/>
        <v>Q2</v>
      </c>
      <c r="Y853" t="str">
        <f t="shared" si="185"/>
        <v>Mon</v>
      </c>
      <c r="Z853" s="16">
        <f t="shared" si="186"/>
        <v>5</v>
      </c>
      <c r="AA853" s="13">
        <f t="shared" si="187"/>
        <v>6.48</v>
      </c>
      <c r="AB853" s="14">
        <f t="shared" si="188"/>
        <v>0.48000000000000004</v>
      </c>
      <c r="AC853" t="str">
        <f t="shared" si="189"/>
        <v>No Discount</v>
      </c>
      <c r="AD853" t="str">
        <f t="shared" si="190"/>
        <v>Low (&lt;$50)</v>
      </c>
      <c r="AE853" t="str">
        <f t="shared" si="191"/>
        <v>Large (6+ units)</v>
      </c>
      <c r="AF853" t="str">
        <f t="shared" si="192"/>
        <v>Profitable</v>
      </c>
      <c r="AG853" t="str">
        <f t="shared" si="193"/>
        <v>High Margin</v>
      </c>
      <c r="AH853" t="str">
        <f t="shared" si="194"/>
        <v>Repeat Customer</v>
      </c>
      <c r="AI853" t="str">
        <f t="shared" si="195"/>
        <v>Standard (3-5 days)</v>
      </c>
    </row>
    <row r="854" spans="1:35" ht="15" customHeight="1" x14ac:dyDescent="0.3">
      <c r="A854">
        <v>853</v>
      </c>
      <c r="B854" t="s">
        <v>2834</v>
      </c>
      <c r="C854" s="12">
        <v>42518</v>
      </c>
      <c r="D854" s="12">
        <v>42525</v>
      </c>
      <c r="E854" t="s">
        <v>233</v>
      </c>
      <c r="F854" t="s">
        <v>1073</v>
      </c>
      <c r="G854" t="s">
        <v>1074</v>
      </c>
      <c r="H854" t="s">
        <v>209</v>
      </c>
      <c r="I854" t="s">
        <v>210</v>
      </c>
      <c r="J854" t="s">
        <v>511</v>
      </c>
      <c r="K854" t="s">
        <v>1675</v>
      </c>
      <c r="L854">
        <v>39212</v>
      </c>
      <c r="M854" t="s">
        <v>213</v>
      </c>
      <c r="N854" t="s">
        <v>1345</v>
      </c>
      <c r="O854" t="s">
        <v>229</v>
      </c>
      <c r="P854" t="s">
        <v>251</v>
      </c>
      <c r="Q854" t="s">
        <v>1346</v>
      </c>
      <c r="R854" s="13">
        <v>185.88</v>
      </c>
      <c r="S854">
        <v>6</v>
      </c>
      <c r="T854" s="14">
        <v>0</v>
      </c>
      <c r="U854" s="13">
        <v>50.187600000000003</v>
      </c>
      <c r="V854">
        <f t="shared" si="182"/>
        <v>2016</v>
      </c>
      <c r="W854" t="str">
        <f t="shared" si="183"/>
        <v>May</v>
      </c>
      <c r="X854" t="str">
        <f t="shared" si="184"/>
        <v>Q2</v>
      </c>
      <c r="Y854" t="str">
        <f t="shared" si="185"/>
        <v>Sat</v>
      </c>
      <c r="Z854" s="16">
        <f t="shared" si="186"/>
        <v>7</v>
      </c>
      <c r="AA854" s="13">
        <f t="shared" si="187"/>
        <v>30.98</v>
      </c>
      <c r="AB854" s="14">
        <f t="shared" si="188"/>
        <v>0.27</v>
      </c>
      <c r="AC854" t="str">
        <f t="shared" si="189"/>
        <v>No Discount</v>
      </c>
      <c r="AD854" t="str">
        <f t="shared" si="190"/>
        <v>Medium ($50-$200)</v>
      </c>
      <c r="AE854" t="str">
        <f t="shared" si="191"/>
        <v>Large (6+ units)</v>
      </c>
      <c r="AF854" t="str">
        <f t="shared" si="192"/>
        <v>Profitable</v>
      </c>
      <c r="AG854" t="str">
        <f t="shared" si="193"/>
        <v>High Margin</v>
      </c>
      <c r="AH854" t="str">
        <f t="shared" si="194"/>
        <v>Repeat Customer</v>
      </c>
      <c r="AI854" t="str">
        <f t="shared" si="195"/>
        <v>Slow (6+ days)</v>
      </c>
    </row>
    <row r="855" spans="1:35" ht="15" customHeight="1" x14ac:dyDescent="0.3">
      <c r="A855">
        <v>854</v>
      </c>
      <c r="B855" t="s">
        <v>2835</v>
      </c>
      <c r="C855" s="12">
        <v>42419</v>
      </c>
      <c r="D855" s="12">
        <v>42424</v>
      </c>
      <c r="E855" t="s">
        <v>233</v>
      </c>
      <c r="F855" t="s">
        <v>2066</v>
      </c>
      <c r="G855" t="s">
        <v>2067</v>
      </c>
      <c r="H855" t="s">
        <v>209</v>
      </c>
      <c r="I855" t="s">
        <v>210</v>
      </c>
      <c r="J855" t="s">
        <v>449</v>
      </c>
      <c r="K855" t="s">
        <v>450</v>
      </c>
      <c r="L855">
        <v>10035</v>
      </c>
      <c r="M855" t="s">
        <v>331</v>
      </c>
      <c r="N855" t="s">
        <v>2698</v>
      </c>
      <c r="O855" t="s">
        <v>215</v>
      </c>
      <c r="P855" t="s">
        <v>248</v>
      </c>
      <c r="Q855" t="s">
        <v>2699</v>
      </c>
      <c r="R855" s="13">
        <v>44.46</v>
      </c>
      <c r="S855">
        <v>2</v>
      </c>
      <c r="T855" s="14">
        <v>0</v>
      </c>
      <c r="U855" s="13">
        <v>14.671799999999999</v>
      </c>
      <c r="V855">
        <f t="shared" si="182"/>
        <v>2016</v>
      </c>
      <c r="W855" t="str">
        <f t="shared" si="183"/>
        <v>Feb</v>
      </c>
      <c r="X855" t="str">
        <f t="shared" si="184"/>
        <v>Q1</v>
      </c>
      <c r="Y855" t="str">
        <f t="shared" si="185"/>
        <v>Fri</v>
      </c>
      <c r="Z855" s="16">
        <f t="shared" si="186"/>
        <v>5</v>
      </c>
      <c r="AA855" s="13">
        <f t="shared" si="187"/>
        <v>22.23</v>
      </c>
      <c r="AB855" s="14">
        <f t="shared" si="188"/>
        <v>0.32999999999999996</v>
      </c>
      <c r="AC855" t="str">
        <f t="shared" si="189"/>
        <v>No Discount</v>
      </c>
      <c r="AD855" t="str">
        <f t="shared" si="190"/>
        <v>Low (&lt;$50)</v>
      </c>
      <c r="AE855" t="str">
        <f t="shared" si="191"/>
        <v>Small (1-2 units)</v>
      </c>
      <c r="AF855" t="str">
        <f t="shared" si="192"/>
        <v>Profitable</v>
      </c>
      <c r="AG855" t="str">
        <f t="shared" si="193"/>
        <v>High Margin</v>
      </c>
      <c r="AH855" t="str">
        <f t="shared" si="194"/>
        <v>Repeat Customer</v>
      </c>
      <c r="AI855" t="str">
        <f t="shared" si="195"/>
        <v>Standard (3-5 days)</v>
      </c>
    </row>
    <row r="856" spans="1:35" ht="15" customHeight="1" x14ac:dyDescent="0.3">
      <c r="A856">
        <v>855</v>
      </c>
      <c r="B856" t="s">
        <v>2835</v>
      </c>
      <c r="C856" s="12">
        <v>42419</v>
      </c>
      <c r="D856" s="12">
        <v>42424</v>
      </c>
      <c r="E856" t="s">
        <v>233</v>
      </c>
      <c r="F856" t="s">
        <v>2066</v>
      </c>
      <c r="G856" t="s">
        <v>2067</v>
      </c>
      <c r="H856" t="s">
        <v>209</v>
      </c>
      <c r="I856" t="s">
        <v>210</v>
      </c>
      <c r="J856" t="s">
        <v>449</v>
      </c>
      <c r="K856" t="s">
        <v>450</v>
      </c>
      <c r="L856">
        <v>10035</v>
      </c>
      <c r="M856" t="s">
        <v>331</v>
      </c>
      <c r="N856" t="s">
        <v>1962</v>
      </c>
      <c r="O856" t="s">
        <v>229</v>
      </c>
      <c r="P856" t="s">
        <v>242</v>
      </c>
      <c r="Q856" t="s">
        <v>1963</v>
      </c>
      <c r="R856" s="13">
        <v>242.94</v>
      </c>
      <c r="S856">
        <v>3</v>
      </c>
      <c r="T856" s="14">
        <v>0</v>
      </c>
      <c r="U856" s="13">
        <v>9.7175999999999902</v>
      </c>
      <c r="V856">
        <f t="shared" si="182"/>
        <v>2016</v>
      </c>
      <c r="W856" t="str">
        <f t="shared" si="183"/>
        <v>Feb</v>
      </c>
      <c r="X856" t="str">
        <f t="shared" si="184"/>
        <v>Q1</v>
      </c>
      <c r="Y856" t="str">
        <f t="shared" si="185"/>
        <v>Fri</v>
      </c>
      <c r="Z856" s="16">
        <f t="shared" si="186"/>
        <v>5</v>
      </c>
      <c r="AA856" s="13">
        <f t="shared" si="187"/>
        <v>80.98</v>
      </c>
      <c r="AB856" s="14">
        <f t="shared" si="188"/>
        <v>3.9999999999999959E-2</v>
      </c>
      <c r="AC856" t="str">
        <f t="shared" si="189"/>
        <v>No Discount</v>
      </c>
      <c r="AD856" t="str">
        <f t="shared" si="190"/>
        <v>High ($200-$500)</v>
      </c>
      <c r="AE856" t="str">
        <f t="shared" si="191"/>
        <v>Medium (3-5 units)</v>
      </c>
      <c r="AF856" t="str">
        <f t="shared" si="192"/>
        <v>Profitable</v>
      </c>
      <c r="AG856" t="str">
        <f t="shared" si="193"/>
        <v>Low Margin</v>
      </c>
      <c r="AH856" t="str">
        <f t="shared" si="194"/>
        <v>Repeat Customer</v>
      </c>
      <c r="AI856" t="str">
        <f t="shared" si="195"/>
        <v>Standard (3-5 days)</v>
      </c>
    </row>
    <row r="857" spans="1:35" ht="15" customHeight="1" x14ac:dyDescent="0.3">
      <c r="A857">
        <v>856</v>
      </c>
      <c r="B857" t="s">
        <v>2836</v>
      </c>
      <c r="C857" s="12">
        <v>41854</v>
      </c>
      <c r="D857" s="12">
        <v>41859</v>
      </c>
      <c r="E857" t="s">
        <v>233</v>
      </c>
      <c r="F857" t="s">
        <v>2837</v>
      </c>
      <c r="G857" t="s">
        <v>2838</v>
      </c>
      <c r="H857" t="s">
        <v>209</v>
      </c>
      <c r="I857" t="s">
        <v>210</v>
      </c>
      <c r="J857" t="s">
        <v>449</v>
      </c>
      <c r="K857" t="s">
        <v>450</v>
      </c>
      <c r="L857">
        <v>10035</v>
      </c>
      <c r="M857" t="s">
        <v>331</v>
      </c>
      <c r="N857" t="s">
        <v>2839</v>
      </c>
      <c r="O857" t="s">
        <v>229</v>
      </c>
      <c r="P857" t="s">
        <v>273</v>
      </c>
      <c r="Q857" t="s">
        <v>2840</v>
      </c>
      <c r="R857" s="13">
        <v>39.96</v>
      </c>
      <c r="S857">
        <v>2</v>
      </c>
      <c r="T857" s="14">
        <v>0</v>
      </c>
      <c r="U857" s="13">
        <v>18.781199999999998</v>
      </c>
      <c r="V857">
        <f t="shared" si="182"/>
        <v>2014</v>
      </c>
      <c r="W857" t="str">
        <f t="shared" si="183"/>
        <v>Aug</v>
      </c>
      <c r="X857" t="str">
        <f t="shared" si="184"/>
        <v>Q3</v>
      </c>
      <c r="Y857" t="str">
        <f t="shared" si="185"/>
        <v>Sun</v>
      </c>
      <c r="Z857" s="16">
        <f t="shared" si="186"/>
        <v>5</v>
      </c>
      <c r="AA857" s="13">
        <f t="shared" si="187"/>
        <v>19.98</v>
      </c>
      <c r="AB857" s="14">
        <f t="shared" si="188"/>
        <v>0.47</v>
      </c>
      <c r="AC857" t="str">
        <f t="shared" si="189"/>
        <v>No Discount</v>
      </c>
      <c r="AD857" t="str">
        <f t="shared" si="190"/>
        <v>Low (&lt;$50)</v>
      </c>
      <c r="AE857" t="str">
        <f t="shared" si="191"/>
        <v>Small (1-2 units)</v>
      </c>
      <c r="AF857" t="str">
        <f t="shared" si="192"/>
        <v>Profitable</v>
      </c>
      <c r="AG857" t="str">
        <f t="shared" si="193"/>
        <v>High Margin</v>
      </c>
      <c r="AH857" t="str">
        <f t="shared" si="194"/>
        <v>Repeat Customer</v>
      </c>
      <c r="AI857" t="str">
        <f t="shared" si="195"/>
        <v>Standard (3-5 days)</v>
      </c>
    </row>
    <row r="858" spans="1:35" ht="15" customHeight="1" x14ac:dyDescent="0.3">
      <c r="A858">
        <v>857</v>
      </c>
      <c r="B858" t="s">
        <v>2836</v>
      </c>
      <c r="C858" s="12">
        <v>41854</v>
      </c>
      <c r="D858" s="12">
        <v>41859</v>
      </c>
      <c r="E858" t="s">
        <v>233</v>
      </c>
      <c r="F858" t="s">
        <v>2837</v>
      </c>
      <c r="G858" t="s">
        <v>2838</v>
      </c>
      <c r="H858" t="s">
        <v>209</v>
      </c>
      <c r="I858" t="s">
        <v>210</v>
      </c>
      <c r="J858" t="s">
        <v>449</v>
      </c>
      <c r="K858" t="s">
        <v>450</v>
      </c>
      <c r="L858">
        <v>10035</v>
      </c>
      <c r="M858" t="s">
        <v>331</v>
      </c>
      <c r="N858" t="s">
        <v>2841</v>
      </c>
      <c r="O858" t="s">
        <v>229</v>
      </c>
      <c r="P858" t="s">
        <v>762</v>
      </c>
      <c r="Q858" t="s">
        <v>2842</v>
      </c>
      <c r="R858" s="13">
        <v>102.3</v>
      </c>
      <c r="S858">
        <v>10</v>
      </c>
      <c r="T858" s="14">
        <v>0</v>
      </c>
      <c r="U858" s="13">
        <v>26.597999999999999</v>
      </c>
      <c r="V858">
        <f t="shared" si="182"/>
        <v>2014</v>
      </c>
      <c r="W858" t="str">
        <f t="shared" si="183"/>
        <v>Aug</v>
      </c>
      <c r="X858" t="str">
        <f t="shared" si="184"/>
        <v>Q3</v>
      </c>
      <c r="Y858" t="str">
        <f t="shared" si="185"/>
        <v>Sun</v>
      </c>
      <c r="Z858" s="16">
        <f t="shared" si="186"/>
        <v>5</v>
      </c>
      <c r="AA858" s="13">
        <f t="shared" si="187"/>
        <v>10.23</v>
      </c>
      <c r="AB858" s="14">
        <f t="shared" si="188"/>
        <v>0.26</v>
      </c>
      <c r="AC858" t="str">
        <f t="shared" si="189"/>
        <v>No Discount</v>
      </c>
      <c r="AD858" t="str">
        <f t="shared" si="190"/>
        <v>Medium ($50-$200)</v>
      </c>
      <c r="AE858" t="str">
        <f t="shared" si="191"/>
        <v>Large (6+ units)</v>
      </c>
      <c r="AF858" t="str">
        <f t="shared" si="192"/>
        <v>Profitable</v>
      </c>
      <c r="AG858" t="str">
        <f t="shared" si="193"/>
        <v>High Margin</v>
      </c>
      <c r="AH858" t="str">
        <f t="shared" si="194"/>
        <v>Repeat Customer</v>
      </c>
      <c r="AI858" t="str">
        <f t="shared" si="195"/>
        <v>Standard (3-5 days)</v>
      </c>
    </row>
    <row r="859" spans="1:35" ht="15" customHeight="1" x14ac:dyDescent="0.3">
      <c r="A859">
        <v>858</v>
      </c>
      <c r="B859" t="s">
        <v>2836</v>
      </c>
      <c r="C859" s="12">
        <v>41854</v>
      </c>
      <c r="D859" s="12">
        <v>41859</v>
      </c>
      <c r="E859" t="s">
        <v>233</v>
      </c>
      <c r="F859" t="s">
        <v>2837</v>
      </c>
      <c r="G859" t="s">
        <v>2838</v>
      </c>
      <c r="H859" t="s">
        <v>209</v>
      </c>
      <c r="I859" t="s">
        <v>210</v>
      </c>
      <c r="J859" t="s">
        <v>449</v>
      </c>
      <c r="K859" t="s">
        <v>450</v>
      </c>
      <c r="L859">
        <v>10035</v>
      </c>
      <c r="M859" t="s">
        <v>331</v>
      </c>
      <c r="N859" t="s">
        <v>2843</v>
      </c>
      <c r="O859" t="s">
        <v>229</v>
      </c>
      <c r="P859" t="s">
        <v>242</v>
      </c>
      <c r="Q859" t="s">
        <v>2844</v>
      </c>
      <c r="R859" s="13">
        <v>21.36</v>
      </c>
      <c r="S859">
        <v>2</v>
      </c>
      <c r="T859" s="14">
        <v>0</v>
      </c>
      <c r="U859" s="13">
        <v>5.7671999999999999</v>
      </c>
      <c r="V859">
        <f t="shared" si="182"/>
        <v>2014</v>
      </c>
      <c r="W859" t="str">
        <f t="shared" si="183"/>
        <v>Aug</v>
      </c>
      <c r="X859" t="str">
        <f t="shared" si="184"/>
        <v>Q3</v>
      </c>
      <c r="Y859" t="str">
        <f t="shared" si="185"/>
        <v>Sun</v>
      </c>
      <c r="Z859" s="16">
        <f t="shared" si="186"/>
        <v>5</v>
      </c>
      <c r="AA859" s="13">
        <f t="shared" si="187"/>
        <v>10.68</v>
      </c>
      <c r="AB859" s="14">
        <f t="shared" si="188"/>
        <v>0.27</v>
      </c>
      <c r="AC859" t="str">
        <f t="shared" si="189"/>
        <v>No Discount</v>
      </c>
      <c r="AD859" t="str">
        <f t="shared" si="190"/>
        <v>Low (&lt;$50)</v>
      </c>
      <c r="AE859" t="str">
        <f t="shared" si="191"/>
        <v>Small (1-2 units)</v>
      </c>
      <c r="AF859" t="str">
        <f t="shared" si="192"/>
        <v>Profitable</v>
      </c>
      <c r="AG859" t="str">
        <f t="shared" si="193"/>
        <v>High Margin</v>
      </c>
      <c r="AH859" t="str">
        <f t="shared" si="194"/>
        <v>Repeat Customer</v>
      </c>
      <c r="AI859" t="str">
        <f t="shared" si="195"/>
        <v>Standard (3-5 days)</v>
      </c>
    </row>
    <row r="860" spans="1:35" ht="15" customHeight="1" x14ac:dyDescent="0.3">
      <c r="A860">
        <v>859</v>
      </c>
      <c r="B860" t="s">
        <v>2845</v>
      </c>
      <c r="C860" s="12">
        <v>42835</v>
      </c>
      <c r="D860" s="12">
        <v>42840</v>
      </c>
      <c r="E860" t="s">
        <v>233</v>
      </c>
      <c r="F860" t="s">
        <v>2846</v>
      </c>
      <c r="G860" t="s">
        <v>2847</v>
      </c>
      <c r="H860" t="s">
        <v>285</v>
      </c>
      <c r="I860" t="s">
        <v>210</v>
      </c>
      <c r="J860" t="s">
        <v>2848</v>
      </c>
      <c r="K860" t="s">
        <v>973</v>
      </c>
      <c r="L860">
        <v>8901</v>
      </c>
      <c r="M860" t="s">
        <v>331</v>
      </c>
      <c r="N860" t="s">
        <v>1134</v>
      </c>
      <c r="O860" t="s">
        <v>229</v>
      </c>
      <c r="P860" t="s">
        <v>273</v>
      </c>
      <c r="Q860" t="s">
        <v>1135</v>
      </c>
      <c r="R860" s="13">
        <v>7.61</v>
      </c>
      <c r="S860">
        <v>1</v>
      </c>
      <c r="T860" s="14">
        <v>0</v>
      </c>
      <c r="U860" s="13">
        <v>3.5767000000000002</v>
      </c>
      <c r="V860">
        <f t="shared" si="182"/>
        <v>2017</v>
      </c>
      <c r="W860" t="str">
        <f t="shared" si="183"/>
        <v>Apr</v>
      </c>
      <c r="X860" t="str">
        <f t="shared" si="184"/>
        <v>Q2</v>
      </c>
      <c r="Y860" t="str">
        <f t="shared" si="185"/>
        <v>Mon</v>
      </c>
      <c r="Z860" s="16">
        <f t="shared" si="186"/>
        <v>5</v>
      </c>
      <c r="AA860" s="13">
        <f t="shared" si="187"/>
        <v>7.61</v>
      </c>
      <c r="AB860" s="14">
        <f t="shared" si="188"/>
        <v>0.47000000000000003</v>
      </c>
      <c r="AC860" t="str">
        <f t="shared" si="189"/>
        <v>No Discount</v>
      </c>
      <c r="AD860" t="str">
        <f t="shared" si="190"/>
        <v>Low (&lt;$50)</v>
      </c>
      <c r="AE860" t="str">
        <f t="shared" si="191"/>
        <v>Small (1-2 units)</v>
      </c>
      <c r="AF860" t="str">
        <f t="shared" si="192"/>
        <v>Profitable</v>
      </c>
      <c r="AG860" t="str">
        <f t="shared" si="193"/>
        <v>High Margin</v>
      </c>
      <c r="AH860" t="str">
        <f t="shared" si="194"/>
        <v>Repeat Customer</v>
      </c>
      <c r="AI860" t="str">
        <f t="shared" si="195"/>
        <v>Standard (3-5 days)</v>
      </c>
    </row>
    <row r="861" spans="1:35" ht="15" customHeight="1" x14ac:dyDescent="0.3">
      <c r="A861">
        <v>860</v>
      </c>
      <c r="B861" t="s">
        <v>2845</v>
      </c>
      <c r="C861" s="12">
        <v>42835</v>
      </c>
      <c r="D861" s="12">
        <v>42840</v>
      </c>
      <c r="E861" t="s">
        <v>233</v>
      </c>
      <c r="F861" t="s">
        <v>2846</v>
      </c>
      <c r="G861" t="s">
        <v>2847</v>
      </c>
      <c r="H861" t="s">
        <v>285</v>
      </c>
      <c r="I861" t="s">
        <v>210</v>
      </c>
      <c r="J861" t="s">
        <v>2848</v>
      </c>
      <c r="K861" t="s">
        <v>973</v>
      </c>
      <c r="L861">
        <v>8901</v>
      </c>
      <c r="M861" t="s">
        <v>331</v>
      </c>
      <c r="N861" t="s">
        <v>1360</v>
      </c>
      <c r="O861" t="s">
        <v>229</v>
      </c>
      <c r="P861" t="s">
        <v>452</v>
      </c>
      <c r="Q861" t="s">
        <v>1361</v>
      </c>
      <c r="R861" s="13">
        <v>7.16</v>
      </c>
      <c r="S861">
        <v>2</v>
      </c>
      <c r="T861" s="14">
        <v>0</v>
      </c>
      <c r="U861" s="13">
        <v>3.58</v>
      </c>
      <c r="V861">
        <f t="shared" si="182"/>
        <v>2017</v>
      </c>
      <c r="W861" t="str">
        <f t="shared" si="183"/>
        <v>Apr</v>
      </c>
      <c r="X861" t="str">
        <f t="shared" si="184"/>
        <v>Q2</v>
      </c>
      <c r="Y861" t="str">
        <f t="shared" si="185"/>
        <v>Mon</v>
      </c>
      <c r="Z861" s="16">
        <f t="shared" si="186"/>
        <v>5</v>
      </c>
      <c r="AA861" s="13">
        <f t="shared" si="187"/>
        <v>3.58</v>
      </c>
      <c r="AB861" s="14">
        <f t="shared" si="188"/>
        <v>0.5</v>
      </c>
      <c r="AC861" t="str">
        <f t="shared" si="189"/>
        <v>No Discount</v>
      </c>
      <c r="AD861" t="str">
        <f t="shared" si="190"/>
        <v>Low (&lt;$50)</v>
      </c>
      <c r="AE861" t="str">
        <f t="shared" si="191"/>
        <v>Small (1-2 units)</v>
      </c>
      <c r="AF861" t="str">
        <f t="shared" si="192"/>
        <v>Profitable</v>
      </c>
      <c r="AG861" t="str">
        <f t="shared" si="193"/>
        <v>High Margin</v>
      </c>
      <c r="AH861" t="str">
        <f t="shared" si="194"/>
        <v>Repeat Customer</v>
      </c>
      <c r="AI861" t="str">
        <f t="shared" si="195"/>
        <v>Standard (3-5 days)</v>
      </c>
    </row>
    <row r="862" spans="1:35" ht="15" customHeight="1" x14ac:dyDescent="0.3">
      <c r="A862">
        <v>861</v>
      </c>
      <c r="B862" t="s">
        <v>2849</v>
      </c>
      <c r="C862" s="12">
        <v>41799</v>
      </c>
      <c r="D862" s="12">
        <v>41806</v>
      </c>
      <c r="E862" t="s">
        <v>233</v>
      </c>
      <c r="F862" t="s">
        <v>2850</v>
      </c>
      <c r="G862" t="s">
        <v>2851</v>
      </c>
      <c r="H862" t="s">
        <v>209</v>
      </c>
      <c r="I862" t="s">
        <v>210</v>
      </c>
      <c r="J862" t="s">
        <v>310</v>
      </c>
      <c r="K862" t="s">
        <v>226</v>
      </c>
      <c r="L862">
        <v>94122</v>
      </c>
      <c r="M862" t="s">
        <v>227</v>
      </c>
      <c r="N862" t="s">
        <v>1482</v>
      </c>
      <c r="O862" t="s">
        <v>229</v>
      </c>
      <c r="P862" t="s">
        <v>762</v>
      </c>
      <c r="Q862" t="s">
        <v>1483</v>
      </c>
      <c r="R862" s="13">
        <v>7.36</v>
      </c>
      <c r="S862">
        <v>2</v>
      </c>
      <c r="T862" s="14">
        <v>0</v>
      </c>
      <c r="U862" s="13">
        <v>0.1472</v>
      </c>
      <c r="V862">
        <f t="shared" si="182"/>
        <v>2014</v>
      </c>
      <c r="W862" t="str">
        <f t="shared" si="183"/>
        <v>Jun</v>
      </c>
      <c r="X862" t="str">
        <f t="shared" si="184"/>
        <v>Q2</v>
      </c>
      <c r="Y862" t="str">
        <f t="shared" si="185"/>
        <v>Mon</v>
      </c>
      <c r="Z862" s="16">
        <f t="shared" si="186"/>
        <v>7</v>
      </c>
      <c r="AA862" s="13">
        <f t="shared" si="187"/>
        <v>3.68</v>
      </c>
      <c r="AB862" s="14">
        <f t="shared" si="188"/>
        <v>0.02</v>
      </c>
      <c r="AC862" t="str">
        <f t="shared" si="189"/>
        <v>No Discount</v>
      </c>
      <c r="AD862" t="str">
        <f t="shared" si="190"/>
        <v>Low (&lt;$50)</v>
      </c>
      <c r="AE862" t="str">
        <f t="shared" si="191"/>
        <v>Small (1-2 units)</v>
      </c>
      <c r="AF862" t="str">
        <f t="shared" si="192"/>
        <v>Profitable</v>
      </c>
      <c r="AG862" t="str">
        <f t="shared" si="193"/>
        <v>Low Margin</v>
      </c>
      <c r="AH862" t="str">
        <f t="shared" si="194"/>
        <v>Repeat Customer</v>
      </c>
      <c r="AI862" t="str">
        <f t="shared" si="195"/>
        <v>Slow (6+ days)</v>
      </c>
    </row>
    <row r="863" spans="1:35" ht="15" customHeight="1" x14ac:dyDescent="0.3">
      <c r="A863">
        <v>862</v>
      </c>
      <c r="B863" t="s">
        <v>2849</v>
      </c>
      <c r="C863" s="12">
        <v>41799</v>
      </c>
      <c r="D863" s="12">
        <v>41806</v>
      </c>
      <c r="E863" t="s">
        <v>233</v>
      </c>
      <c r="F863" t="s">
        <v>2850</v>
      </c>
      <c r="G863" t="s">
        <v>2851</v>
      </c>
      <c r="H863" t="s">
        <v>209</v>
      </c>
      <c r="I863" t="s">
        <v>210</v>
      </c>
      <c r="J863" t="s">
        <v>310</v>
      </c>
      <c r="K863" t="s">
        <v>226</v>
      </c>
      <c r="L863">
        <v>94122</v>
      </c>
      <c r="M863" t="s">
        <v>227</v>
      </c>
      <c r="N863" t="s">
        <v>2852</v>
      </c>
      <c r="O863" t="s">
        <v>229</v>
      </c>
      <c r="P863" t="s">
        <v>251</v>
      </c>
      <c r="Q863" t="s">
        <v>2853</v>
      </c>
      <c r="R863" s="13">
        <v>23.1</v>
      </c>
      <c r="S863">
        <v>2</v>
      </c>
      <c r="T863" s="14">
        <v>0</v>
      </c>
      <c r="U863" s="13">
        <v>10.625999999999999</v>
      </c>
      <c r="V863">
        <f t="shared" si="182"/>
        <v>2014</v>
      </c>
      <c r="W863" t="str">
        <f t="shared" si="183"/>
        <v>Jun</v>
      </c>
      <c r="X863" t="str">
        <f t="shared" si="184"/>
        <v>Q2</v>
      </c>
      <c r="Y863" t="str">
        <f t="shared" si="185"/>
        <v>Mon</v>
      </c>
      <c r="Z863" s="16">
        <f t="shared" si="186"/>
        <v>7</v>
      </c>
      <c r="AA863" s="13">
        <f t="shared" si="187"/>
        <v>11.55</v>
      </c>
      <c r="AB863" s="14">
        <f t="shared" si="188"/>
        <v>0.45999999999999996</v>
      </c>
      <c r="AC863" t="str">
        <f t="shared" si="189"/>
        <v>No Discount</v>
      </c>
      <c r="AD863" t="str">
        <f t="shared" si="190"/>
        <v>Low (&lt;$50)</v>
      </c>
      <c r="AE863" t="str">
        <f t="shared" si="191"/>
        <v>Small (1-2 units)</v>
      </c>
      <c r="AF863" t="str">
        <f t="shared" si="192"/>
        <v>Profitable</v>
      </c>
      <c r="AG863" t="str">
        <f t="shared" si="193"/>
        <v>High Margin</v>
      </c>
      <c r="AH863" t="str">
        <f t="shared" si="194"/>
        <v>Repeat Customer</v>
      </c>
      <c r="AI863" t="str">
        <f t="shared" si="195"/>
        <v>Slow (6+ days)</v>
      </c>
    </row>
    <row r="864" spans="1:35" ht="15" customHeight="1" x14ac:dyDescent="0.3">
      <c r="A864">
        <v>863</v>
      </c>
      <c r="B864" t="s">
        <v>2854</v>
      </c>
      <c r="C864" s="12">
        <v>42374</v>
      </c>
      <c r="D864" s="12">
        <v>42376</v>
      </c>
      <c r="E864" t="s">
        <v>206</v>
      </c>
      <c r="F864" t="s">
        <v>2620</v>
      </c>
      <c r="G864" t="s">
        <v>2621</v>
      </c>
      <c r="H864" t="s">
        <v>224</v>
      </c>
      <c r="I864" t="s">
        <v>210</v>
      </c>
      <c r="J864" t="s">
        <v>1709</v>
      </c>
      <c r="K864" t="s">
        <v>237</v>
      </c>
      <c r="L864">
        <v>32216</v>
      </c>
      <c r="M864" t="s">
        <v>213</v>
      </c>
      <c r="N864" t="s">
        <v>2855</v>
      </c>
      <c r="O864" t="s">
        <v>254</v>
      </c>
      <c r="P864" t="s">
        <v>344</v>
      </c>
      <c r="Q864" t="s">
        <v>2856</v>
      </c>
      <c r="R864" s="13">
        <v>191.47200000000001</v>
      </c>
      <c r="S864">
        <v>6</v>
      </c>
      <c r="T864" s="14">
        <v>0.2</v>
      </c>
      <c r="U864" s="13">
        <v>40.687800000000003</v>
      </c>
      <c r="V864">
        <f t="shared" si="182"/>
        <v>2016</v>
      </c>
      <c r="W864" t="str">
        <f t="shared" si="183"/>
        <v>Jan</v>
      </c>
      <c r="X864" t="str">
        <f t="shared" si="184"/>
        <v>Q1</v>
      </c>
      <c r="Y864" t="str">
        <f t="shared" si="185"/>
        <v>Tue</v>
      </c>
      <c r="Z864" s="16">
        <f t="shared" si="186"/>
        <v>2</v>
      </c>
      <c r="AA864" s="13">
        <f t="shared" si="187"/>
        <v>31.912000000000003</v>
      </c>
      <c r="AB864" s="14">
        <f t="shared" si="188"/>
        <v>0.21249999999999999</v>
      </c>
      <c r="AC864" t="str">
        <f t="shared" si="189"/>
        <v>Low (1-20%)</v>
      </c>
      <c r="AD864" t="str">
        <f t="shared" si="190"/>
        <v>Medium ($50-$200)</v>
      </c>
      <c r="AE864" t="str">
        <f t="shared" si="191"/>
        <v>Large (6+ units)</v>
      </c>
      <c r="AF864" t="str">
        <f t="shared" si="192"/>
        <v>Profitable</v>
      </c>
      <c r="AG864" t="str">
        <f t="shared" si="193"/>
        <v>Healthy Margin</v>
      </c>
      <c r="AH864" t="str">
        <f t="shared" si="194"/>
        <v>Repeat Customer</v>
      </c>
      <c r="AI864" t="str">
        <f t="shared" si="195"/>
        <v>Fast (&lt;=2 days)</v>
      </c>
    </row>
    <row r="865" spans="1:35" ht="15" customHeight="1" x14ac:dyDescent="0.3">
      <c r="A865">
        <v>864</v>
      </c>
      <c r="B865" t="s">
        <v>2854</v>
      </c>
      <c r="C865" s="12">
        <v>42374</v>
      </c>
      <c r="D865" s="12">
        <v>42376</v>
      </c>
      <c r="E865" t="s">
        <v>206</v>
      </c>
      <c r="F865" t="s">
        <v>2620</v>
      </c>
      <c r="G865" t="s">
        <v>2621</v>
      </c>
      <c r="H865" t="s">
        <v>224</v>
      </c>
      <c r="I865" t="s">
        <v>210</v>
      </c>
      <c r="J865" t="s">
        <v>1709</v>
      </c>
      <c r="K865" t="s">
        <v>237</v>
      </c>
      <c r="L865">
        <v>32216</v>
      </c>
      <c r="M865" t="s">
        <v>213</v>
      </c>
      <c r="N865" t="s">
        <v>2857</v>
      </c>
      <c r="O865" t="s">
        <v>229</v>
      </c>
      <c r="P865" t="s">
        <v>251</v>
      </c>
      <c r="Q865" t="s">
        <v>2858</v>
      </c>
      <c r="R865" s="13">
        <v>5.2480000000000002</v>
      </c>
      <c r="S865">
        <v>2</v>
      </c>
      <c r="T865" s="14">
        <v>0.2</v>
      </c>
      <c r="U865" s="13">
        <v>0.59039999999999904</v>
      </c>
      <c r="V865">
        <f t="shared" si="182"/>
        <v>2016</v>
      </c>
      <c r="W865" t="str">
        <f t="shared" si="183"/>
        <v>Jan</v>
      </c>
      <c r="X865" t="str">
        <f t="shared" si="184"/>
        <v>Q1</v>
      </c>
      <c r="Y865" t="str">
        <f t="shared" si="185"/>
        <v>Tue</v>
      </c>
      <c r="Z865" s="16">
        <f t="shared" si="186"/>
        <v>2</v>
      </c>
      <c r="AA865" s="13">
        <f t="shared" si="187"/>
        <v>2.6240000000000001</v>
      </c>
      <c r="AB865" s="14">
        <f t="shared" si="188"/>
        <v>0.11249999999999981</v>
      </c>
      <c r="AC865" t="str">
        <f t="shared" si="189"/>
        <v>Low (1-20%)</v>
      </c>
      <c r="AD865" t="str">
        <f t="shared" si="190"/>
        <v>Low (&lt;$50)</v>
      </c>
      <c r="AE865" t="str">
        <f t="shared" si="191"/>
        <v>Small (1-2 units)</v>
      </c>
      <c r="AF865" t="str">
        <f t="shared" si="192"/>
        <v>Profitable</v>
      </c>
      <c r="AG865" t="str">
        <f t="shared" si="193"/>
        <v>Healthy Margin</v>
      </c>
      <c r="AH865" t="str">
        <f t="shared" si="194"/>
        <v>Repeat Customer</v>
      </c>
      <c r="AI865" t="str">
        <f t="shared" si="195"/>
        <v>Fast (&lt;=2 days)</v>
      </c>
    </row>
    <row r="866" spans="1:35" ht="15" customHeight="1" x14ac:dyDescent="0.3">
      <c r="A866">
        <v>865</v>
      </c>
      <c r="B866" t="s">
        <v>2854</v>
      </c>
      <c r="C866" s="12">
        <v>42374</v>
      </c>
      <c r="D866" s="12">
        <v>42376</v>
      </c>
      <c r="E866" t="s">
        <v>206</v>
      </c>
      <c r="F866" t="s">
        <v>2620</v>
      </c>
      <c r="G866" t="s">
        <v>2621</v>
      </c>
      <c r="H866" t="s">
        <v>224</v>
      </c>
      <c r="I866" t="s">
        <v>210</v>
      </c>
      <c r="J866" t="s">
        <v>1709</v>
      </c>
      <c r="K866" t="s">
        <v>237</v>
      </c>
      <c r="L866">
        <v>32216</v>
      </c>
      <c r="M866" t="s">
        <v>213</v>
      </c>
      <c r="N866" t="s">
        <v>2859</v>
      </c>
      <c r="O866" t="s">
        <v>254</v>
      </c>
      <c r="P866" t="s">
        <v>255</v>
      </c>
      <c r="Q866" t="s">
        <v>2860</v>
      </c>
      <c r="R866" s="13">
        <v>59.183999999999997</v>
      </c>
      <c r="S866">
        <v>2</v>
      </c>
      <c r="T866" s="14">
        <v>0.2</v>
      </c>
      <c r="U866" s="13">
        <v>5.1786000000000003</v>
      </c>
      <c r="V866">
        <f t="shared" si="182"/>
        <v>2016</v>
      </c>
      <c r="W866" t="str">
        <f t="shared" si="183"/>
        <v>Jan</v>
      </c>
      <c r="X866" t="str">
        <f t="shared" si="184"/>
        <v>Q1</v>
      </c>
      <c r="Y866" t="str">
        <f t="shared" si="185"/>
        <v>Tue</v>
      </c>
      <c r="Z866" s="16">
        <f t="shared" si="186"/>
        <v>2</v>
      </c>
      <c r="AA866" s="13">
        <f t="shared" si="187"/>
        <v>29.591999999999999</v>
      </c>
      <c r="AB866" s="14">
        <f t="shared" si="188"/>
        <v>8.7500000000000008E-2</v>
      </c>
      <c r="AC866" t="str">
        <f t="shared" si="189"/>
        <v>Low (1-20%)</v>
      </c>
      <c r="AD866" t="str">
        <f t="shared" si="190"/>
        <v>Medium ($50-$200)</v>
      </c>
      <c r="AE866" t="str">
        <f t="shared" si="191"/>
        <v>Small (1-2 units)</v>
      </c>
      <c r="AF866" t="str">
        <f t="shared" si="192"/>
        <v>Profitable</v>
      </c>
      <c r="AG866" t="str">
        <f t="shared" si="193"/>
        <v>Low Margin</v>
      </c>
      <c r="AH866" t="str">
        <f t="shared" si="194"/>
        <v>Repeat Customer</v>
      </c>
      <c r="AI866" t="str">
        <f t="shared" si="195"/>
        <v>Fast (&lt;=2 days)</v>
      </c>
    </row>
    <row r="867" spans="1:35" ht="15" customHeight="1" x14ac:dyDescent="0.3">
      <c r="A867">
        <v>866</v>
      </c>
      <c r="B867" t="s">
        <v>2861</v>
      </c>
      <c r="C867" s="12">
        <v>41649</v>
      </c>
      <c r="D867" s="12">
        <v>41654</v>
      </c>
      <c r="E867" t="s">
        <v>233</v>
      </c>
      <c r="F867" t="s">
        <v>2862</v>
      </c>
      <c r="G867" t="s">
        <v>2863</v>
      </c>
      <c r="H867" t="s">
        <v>224</v>
      </c>
      <c r="I867" t="s">
        <v>210</v>
      </c>
      <c r="J867" t="s">
        <v>501</v>
      </c>
      <c r="K867" t="s">
        <v>502</v>
      </c>
      <c r="L867">
        <v>22153</v>
      </c>
      <c r="M867" t="s">
        <v>213</v>
      </c>
      <c r="N867" t="s">
        <v>2864</v>
      </c>
      <c r="O867" t="s">
        <v>229</v>
      </c>
      <c r="P867" t="s">
        <v>230</v>
      </c>
      <c r="Q867" t="s">
        <v>2865</v>
      </c>
      <c r="R867" s="13">
        <v>2.89</v>
      </c>
      <c r="S867">
        <v>1</v>
      </c>
      <c r="T867" s="14">
        <v>0</v>
      </c>
      <c r="U867" s="13">
        <v>1.3583000000000001</v>
      </c>
      <c r="V867">
        <f t="shared" si="182"/>
        <v>2014</v>
      </c>
      <c r="W867" t="str">
        <f t="shared" si="183"/>
        <v>Jan</v>
      </c>
      <c r="X867" t="str">
        <f t="shared" si="184"/>
        <v>Q1</v>
      </c>
      <c r="Y867" t="str">
        <f t="shared" si="185"/>
        <v>Fri</v>
      </c>
      <c r="Z867" s="16">
        <f t="shared" si="186"/>
        <v>5</v>
      </c>
      <c r="AA867" s="13">
        <f t="shared" si="187"/>
        <v>2.89</v>
      </c>
      <c r="AB867" s="14">
        <f t="shared" si="188"/>
        <v>0.47000000000000003</v>
      </c>
      <c r="AC867" t="str">
        <f t="shared" si="189"/>
        <v>No Discount</v>
      </c>
      <c r="AD867" t="str">
        <f t="shared" si="190"/>
        <v>Low (&lt;$50)</v>
      </c>
      <c r="AE867" t="str">
        <f t="shared" si="191"/>
        <v>Small (1-2 units)</v>
      </c>
      <c r="AF867" t="str">
        <f t="shared" si="192"/>
        <v>Profitable</v>
      </c>
      <c r="AG867" t="str">
        <f t="shared" si="193"/>
        <v>High Margin</v>
      </c>
      <c r="AH867" t="str">
        <f t="shared" si="194"/>
        <v>Repeat Customer</v>
      </c>
      <c r="AI867" t="str">
        <f t="shared" si="195"/>
        <v>Standard (3-5 days)</v>
      </c>
    </row>
    <row r="868" spans="1:35" ht="15" customHeight="1" x14ac:dyDescent="0.3">
      <c r="A868">
        <v>867</v>
      </c>
      <c r="B868" t="s">
        <v>2861</v>
      </c>
      <c r="C868" s="12">
        <v>41649</v>
      </c>
      <c r="D868" s="12">
        <v>41654</v>
      </c>
      <c r="E868" t="s">
        <v>233</v>
      </c>
      <c r="F868" t="s">
        <v>2862</v>
      </c>
      <c r="G868" t="s">
        <v>2863</v>
      </c>
      <c r="H868" t="s">
        <v>224</v>
      </c>
      <c r="I868" t="s">
        <v>210</v>
      </c>
      <c r="J868" t="s">
        <v>501</v>
      </c>
      <c r="K868" t="s">
        <v>502</v>
      </c>
      <c r="L868">
        <v>22153</v>
      </c>
      <c r="M868" t="s">
        <v>213</v>
      </c>
      <c r="N868" t="s">
        <v>2866</v>
      </c>
      <c r="O868" t="s">
        <v>215</v>
      </c>
      <c r="P868" t="s">
        <v>248</v>
      </c>
      <c r="Q868" t="s">
        <v>2867</v>
      </c>
      <c r="R868" s="13">
        <v>51.94</v>
      </c>
      <c r="S868">
        <v>1</v>
      </c>
      <c r="T868" s="14">
        <v>0</v>
      </c>
      <c r="U868" s="13">
        <v>21.295400000000001</v>
      </c>
      <c r="V868">
        <f t="shared" si="182"/>
        <v>2014</v>
      </c>
      <c r="W868" t="str">
        <f t="shared" si="183"/>
        <v>Jan</v>
      </c>
      <c r="X868" t="str">
        <f t="shared" si="184"/>
        <v>Q1</v>
      </c>
      <c r="Y868" t="str">
        <f t="shared" si="185"/>
        <v>Fri</v>
      </c>
      <c r="Z868" s="16">
        <f t="shared" si="186"/>
        <v>5</v>
      </c>
      <c r="AA868" s="13">
        <f t="shared" si="187"/>
        <v>51.94</v>
      </c>
      <c r="AB868" s="14">
        <f t="shared" si="188"/>
        <v>0.41000000000000003</v>
      </c>
      <c r="AC868" t="str">
        <f t="shared" si="189"/>
        <v>No Discount</v>
      </c>
      <c r="AD868" t="str">
        <f t="shared" si="190"/>
        <v>Medium ($50-$200)</v>
      </c>
      <c r="AE868" t="str">
        <f t="shared" si="191"/>
        <v>Small (1-2 units)</v>
      </c>
      <c r="AF868" t="str">
        <f t="shared" si="192"/>
        <v>Profitable</v>
      </c>
      <c r="AG868" t="str">
        <f t="shared" si="193"/>
        <v>High Margin</v>
      </c>
      <c r="AH868" t="str">
        <f t="shared" si="194"/>
        <v>Repeat Customer</v>
      </c>
      <c r="AI868" t="str">
        <f t="shared" si="195"/>
        <v>Standard (3-5 days)</v>
      </c>
    </row>
    <row r="869" spans="1:35" ht="15" customHeight="1" x14ac:dyDescent="0.3">
      <c r="A869">
        <v>868</v>
      </c>
      <c r="B869" t="s">
        <v>2868</v>
      </c>
      <c r="C869" s="12">
        <v>42642</v>
      </c>
      <c r="D869" s="12">
        <v>42645</v>
      </c>
      <c r="E869" t="s">
        <v>371</v>
      </c>
      <c r="F869" t="s">
        <v>2869</v>
      </c>
      <c r="G869" t="s">
        <v>2870</v>
      </c>
      <c r="H869" t="s">
        <v>224</v>
      </c>
      <c r="I869" t="s">
        <v>210</v>
      </c>
      <c r="J869" t="s">
        <v>329</v>
      </c>
      <c r="K869" t="s">
        <v>330</v>
      </c>
      <c r="L869">
        <v>19140</v>
      </c>
      <c r="M869" t="s">
        <v>331</v>
      </c>
      <c r="N869" t="s">
        <v>2871</v>
      </c>
      <c r="O869" t="s">
        <v>229</v>
      </c>
      <c r="P869" t="s">
        <v>230</v>
      </c>
      <c r="Q869" t="s">
        <v>2872</v>
      </c>
      <c r="R869" s="13">
        <v>15.936</v>
      </c>
      <c r="S869">
        <v>4</v>
      </c>
      <c r="T869" s="14">
        <v>0.2</v>
      </c>
      <c r="U869" s="13">
        <v>5.1791999999999998</v>
      </c>
      <c r="V869">
        <f t="shared" si="182"/>
        <v>2016</v>
      </c>
      <c r="W869" t="str">
        <f t="shared" si="183"/>
        <v>Sep</v>
      </c>
      <c r="X869" t="str">
        <f t="shared" si="184"/>
        <v>Q3</v>
      </c>
      <c r="Y869" t="str">
        <f t="shared" si="185"/>
        <v>Thu</v>
      </c>
      <c r="Z869" s="16">
        <f t="shared" si="186"/>
        <v>3</v>
      </c>
      <c r="AA869" s="13">
        <f t="shared" si="187"/>
        <v>3.984</v>
      </c>
      <c r="AB869" s="14">
        <f t="shared" si="188"/>
        <v>0.32500000000000001</v>
      </c>
      <c r="AC869" t="str">
        <f t="shared" si="189"/>
        <v>Low (1-20%)</v>
      </c>
      <c r="AD869" t="str">
        <f t="shared" si="190"/>
        <v>Low (&lt;$50)</v>
      </c>
      <c r="AE869" t="str">
        <f t="shared" si="191"/>
        <v>Medium (3-5 units)</v>
      </c>
      <c r="AF869" t="str">
        <f t="shared" si="192"/>
        <v>Profitable</v>
      </c>
      <c r="AG869" t="str">
        <f t="shared" si="193"/>
        <v>High Margin</v>
      </c>
      <c r="AH869" t="str">
        <f t="shared" si="194"/>
        <v>Single Purchase</v>
      </c>
      <c r="AI869" t="str">
        <f t="shared" si="195"/>
        <v>Standard (3-5 days)</v>
      </c>
    </row>
    <row r="870" spans="1:35" ht="15" customHeight="1" x14ac:dyDescent="0.3">
      <c r="A870">
        <v>869</v>
      </c>
      <c r="B870" t="s">
        <v>2873</v>
      </c>
      <c r="C870" s="12">
        <v>41735</v>
      </c>
      <c r="D870" s="12">
        <v>41739</v>
      </c>
      <c r="E870" t="s">
        <v>233</v>
      </c>
      <c r="F870" t="s">
        <v>2874</v>
      </c>
      <c r="G870" t="s">
        <v>2875</v>
      </c>
      <c r="H870" t="s">
        <v>224</v>
      </c>
      <c r="I870" t="s">
        <v>210</v>
      </c>
      <c r="J870" t="s">
        <v>2659</v>
      </c>
      <c r="K870" t="s">
        <v>330</v>
      </c>
      <c r="L870">
        <v>17602</v>
      </c>
      <c r="M870" t="s">
        <v>331</v>
      </c>
      <c r="N870" t="s">
        <v>2876</v>
      </c>
      <c r="O870" t="s">
        <v>229</v>
      </c>
      <c r="P870" t="s">
        <v>258</v>
      </c>
      <c r="Q870" t="s">
        <v>2877</v>
      </c>
      <c r="R870" s="13">
        <v>44.91</v>
      </c>
      <c r="S870">
        <v>6</v>
      </c>
      <c r="T870" s="14">
        <v>0.7</v>
      </c>
      <c r="U870" s="13">
        <v>-35.927999999999997</v>
      </c>
      <c r="V870">
        <f t="shared" si="182"/>
        <v>2014</v>
      </c>
      <c r="W870" t="str">
        <f t="shared" si="183"/>
        <v>Apr</v>
      </c>
      <c r="X870" t="str">
        <f t="shared" si="184"/>
        <v>Q2</v>
      </c>
      <c r="Y870" t="str">
        <f t="shared" si="185"/>
        <v>Sun</v>
      </c>
      <c r="Z870" s="16">
        <f t="shared" si="186"/>
        <v>4</v>
      </c>
      <c r="AA870" s="13">
        <f t="shared" si="187"/>
        <v>7.4849999999999994</v>
      </c>
      <c r="AB870" s="14">
        <f t="shared" si="188"/>
        <v>-0.8</v>
      </c>
      <c r="AC870" t="str">
        <f t="shared" si="189"/>
        <v>High (40%+)</v>
      </c>
      <c r="AD870" t="str">
        <f t="shared" si="190"/>
        <v>Low (&lt;$50)</v>
      </c>
      <c r="AE870" t="str">
        <f t="shared" si="191"/>
        <v>Large (6+ units)</v>
      </c>
      <c r="AF870" t="str">
        <f t="shared" si="192"/>
        <v>Loss-Making</v>
      </c>
      <c r="AG870" t="str">
        <f t="shared" si="193"/>
        <v>Underperforming</v>
      </c>
      <c r="AH870" t="str">
        <f t="shared" si="194"/>
        <v>Single Purchase</v>
      </c>
      <c r="AI870" t="str">
        <f t="shared" si="195"/>
        <v>Standard (3-5 days)</v>
      </c>
    </row>
    <row r="871" spans="1:35" ht="15" customHeight="1" x14ac:dyDescent="0.3">
      <c r="A871">
        <v>870</v>
      </c>
      <c r="B871" t="s">
        <v>2878</v>
      </c>
      <c r="C871" s="12">
        <v>42616</v>
      </c>
      <c r="D871" s="12">
        <v>42618</v>
      </c>
      <c r="E871" t="s">
        <v>371</v>
      </c>
      <c r="F871" t="s">
        <v>2879</v>
      </c>
      <c r="G871" t="s">
        <v>2880</v>
      </c>
      <c r="H871" t="s">
        <v>285</v>
      </c>
      <c r="I871" t="s">
        <v>210</v>
      </c>
      <c r="J871" t="s">
        <v>329</v>
      </c>
      <c r="K871" t="s">
        <v>330</v>
      </c>
      <c r="L871">
        <v>19143</v>
      </c>
      <c r="M871" t="s">
        <v>331</v>
      </c>
      <c r="N871" t="s">
        <v>2881</v>
      </c>
      <c r="O871" t="s">
        <v>229</v>
      </c>
      <c r="P871" t="s">
        <v>258</v>
      </c>
      <c r="Q871" t="s">
        <v>2882</v>
      </c>
      <c r="R871" s="13">
        <v>1141.47</v>
      </c>
      <c r="S871">
        <v>5</v>
      </c>
      <c r="T871" s="14">
        <v>0.7</v>
      </c>
      <c r="U871" s="13">
        <v>-760.98</v>
      </c>
      <c r="V871">
        <f t="shared" si="182"/>
        <v>2016</v>
      </c>
      <c r="W871" t="str">
        <f t="shared" si="183"/>
        <v>Sep</v>
      </c>
      <c r="X871" t="str">
        <f t="shared" si="184"/>
        <v>Q3</v>
      </c>
      <c r="Y871" t="str">
        <f t="shared" si="185"/>
        <v>Sat</v>
      </c>
      <c r="Z871" s="16">
        <f t="shared" si="186"/>
        <v>2</v>
      </c>
      <c r="AA871" s="13">
        <f t="shared" si="187"/>
        <v>228.29400000000001</v>
      </c>
      <c r="AB871" s="14">
        <f t="shared" si="188"/>
        <v>-0.66666666666666663</v>
      </c>
      <c r="AC871" t="str">
        <f t="shared" si="189"/>
        <v>High (40%+)</v>
      </c>
      <c r="AD871" t="str">
        <f t="shared" si="190"/>
        <v>Premium ($500+)</v>
      </c>
      <c r="AE871" t="str">
        <f t="shared" si="191"/>
        <v>Medium (3-5 units)</v>
      </c>
      <c r="AF871" t="str">
        <f t="shared" si="192"/>
        <v>Loss-Making</v>
      </c>
      <c r="AG871" t="str">
        <f t="shared" si="193"/>
        <v>Underperforming</v>
      </c>
      <c r="AH871" t="str">
        <f t="shared" si="194"/>
        <v>Repeat Customer</v>
      </c>
      <c r="AI871" t="str">
        <f t="shared" si="195"/>
        <v>Fast (&lt;=2 days)</v>
      </c>
    </row>
    <row r="872" spans="1:35" ht="15" customHeight="1" x14ac:dyDescent="0.3">
      <c r="A872">
        <v>871</v>
      </c>
      <c r="B872" t="s">
        <v>2878</v>
      </c>
      <c r="C872" s="12">
        <v>42616</v>
      </c>
      <c r="D872" s="12">
        <v>42618</v>
      </c>
      <c r="E872" t="s">
        <v>371</v>
      </c>
      <c r="F872" t="s">
        <v>2879</v>
      </c>
      <c r="G872" t="s">
        <v>2880</v>
      </c>
      <c r="H872" t="s">
        <v>285</v>
      </c>
      <c r="I872" t="s">
        <v>210</v>
      </c>
      <c r="J872" t="s">
        <v>329</v>
      </c>
      <c r="K872" t="s">
        <v>330</v>
      </c>
      <c r="L872">
        <v>19143</v>
      </c>
      <c r="M872" t="s">
        <v>331</v>
      </c>
      <c r="N872" t="s">
        <v>2108</v>
      </c>
      <c r="O872" t="s">
        <v>254</v>
      </c>
      <c r="P872" t="s">
        <v>255</v>
      </c>
      <c r="Q872" t="s">
        <v>2109</v>
      </c>
      <c r="R872" s="13">
        <v>280.78199999999998</v>
      </c>
      <c r="S872">
        <v>3</v>
      </c>
      <c r="T872" s="14">
        <v>0.4</v>
      </c>
      <c r="U872" s="13">
        <v>-46.796999999999997</v>
      </c>
      <c r="V872">
        <f t="shared" si="182"/>
        <v>2016</v>
      </c>
      <c r="W872" t="str">
        <f t="shared" si="183"/>
        <v>Sep</v>
      </c>
      <c r="X872" t="str">
        <f t="shared" si="184"/>
        <v>Q3</v>
      </c>
      <c r="Y872" t="str">
        <f t="shared" si="185"/>
        <v>Sat</v>
      </c>
      <c r="Z872" s="16">
        <f t="shared" si="186"/>
        <v>2</v>
      </c>
      <c r="AA872" s="13">
        <f t="shared" si="187"/>
        <v>93.593999999999994</v>
      </c>
      <c r="AB872" s="14">
        <f t="shared" si="188"/>
        <v>-0.16666666666666666</v>
      </c>
      <c r="AC872" t="str">
        <f t="shared" si="189"/>
        <v>Medium (21-40%)</v>
      </c>
      <c r="AD872" t="str">
        <f t="shared" si="190"/>
        <v>High ($200-$500)</v>
      </c>
      <c r="AE872" t="str">
        <f t="shared" si="191"/>
        <v>Medium (3-5 units)</v>
      </c>
      <c r="AF872" t="str">
        <f t="shared" si="192"/>
        <v>Loss-Making</v>
      </c>
      <c r="AG872" t="str">
        <f t="shared" si="193"/>
        <v>Underperforming</v>
      </c>
      <c r="AH872" t="str">
        <f t="shared" si="194"/>
        <v>Repeat Customer</v>
      </c>
      <c r="AI872" t="str">
        <f t="shared" si="195"/>
        <v>Fast (&lt;=2 days)</v>
      </c>
    </row>
    <row r="873" spans="1:35" ht="15" customHeight="1" x14ac:dyDescent="0.3">
      <c r="A873">
        <v>872</v>
      </c>
      <c r="B873" t="s">
        <v>2883</v>
      </c>
      <c r="C873" s="12">
        <v>42296</v>
      </c>
      <c r="D873" s="12">
        <v>42297</v>
      </c>
      <c r="E873" t="s">
        <v>371</v>
      </c>
      <c r="F873" t="s">
        <v>347</v>
      </c>
      <c r="G873" t="s">
        <v>348</v>
      </c>
      <c r="H873" t="s">
        <v>209</v>
      </c>
      <c r="I873" t="s">
        <v>210</v>
      </c>
      <c r="J873" t="s">
        <v>270</v>
      </c>
      <c r="K873" t="s">
        <v>2884</v>
      </c>
      <c r="L873">
        <v>3301</v>
      </c>
      <c r="M873" t="s">
        <v>331</v>
      </c>
      <c r="N873" t="s">
        <v>2885</v>
      </c>
      <c r="O873" t="s">
        <v>229</v>
      </c>
      <c r="P873" t="s">
        <v>273</v>
      </c>
      <c r="Q873" t="s">
        <v>2886</v>
      </c>
      <c r="R873" s="13">
        <v>34.44</v>
      </c>
      <c r="S873">
        <v>3</v>
      </c>
      <c r="T873" s="14">
        <v>0</v>
      </c>
      <c r="U873" s="13">
        <v>17.22</v>
      </c>
      <c r="V873">
        <f t="shared" si="182"/>
        <v>2015</v>
      </c>
      <c r="W873" t="str">
        <f t="shared" si="183"/>
        <v>Oct</v>
      </c>
      <c r="X873" t="str">
        <f t="shared" si="184"/>
        <v>Q4</v>
      </c>
      <c r="Y873" t="str">
        <f t="shared" si="185"/>
        <v>Mon</v>
      </c>
      <c r="Z873" s="16">
        <f t="shared" si="186"/>
        <v>1</v>
      </c>
      <c r="AA873" s="13">
        <f t="shared" si="187"/>
        <v>11.479999999999999</v>
      </c>
      <c r="AB873" s="14">
        <f t="shared" si="188"/>
        <v>0.5</v>
      </c>
      <c r="AC873" t="str">
        <f t="shared" si="189"/>
        <v>No Discount</v>
      </c>
      <c r="AD873" t="str">
        <f t="shared" si="190"/>
        <v>Low (&lt;$50)</v>
      </c>
      <c r="AE873" t="str">
        <f t="shared" si="191"/>
        <v>Medium (3-5 units)</v>
      </c>
      <c r="AF873" t="str">
        <f t="shared" si="192"/>
        <v>Profitable</v>
      </c>
      <c r="AG873" t="str">
        <f t="shared" si="193"/>
        <v>High Margin</v>
      </c>
      <c r="AH873" t="str">
        <f t="shared" si="194"/>
        <v>Repeat Customer</v>
      </c>
      <c r="AI873" t="str">
        <f t="shared" si="195"/>
        <v>Fast (&lt;=2 days)</v>
      </c>
    </row>
    <row r="874" spans="1:35" ht="15" customHeight="1" x14ac:dyDescent="0.3">
      <c r="A874">
        <v>873</v>
      </c>
      <c r="B874" t="s">
        <v>2887</v>
      </c>
      <c r="C874" s="12">
        <v>41983</v>
      </c>
      <c r="D874" s="12">
        <v>41988</v>
      </c>
      <c r="E874" t="s">
        <v>233</v>
      </c>
      <c r="F874" t="s">
        <v>2888</v>
      </c>
      <c r="G874" t="s">
        <v>2889</v>
      </c>
      <c r="H874" t="s">
        <v>209</v>
      </c>
      <c r="I874" t="s">
        <v>210</v>
      </c>
      <c r="J874" t="s">
        <v>449</v>
      </c>
      <c r="K874" t="s">
        <v>450</v>
      </c>
      <c r="L874">
        <v>10009</v>
      </c>
      <c r="M874" t="s">
        <v>331</v>
      </c>
      <c r="N874" t="s">
        <v>1223</v>
      </c>
      <c r="O874" t="s">
        <v>229</v>
      </c>
      <c r="P874" t="s">
        <v>273</v>
      </c>
      <c r="Q874" t="s">
        <v>1224</v>
      </c>
      <c r="R874" s="13">
        <v>11.36</v>
      </c>
      <c r="S874">
        <v>2</v>
      </c>
      <c r="T874" s="14">
        <v>0</v>
      </c>
      <c r="U874" s="13">
        <v>5.2256</v>
      </c>
      <c r="V874">
        <f t="shared" si="182"/>
        <v>2014</v>
      </c>
      <c r="W874" t="str">
        <f t="shared" si="183"/>
        <v>Dec</v>
      </c>
      <c r="X874" t="str">
        <f t="shared" si="184"/>
        <v>Q4</v>
      </c>
      <c r="Y874" t="str">
        <f t="shared" si="185"/>
        <v>Wed</v>
      </c>
      <c r="Z874" s="16">
        <f t="shared" si="186"/>
        <v>5</v>
      </c>
      <c r="AA874" s="13">
        <f t="shared" si="187"/>
        <v>5.68</v>
      </c>
      <c r="AB874" s="14">
        <f t="shared" si="188"/>
        <v>0.46</v>
      </c>
      <c r="AC874" t="str">
        <f t="shared" si="189"/>
        <v>No Discount</v>
      </c>
      <c r="AD874" t="str">
        <f t="shared" si="190"/>
        <v>Low (&lt;$50)</v>
      </c>
      <c r="AE874" t="str">
        <f t="shared" si="191"/>
        <v>Small (1-2 units)</v>
      </c>
      <c r="AF874" t="str">
        <f t="shared" si="192"/>
        <v>Profitable</v>
      </c>
      <c r="AG874" t="str">
        <f t="shared" si="193"/>
        <v>High Margin</v>
      </c>
      <c r="AH874" t="str">
        <f t="shared" si="194"/>
        <v>Repeat Customer</v>
      </c>
      <c r="AI874" t="str">
        <f t="shared" si="195"/>
        <v>Standard (3-5 days)</v>
      </c>
    </row>
    <row r="875" spans="1:35" ht="15" customHeight="1" x14ac:dyDescent="0.3">
      <c r="A875">
        <v>874</v>
      </c>
      <c r="B875" t="s">
        <v>2887</v>
      </c>
      <c r="C875" s="12">
        <v>41983</v>
      </c>
      <c r="D875" s="12">
        <v>41988</v>
      </c>
      <c r="E875" t="s">
        <v>233</v>
      </c>
      <c r="F875" t="s">
        <v>2888</v>
      </c>
      <c r="G875" t="s">
        <v>2889</v>
      </c>
      <c r="H875" t="s">
        <v>209</v>
      </c>
      <c r="I875" t="s">
        <v>210</v>
      </c>
      <c r="J875" t="s">
        <v>449</v>
      </c>
      <c r="K875" t="s">
        <v>450</v>
      </c>
      <c r="L875">
        <v>10009</v>
      </c>
      <c r="M875" t="s">
        <v>331</v>
      </c>
      <c r="N875" t="s">
        <v>1791</v>
      </c>
      <c r="O875" t="s">
        <v>229</v>
      </c>
      <c r="P875" t="s">
        <v>258</v>
      </c>
      <c r="Q875" t="s">
        <v>1792</v>
      </c>
      <c r="R875" s="13">
        <v>106.34399999999999</v>
      </c>
      <c r="S875">
        <v>7</v>
      </c>
      <c r="T875" s="14">
        <v>0.2</v>
      </c>
      <c r="U875" s="13">
        <v>37.220399999999998</v>
      </c>
      <c r="V875">
        <f t="shared" si="182"/>
        <v>2014</v>
      </c>
      <c r="W875" t="str">
        <f t="shared" si="183"/>
        <v>Dec</v>
      </c>
      <c r="X875" t="str">
        <f t="shared" si="184"/>
        <v>Q4</v>
      </c>
      <c r="Y875" t="str">
        <f t="shared" si="185"/>
        <v>Wed</v>
      </c>
      <c r="Z875" s="16">
        <f t="shared" si="186"/>
        <v>5</v>
      </c>
      <c r="AA875" s="13">
        <f t="shared" si="187"/>
        <v>15.191999999999998</v>
      </c>
      <c r="AB875" s="14">
        <f t="shared" si="188"/>
        <v>0.35</v>
      </c>
      <c r="AC875" t="str">
        <f t="shared" si="189"/>
        <v>Low (1-20%)</v>
      </c>
      <c r="AD875" t="str">
        <f t="shared" si="190"/>
        <v>Medium ($50-$200)</v>
      </c>
      <c r="AE875" t="str">
        <f t="shared" si="191"/>
        <v>Large (6+ units)</v>
      </c>
      <c r="AF875" t="str">
        <f t="shared" si="192"/>
        <v>Profitable</v>
      </c>
      <c r="AG875" t="str">
        <f t="shared" si="193"/>
        <v>High Margin</v>
      </c>
      <c r="AH875" t="str">
        <f t="shared" si="194"/>
        <v>Repeat Customer</v>
      </c>
      <c r="AI875" t="str">
        <f t="shared" si="195"/>
        <v>Standard (3-5 days)</v>
      </c>
    </row>
    <row r="876" spans="1:35" ht="15" customHeight="1" x14ac:dyDescent="0.3">
      <c r="A876">
        <v>875</v>
      </c>
      <c r="B876" t="s">
        <v>2890</v>
      </c>
      <c r="C876" s="12">
        <v>42972</v>
      </c>
      <c r="D876" s="12">
        <v>42976</v>
      </c>
      <c r="E876" t="s">
        <v>233</v>
      </c>
      <c r="F876" t="s">
        <v>2815</v>
      </c>
      <c r="G876" t="s">
        <v>2816</v>
      </c>
      <c r="H876" t="s">
        <v>209</v>
      </c>
      <c r="I876" t="s">
        <v>210</v>
      </c>
      <c r="J876" t="s">
        <v>650</v>
      </c>
      <c r="K876" t="s">
        <v>271</v>
      </c>
      <c r="L876">
        <v>28205</v>
      </c>
      <c r="M876" t="s">
        <v>213</v>
      </c>
      <c r="N876" t="s">
        <v>2891</v>
      </c>
      <c r="O876" t="s">
        <v>229</v>
      </c>
      <c r="P876" t="s">
        <v>273</v>
      </c>
      <c r="Q876" t="s">
        <v>2892</v>
      </c>
      <c r="R876" s="13">
        <v>192.16</v>
      </c>
      <c r="S876">
        <v>5</v>
      </c>
      <c r="T876" s="14">
        <v>0.2</v>
      </c>
      <c r="U876" s="13">
        <v>67.256</v>
      </c>
      <c r="V876">
        <f t="shared" si="182"/>
        <v>2017</v>
      </c>
      <c r="W876" t="str">
        <f t="shared" si="183"/>
        <v>Aug</v>
      </c>
      <c r="X876" t="str">
        <f t="shared" si="184"/>
        <v>Q3</v>
      </c>
      <c r="Y876" t="str">
        <f t="shared" si="185"/>
        <v>Fri</v>
      </c>
      <c r="Z876" s="16">
        <f t="shared" si="186"/>
        <v>4</v>
      </c>
      <c r="AA876" s="13">
        <f t="shared" si="187"/>
        <v>38.432000000000002</v>
      </c>
      <c r="AB876" s="14">
        <f t="shared" si="188"/>
        <v>0.35000000000000003</v>
      </c>
      <c r="AC876" t="str">
        <f t="shared" si="189"/>
        <v>Low (1-20%)</v>
      </c>
      <c r="AD876" t="str">
        <f t="shared" si="190"/>
        <v>Medium ($50-$200)</v>
      </c>
      <c r="AE876" t="str">
        <f t="shared" si="191"/>
        <v>Medium (3-5 units)</v>
      </c>
      <c r="AF876" t="str">
        <f t="shared" si="192"/>
        <v>Profitable</v>
      </c>
      <c r="AG876" t="str">
        <f t="shared" si="193"/>
        <v>High Margin</v>
      </c>
      <c r="AH876" t="str">
        <f t="shared" si="194"/>
        <v>Repeat Customer</v>
      </c>
      <c r="AI876" t="str">
        <f t="shared" si="195"/>
        <v>Standard (3-5 days)</v>
      </c>
    </row>
    <row r="877" spans="1:35" ht="15" customHeight="1" x14ac:dyDescent="0.3">
      <c r="A877">
        <v>876</v>
      </c>
      <c r="B877" t="s">
        <v>2893</v>
      </c>
      <c r="C877" s="12">
        <v>42386</v>
      </c>
      <c r="D877" s="12">
        <v>42390</v>
      </c>
      <c r="E877" t="s">
        <v>233</v>
      </c>
      <c r="F877" t="s">
        <v>2318</v>
      </c>
      <c r="G877" t="s">
        <v>2319</v>
      </c>
      <c r="H877" t="s">
        <v>285</v>
      </c>
      <c r="I877" t="s">
        <v>210</v>
      </c>
      <c r="J877" t="s">
        <v>270</v>
      </c>
      <c r="K877" t="s">
        <v>2884</v>
      </c>
      <c r="L877">
        <v>3301</v>
      </c>
      <c r="M877" t="s">
        <v>331</v>
      </c>
      <c r="N877" t="s">
        <v>1090</v>
      </c>
      <c r="O877" t="s">
        <v>215</v>
      </c>
      <c r="P877" t="s">
        <v>248</v>
      </c>
      <c r="Q877" t="s">
        <v>1091</v>
      </c>
      <c r="R877" s="13">
        <v>322.58999999999997</v>
      </c>
      <c r="S877">
        <v>3</v>
      </c>
      <c r="T877" s="14">
        <v>0</v>
      </c>
      <c r="U877" s="13">
        <v>64.518000000000001</v>
      </c>
      <c r="V877">
        <f t="shared" si="182"/>
        <v>2016</v>
      </c>
      <c r="W877" t="str">
        <f t="shared" si="183"/>
        <v>Jan</v>
      </c>
      <c r="X877" t="str">
        <f t="shared" si="184"/>
        <v>Q1</v>
      </c>
      <c r="Y877" t="str">
        <f t="shared" si="185"/>
        <v>Sun</v>
      </c>
      <c r="Z877" s="16">
        <f t="shared" si="186"/>
        <v>4</v>
      </c>
      <c r="AA877" s="13">
        <f t="shared" si="187"/>
        <v>107.52999999999999</v>
      </c>
      <c r="AB877" s="14">
        <f t="shared" si="188"/>
        <v>0.2</v>
      </c>
      <c r="AC877" t="str">
        <f t="shared" si="189"/>
        <v>No Discount</v>
      </c>
      <c r="AD877" t="str">
        <f t="shared" si="190"/>
        <v>High ($200-$500)</v>
      </c>
      <c r="AE877" t="str">
        <f t="shared" si="191"/>
        <v>Medium (3-5 units)</v>
      </c>
      <c r="AF877" t="str">
        <f t="shared" si="192"/>
        <v>Profitable</v>
      </c>
      <c r="AG877" t="str">
        <f t="shared" si="193"/>
        <v>Healthy Margin</v>
      </c>
      <c r="AH877" t="str">
        <f t="shared" si="194"/>
        <v>Repeat Customer</v>
      </c>
      <c r="AI877" t="str">
        <f t="shared" si="195"/>
        <v>Standard (3-5 days)</v>
      </c>
    </row>
    <row r="878" spans="1:35" ht="15" customHeight="1" x14ac:dyDescent="0.3">
      <c r="A878">
        <v>877</v>
      </c>
      <c r="B878" t="s">
        <v>2893</v>
      </c>
      <c r="C878" s="12">
        <v>42386</v>
      </c>
      <c r="D878" s="12">
        <v>42390</v>
      </c>
      <c r="E878" t="s">
        <v>233</v>
      </c>
      <c r="F878" t="s">
        <v>2318</v>
      </c>
      <c r="G878" t="s">
        <v>2319</v>
      </c>
      <c r="H878" t="s">
        <v>285</v>
      </c>
      <c r="I878" t="s">
        <v>210</v>
      </c>
      <c r="J878" t="s">
        <v>270</v>
      </c>
      <c r="K878" t="s">
        <v>2884</v>
      </c>
      <c r="L878">
        <v>3301</v>
      </c>
      <c r="M878" t="s">
        <v>331</v>
      </c>
      <c r="N878" t="s">
        <v>1204</v>
      </c>
      <c r="O878" t="s">
        <v>254</v>
      </c>
      <c r="P878" t="s">
        <v>344</v>
      </c>
      <c r="Q878" t="s">
        <v>1205</v>
      </c>
      <c r="R878" s="13">
        <v>29.99</v>
      </c>
      <c r="S878">
        <v>1</v>
      </c>
      <c r="T878" s="14">
        <v>0</v>
      </c>
      <c r="U878" s="13">
        <v>13.195600000000001</v>
      </c>
      <c r="V878">
        <f t="shared" si="182"/>
        <v>2016</v>
      </c>
      <c r="W878" t="str">
        <f t="shared" si="183"/>
        <v>Jan</v>
      </c>
      <c r="X878" t="str">
        <f t="shared" si="184"/>
        <v>Q1</v>
      </c>
      <c r="Y878" t="str">
        <f t="shared" si="185"/>
        <v>Sun</v>
      </c>
      <c r="Z878" s="16">
        <f t="shared" si="186"/>
        <v>4</v>
      </c>
      <c r="AA878" s="13">
        <f t="shared" si="187"/>
        <v>29.99</v>
      </c>
      <c r="AB878" s="14">
        <f t="shared" si="188"/>
        <v>0.44000000000000006</v>
      </c>
      <c r="AC878" t="str">
        <f t="shared" si="189"/>
        <v>No Discount</v>
      </c>
      <c r="AD878" t="str">
        <f t="shared" si="190"/>
        <v>Low (&lt;$50)</v>
      </c>
      <c r="AE878" t="str">
        <f t="shared" si="191"/>
        <v>Small (1-2 units)</v>
      </c>
      <c r="AF878" t="str">
        <f t="shared" si="192"/>
        <v>Profitable</v>
      </c>
      <c r="AG878" t="str">
        <f t="shared" si="193"/>
        <v>High Margin</v>
      </c>
      <c r="AH878" t="str">
        <f t="shared" si="194"/>
        <v>Repeat Customer</v>
      </c>
      <c r="AI878" t="str">
        <f t="shared" si="195"/>
        <v>Standard (3-5 days)</v>
      </c>
    </row>
    <row r="879" spans="1:35" ht="15" customHeight="1" x14ac:dyDescent="0.3">
      <c r="A879">
        <v>878</v>
      </c>
      <c r="B879" t="s">
        <v>2893</v>
      </c>
      <c r="C879" s="12">
        <v>42386</v>
      </c>
      <c r="D879" s="12">
        <v>42390</v>
      </c>
      <c r="E879" t="s">
        <v>233</v>
      </c>
      <c r="F879" t="s">
        <v>2318</v>
      </c>
      <c r="G879" t="s">
        <v>2319</v>
      </c>
      <c r="H879" t="s">
        <v>285</v>
      </c>
      <c r="I879" t="s">
        <v>210</v>
      </c>
      <c r="J879" t="s">
        <v>270</v>
      </c>
      <c r="K879" t="s">
        <v>2884</v>
      </c>
      <c r="L879">
        <v>3301</v>
      </c>
      <c r="M879" t="s">
        <v>331</v>
      </c>
      <c r="N879" t="s">
        <v>2894</v>
      </c>
      <c r="O879" t="s">
        <v>254</v>
      </c>
      <c r="P879" t="s">
        <v>344</v>
      </c>
      <c r="Q879" t="s">
        <v>2895</v>
      </c>
      <c r="R879" s="13">
        <v>371.97</v>
      </c>
      <c r="S879">
        <v>3</v>
      </c>
      <c r="T879" s="14">
        <v>0</v>
      </c>
      <c r="U879" s="13">
        <v>66.954599999999999</v>
      </c>
      <c r="V879">
        <f t="shared" si="182"/>
        <v>2016</v>
      </c>
      <c r="W879" t="str">
        <f t="shared" si="183"/>
        <v>Jan</v>
      </c>
      <c r="X879" t="str">
        <f t="shared" si="184"/>
        <v>Q1</v>
      </c>
      <c r="Y879" t="str">
        <f t="shared" si="185"/>
        <v>Sun</v>
      </c>
      <c r="Z879" s="16">
        <f t="shared" si="186"/>
        <v>4</v>
      </c>
      <c r="AA879" s="13">
        <f t="shared" si="187"/>
        <v>123.99000000000001</v>
      </c>
      <c r="AB879" s="14">
        <f t="shared" si="188"/>
        <v>0.18</v>
      </c>
      <c r="AC879" t="str">
        <f t="shared" si="189"/>
        <v>No Discount</v>
      </c>
      <c r="AD879" t="str">
        <f t="shared" si="190"/>
        <v>High ($200-$500)</v>
      </c>
      <c r="AE879" t="str">
        <f t="shared" si="191"/>
        <v>Medium (3-5 units)</v>
      </c>
      <c r="AF879" t="str">
        <f t="shared" si="192"/>
        <v>Profitable</v>
      </c>
      <c r="AG879" t="str">
        <f t="shared" si="193"/>
        <v>Healthy Margin</v>
      </c>
      <c r="AH879" t="str">
        <f t="shared" si="194"/>
        <v>Repeat Customer</v>
      </c>
      <c r="AI879" t="str">
        <f t="shared" si="195"/>
        <v>Standard (3-5 days)</v>
      </c>
    </row>
    <row r="880" spans="1:35" ht="15" customHeight="1" x14ac:dyDescent="0.3">
      <c r="A880">
        <v>879</v>
      </c>
      <c r="B880" t="s">
        <v>2896</v>
      </c>
      <c r="C880" s="12">
        <v>41899</v>
      </c>
      <c r="D880" s="12">
        <v>41903</v>
      </c>
      <c r="E880" t="s">
        <v>233</v>
      </c>
      <c r="F880" t="s">
        <v>2897</v>
      </c>
      <c r="G880" t="s">
        <v>2898</v>
      </c>
      <c r="H880" t="s">
        <v>285</v>
      </c>
      <c r="I880" t="s">
        <v>210</v>
      </c>
      <c r="J880" t="s">
        <v>329</v>
      </c>
      <c r="K880" t="s">
        <v>330</v>
      </c>
      <c r="L880">
        <v>19120</v>
      </c>
      <c r="M880" t="s">
        <v>331</v>
      </c>
      <c r="N880" t="s">
        <v>2899</v>
      </c>
      <c r="O880" t="s">
        <v>229</v>
      </c>
      <c r="P880" t="s">
        <v>258</v>
      </c>
      <c r="Q880" t="s">
        <v>2900</v>
      </c>
      <c r="R880" s="13">
        <v>5.8920000000000003</v>
      </c>
      <c r="S880">
        <v>4</v>
      </c>
      <c r="T880" s="14">
        <v>0.7</v>
      </c>
      <c r="U880" s="13">
        <v>-4.1243999999999996</v>
      </c>
      <c r="V880">
        <f t="shared" si="182"/>
        <v>2014</v>
      </c>
      <c r="W880" t="str">
        <f t="shared" si="183"/>
        <v>Sep</v>
      </c>
      <c r="X880" t="str">
        <f t="shared" si="184"/>
        <v>Q3</v>
      </c>
      <c r="Y880" t="str">
        <f t="shared" si="185"/>
        <v>Wed</v>
      </c>
      <c r="Z880" s="16">
        <f t="shared" si="186"/>
        <v>4</v>
      </c>
      <c r="AA880" s="13">
        <f t="shared" si="187"/>
        <v>1.4730000000000001</v>
      </c>
      <c r="AB880" s="14">
        <f t="shared" si="188"/>
        <v>-0.69999999999999984</v>
      </c>
      <c r="AC880" t="str">
        <f t="shared" si="189"/>
        <v>High (40%+)</v>
      </c>
      <c r="AD880" t="str">
        <f t="shared" si="190"/>
        <v>Low (&lt;$50)</v>
      </c>
      <c r="AE880" t="str">
        <f t="shared" si="191"/>
        <v>Medium (3-5 units)</v>
      </c>
      <c r="AF880" t="str">
        <f t="shared" si="192"/>
        <v>Loss-Making</v>
      </c>
      <c r="AG880" t="str">
        <f t="shared" si="193"/>
        <v>Underperforming</v>
      </c>
      <c r="AH880" t="str">
        <f t="shared" si="194"/>
        <v>Single Purchase</v>
      </c>
      <c r="AI880" t="str">
        <f t="shared" si="195"/>
        <v>Standard (3-5 days)</v>
      </c>
    </row>
    <row r="881" spans="1:35" ht="15" customHeight="1" x14ac:dyDescent="0.3">
      <c r="A881">
        <v>880</v>
      </c>
      <c r="B881" t="s">
        <v>2901</v>
      </c>
      <c r="C881" s="12">
        <v>43069</v>
      </c>
      <c r="D881" s="12">
        <v>43071</v>
      </c>
      <c r="E881" t="s">
        <v>206</v>
      </c>
      <c r="F881" t="s">
        <v>283</v>
      </c>
      <c r="G881" t="s">
        <v>284</v>
      </c>
      <c r="H881" t="s">
        <v>285</v>
      </c>
      <c r="I881" t="s">
        <v>210</v>
      </c>
      <c r="J881" t="s">
        <v>449</v>
      </c>
      <c r="K881" t="s">
        <v>450</v>
      </c>
      <c r="L881">
        <v>10024</v>
      </c>
      <c r="M881" t="s">
        <v>331</v>
      </c>
      <c r="N881" t="s">
        <v>2902</v>
      </c>
      <c r="O881" t="s">
        <v>229</v>
      </c>
      <c r="P881" t="s">
        <v>258</v>
      </c>
      <c r="Q881" t="s">
        <v>2903</v>
      </c>
      <c r="R881" s="13">
        <v>68.471999999999994</v>
      </c>
      <c r="S881">
        <v>3</v>
      </c>
      <c r="T881" s="14">
        <v>0.2</v>
      </c>
      <c r="U881" s="13">
        <v>23.109300000000001</v>
      </c>
      <c r="V881">
        <f t="shared" si="182"/>
        <v>2017</v>
      </c>
      <c r="W881" t="str">
        <f t="shared" si="183"/>
        <v>Nov</v>
      </c>
      <c r="X881" t="str">
        <f t="shared" si="184"/>
        <v>Q4</v>
      </c>
      <c r="Y881" t="str">
        <f t="shared" si="185"/>
        <v>Thu</v>
      </c>
      <c r="Z881" s="16">
        <f t="shared" si="186"/>
        <v>2</v>
      </c>
      <c r="AA881" s="13">
        <f t="shared" si="187"/>
        <v>22.823999999999998</v>
      </c>
      <c r="AB881" s="14">
        <f t="shared" si="188"/>
        <v>0.33750000000000002</v>
      </c>
      <c r="AC881" t="str">
        <f t="shared" si="189"/>
        <v>Low (1-20%)</v>
      </c>
      <c r="AD881" t="str">
        <f t="shared" si="190"/>
        <v>Medium ($50-$200)</v>
      </c>
      <c r="AE881" t="str">
        <f t="shared" si="191"/>
        <v>Medium (3-5 units)</v>
      </c>
      <c r="AF881" t="str">
        <f t="shared" si="192"/>
        <v>Profitable</v>
      </c>
      <c r="AG881" t="str">
        <f t="shared" si="193"/>
        <v>High Margin</v>
      </c>
      <c r="AH881" t="str">
        <f t="shared" si="194"/>
        <v>Repeat Customer</v>
      </c>
      <c r="AI881" t="str">
        <f t="shared" si="195"/>
        <v>Fast (&lt;=2 days)</v>
      </c>
    </row>
    <row r="882" spans="1:35" ht="15" customHeight="1" x14ac:dyDescent="0.3">
      <c r="A882">
        <v>881</v>
      </c>
      <c r="B882" t="s">
        <v>2901</v>
      </c>
      <c r="C882" s="12">
        <v>43069</v>
      </c>
      <c r="D882" s="12">
        <v>43071</v>
      </c>
      <c r="E882" t="s">
        <v>206</v>
      </c>
      <c r="F882" t="s">
        <v>283</v>
      </c>
      <c r="G882" t="s">
        <v>284</v>
      </c>
      <c r="H882" t="s">
        <v>285</v>
      </c>
      <c r="I882" t="s">
        <v>210</v>
      </c>
      <c r="J882" t="s">
        <v>449</v>
      </c>
      <c r="K882" t="s">
        <v>450</v>
      </c>
      <c r="L882">
        <v>10024</v>
      </c>
      <c r="M882" t="s">
        <v>331</v>
      </c>
      <c r="N882" t="s">
        <v>871</v>
      </c>
      <c r="O882" t="s">
        <v>215</v>
      </c>
      <c r="P882" t="s">
        <v>219</v>
      </c>
      <c r="Q882" t="s">
        <v>872</v>
      </c>
      <c r="R882" s="13">
        <v>1242.9000000000001</v>
      </c>
      <c r="S882">
        <v>5</v>
      </c>
      <c r="T882" s="14">
        <v>0.1</v>
      </c>
      <c r="U882" s="13">
        <v>262.39</v>
      </c>
      <c r="V882">
        <f t="shared" si="182"/>
        <v>2017</v>
      </c>
      <c r="W882" t="str">
        <f t="shared" si="183"/>
        <v>Nov</v>
      </c>
      <c r="X882" t="str">
        <f t="shared" si="184"/>
        <v>Q4</v>
      </c>
      <c r="Y882" t="str">
        <f t="shared" si="185"/>
        <v>Thu</v>
      </c>
      <c r="Z882" s="16">
        <f t="shared" si="186"/>
        <v>2</v>
      </c>
      <c r="AA882" s="13">
        <f t="shared" si="187"/>
        <v>248.58</v>
      </c>
      <c r="AB882" s="14">
        <f t="shared" si="188"/>
        <v>0.21111111111111108</v>
      </c>
      <c r="AC882" t="str">
        <f t="shared" si="189"/>
        <v>Low (1-20%)</v>
      </c>
      <c r="AD882" t="str">
        <f t="shared" si="190"/>
        <v>Premium ($500+)</v>
      </c>
      <c r="AE882" t="str">
        <f t="shared" si="191"/>
        <v>Medium (3-5 units)</v>
      </c>
      <c r="AF882" t="str">
        <f t="shared" si="192"/>
        <v>Profitable</v>
      </c>
      <c r="AG882" t="str">
        <f t="shared" si="193"/>
        <v>Healthy Margin</v>
      </c>
      <c r="AH882" t="str">
        <f t="shared" si="194"/>
        <v>Repeat Customer</v>
      </c>
      <c r="AI882" t="str">
        <f t="shared" si="195"/>
        <v>Fast (&lt;=2 days)</v>
      </c>
    </row>
    <row r="883" spans="1:35" ht="15" customHeight="1" x14ac:dyDescent="0.3">
      <c r="A883">
        <v>882</v>
      </c>
      <c r="B883" t="s">
        <v>2904</v>
      </c>
      <c r="C883" s="12">
        <v>42286</v>
      </c>
      <c r="D883" s="12">
        <v>42290</v>
      </c>
      <c r="E883" t="s">
        <v>233</v>
      </c>
      <c r="F883" t="s">
        <v>691</v>
      </c>
      <c r="G883" t="s">
        <v>692</v>
      </c>
      <c r="H883" t="s">
        <v>209</v>
      </c>
      <c r="I883" t="s">
        <v>210</v>
      </c>
      <c r="J883" t="s">
        <v>501</v>
      </c>
      <c r="K883" t="s">
        <v>502</v>
      </c>
      <c r="L883">
        <v>22153</v>
      </c>
      <c r="M883" t="s">
        <v>213</v>
      </c>
      <c r="N883" t="s">
        <v>1823</v>
      </c>
      <c r="O883" t="s">
        <v>229</v>
      </c>
      <c r="P883" t="s">
        <v>242</v>
      </c>
      <c r="Q883" t="s">
        <v>1824</v>
      </c>
      <c r="R883" s="13">
        <v>30.84</v>
      </c>
      <c r="S883">
        <v>2</v>
      </c>
      <c r="T883" s="14">
        <v>0</v>
      </c>
      <c r="U883" s="13">
        <v>8.3268000000000004</v>
      </c>
      <c r="V883">
        <f t="shared" si="182"/>
        <v>2015</v>
      </c>
      <c r="W883" t="str">
        <f t="shared" si="183"/>
        <v>Oct</v>
      </c>
      <c r="X883" t="str">
        <f t="shared" si="184"/>
        <v>Q4</v>
      </c>
      <c r="Y883" t="str">
        <f t="shared" si="185"/>
        <v>Fri</v>
      </c>
      <c r="Z883" s="16">
        <f t="shared" si="186"/>
        <v>4</v>
      </c>
      <c r="AA883" s="13">
        <f t="shared" si="187"/>
        <v>15.42</v>
      </c>
      <c r="AB883" s="14">
        <f t="shared" si="188"/>
        <v>0.27</v>
      </c>
      <c r="AC883" t="str">
        <f t="shared" si="189"/>
        <v>No Discount</v>
      </c>
      <c r="AD883" t="str">
        <f t="shared" si="190"/>
        <v>Low (&lt;$50)</v>
      </c>
      <c r="AE883" t="str">
        <f t="shared" si="191"/>
        <v>Small (1-2 units)</v>
      </c>
      <c r="AF883" t="str">
        <f t="shared" si="192"/>
        <v>Profitable</v>
      </c>
      <c r="AG883" t="str">
        <f t="shared" si="193"/>
        <v>High Margin</v>
      </c>
      <c r="AH883" t="str">
        <f t="shared" si="194"/>
        <v>Repeat Customer</v>
      </c>
      <c r="AI883" t="str">
        <f t="shared" si="195"/>
        <v>Standard (3-5 days)</v>
      </c>
    </row>
    <row r="884" spans="1:35" ht="15" customHeight="1" x14ac:dyDescent="0.3">
      <c r="A884">
        <v>883</v>
      </c>
      <c r="B884" t="s">
        <v>2905</v>
      </c>
      <c r="C884" s="12">
        <v>43092</v>
      </c>
      <c r="D884" s="12">
        <v>43092</v>
      </c>
      <c r="E884" t="s">
        <v>1476</v>
      </c>
      <c r="F884" t="s">
        <v>632</v>
      </c>
      <c r="G884" t="s">
        <v>633</v>
      </c>
      <c r="H884" t="s">
        <v>209</v>
      </c>
      <c r="I884" t="s">
        <v>210</v>
      </c>
      <c r="J884" t="s">
        <v>310</v>
      </c>
      <c r="K884" t="s">
        <v>226</v>
      </c>
      <c r="L884">
        <v>94109</v>
      </c>
      <c r="M884" t="s">
        <v>227</v>
      </c>
      <c r="N884" t="s">
        <v>2445</v>
      </c>
      <c r="O884" t="s">
        <v>229</v>
      </c>
      <c r="P884" t="s">
        <v>251</v>
      </c>
      <c r="Q884" t="s">
        <v>2446</v>
      </c>
      <c r="R884" s="13">
        <v>13.48</v>
      </c>
      <c r="S884">
        <v>4</v>
      </c>
      <c r="T884" s="14">
        <v>0</v>
      </c>
      <c r="U884" s="13">
        <v>5.9311999999999996</v>
      </c>
      <c r="V884">
        <f t="shared" si="182"/>
        <v>2017</v>
      </c>
      <c r="W884" t="str">
        <f t="shared" si="183"/>
        <v>Dec</v>
      </c>
      <c r="X884" t="str">
        <f t="shared" si="184"/>
        <v>Q4</v>
      </c>
      <c r="Y884" t="str">
        <f t="shared" si="185"/>
        <v>Sat</v>
      </c>
      <c r="Z884" s="16">
        <f t="shared" si="186"/>
        <v>0</v>
      </c>
      <c r="AA884" s="13">
        <f t="shared" si="187"/>
        <v>3.37</v>
      </c>
      <c r="AB884" s="14">
        <f t="shared" si="188"/>
        <v>0.43999999999999995</v>
      </c>
      <c r="AC884" t="str">
        <f t="shared" si="189"/>
        <v>No Discount</v>
      </c>
      <c r="AD884" t="str">
        <f t="shared" si="190"/>
        <v>Low (&lt;$50)</v>
      </c>
      <c r="AE884" t="str">
        <f t="shared" si="191"/>
        <v>Medium (3-5 units)</v>
      </c>
      <c r="AF884" t="str">
        <f t="shared" si="192"/>
        <v>Profitable</v>
      </c>
      <c r="AG884" t="str">
        <f t="shared" si="193"/>
        <v>High Margin</v>
      </c>
      <c r="AH884" t="str">
        <f t="shared" si="194"/>
        <v>Repeat Customer</v>
      </c>
      <c r="AI884" t="str">
        <f t="shared" si="195"/>
        <v>Fast (&lt;=2 days)</v>
      </c>
    </row>
    <row r="885" spans="1:35" ht="15" customHeight="1" x14ac:dyDescent="0.3">
      <c r="A885">
        <v>884</v>
      </c>
      <c r="B885" t="s">
        <v>2906</v>
      </c>
      <c r="C885" s="12">
        <v>42665</v>
      </c>
      <c r="D885" s="12">
        <v>42667</v>
      </c>
      <c r="E885" t="s">
        <v>371</v>
      </c>
      <c r="F885" t="s">
        <v>2907</v>
      </c>
      <c r="G885" t="s">
        <v>2908</v>
      </c>
      <c r="H885" t="s">
        <v>285</v>
      </c>
      <c r="I885" t="s">
        <v>210</v>
      </c>
      <c r="J885" t="s">
        <v>1065</v>
      </c>
      <c r="K885" t="s">
        <v>421</v>
      </c>
      <c r="L885">
        <v>48227</v>
      </c>
      <c r="M885" t="s">
        <v>288</v>
      </c>
      <c r="N885" t="s">
        <v>2299</v>
      </c>
      <c r="O885" t="s">
        <v>215</v>
      </c>
      <c r="P885" t="s">
        <v>248</v>
      </c>
      <c r="Q885" t="s">
        <v>2300</v>
      </c>
      <c r="R885" s="13">
        <v>31.4</v>
      </c>
      <c r="S885">
        <v>5</v>
      </c>
      <c r="T885" s="14">
        <v>0</v>
      </c>
      <c r="U885" s="13">
        <v>10.048</v>
      </c>
      <c r="V885">
        <f t="shared" si="182"/>
        <v>2016</v>
      </c>
      <c r="W885" t="str">
        <f t="shared" si="183"/>
        <v>Oct</v>
      </c>
      <c r="X885" t="str">
        <f t="shared" si="184"/>
        <v>Q4</v>
      </c>
      <c r="Y885" t="str">
        <f t="shared" si="185"/>
        <v>Sat</v>
      </c>
      <c r="Z885" s="16">
        <f t="shared" si="186"/>
        <v>2</v>
      </c>
      <c r="AA885" s="13">
        <f t="shared" si="187"/>
        <v>6.2799999999999994</v>
      </c>
      <c r="AB885" s="14">
        <f t="shared" si="188"/>
        <v>0.32</v>
      </c>
      <c r="AC885" t="str">
        <f t="shared" si="189"/>
        <v>No Discount</v>
      </c>
      <c r="AD885" t="str">
        <f t="shared" si="190"/>
        <v>Low (&lt;$50)</v>
      </c>
      <c r="AE885" t="str">
        <f t="shared" si="191"/>
        <v>Medium (3-5 units)</v>
      </c>
      <c r="AF885" t="str">
        <f t="shared" si="192"/>
        <v>Profitable</v>
      </c>
      <c r="AG885" t="str">
        <f t="shared" si="193"/>
        <v>High Margin</v>
      </c>
      <c r="AH885" t="str">
        <f t="shared" si="194"/>
        <v>Single Purchase</v>
      </c>
      <c r="AI885" t="str">
        <f t="shared" si="195"/>
        <v>Fast (&lt;=2 days)</v>
      </c>
    </row>
    <row r="886" spans="1:35" ht="15" customHeight="1" x14ac:dyDescent="0.3">
      <c r="A886">
        <v>885</v>
      </c>
      <c r="B886" t="s">
        <v>2909</v>
      </c>
      <c r="C886" s="12">
        <v>41758</v>
      </c>
      <c r="D886" s="12">
        <v>41763</v>
      </c>
      <c r="E886" t="s">
        <v>233</v>
      </c>
      <c r="F886" t="s">
        <v>2910</v>
      </c>
      <c r="G886" t="s">
        <v>2911</v>
      </c>
      <c r="H886" t="s">
        <v>209</v>
      </c>
      <c r="I886" t="s">
        <v>210</v>
      </c>
      <c r="J886" t="s">
        <v>572</v>
      </c>
      <c r="K886" t="s">
        <v>450</v>
      </c>
      <c r="L886">
        <v>14609</v>
      </c>
      <c r="M886" t="s">
        <v>331</v>
      </c>
      <c r="N886" t="s">
        <v>2912</v>
      </c>
      <c r="O886" t="s">
        <v>215</v>
      </c>
      <c r="P886" t="s">
        <v>248</v>
      </c>
      <c r="Q886" t="s">
        <v>2913</v>
      </c>
      <c r="R886" s="13">
        <v>17.46</v>
      </c>
      <c r="S886">
        <v>2</v>
      </c>
      <c r="T886" s="14">
        <v>0</v>
      </c>
      <c r="U886" s="13">
        <v>5.9363999999999999</v>
      </c>
      <c r="V886">
        <f t="shared" si="182"/>
        <v>2014</v>
      </c>
      <c r="W886" t="str">
        <f t="shared" si="183"/>
        <v>Apr</v>
      </c>
      <c r="X886" t="str">
        <f t="shared" si="184"/>
        <v>Q2</v>
      </c>
      <c r="Y886" t="str">
        <f t="shared" si="185"/>
        <v>Tue</v>
      </c>
      <c r="Z886" s="16">
        <f t="shared" si="186"/>
        <v>5</v>
      </c>
      <c r="AA886" s="13">
        <f t="shared" si="187"/>
        <v>8.73</v>
      </c>
      <c r="AB886" s="14">
        <f t="shared" si="188"/>
        <v>0.33999999999999997</v>
      </c>
      <c r="AC886" t="str">
        <f t="shared" si="189"/>
        <v>No Discount</v>
      </c>
      <c r="AD886" t="str">
        <f t="shared" si="190"/>
        <v>Low (&lt;$50)</v>
      </c>
      <c r="AE886" t="str">
        <f t="shared" si="191"/>
        <v>Small (1-2 units)</v>
      </c>
      <c r="AF886" t="str">
        <f t="shared" si="192"/>
        <v>Profitable</v>
      </c>
      <c r="AG886" t="str">
        <f t="shared" si="193"/>
        <v>High Margin</v>
      </c>
      <c r="AH886" t="str">
        <f t="shared" si="194"/>
        <v>Single Purchase</v>
      </c>
      <c r="AI886" t="str">
        <f t="shared" si="195"/>
        <v>Standard (3-5 days)</v>
      </c>
    </row>
    <row r="887" spans="1:35" ht="15" customHeight="1" x14ac:dyDescent="0.3">
      <c r="A887">
        <v>886</v>
      </c>
      <c r="B887" t="s">
        <v>2914</v>
      </c>
      <c r="C887" s="12">
        <v>42119</v>
      </c>
      <c r="D887" s="12">
        <v>42122</v>
      </c>
      <c r="E887" t="s">
        <v>206</v>
      </c>
      <c r="F887" t="s">
        <v>2915</v>
      </c>
      <c r="G887" t="s">
        <v>2916</v>
      </c>
      <c r="H887" t="s">
        <v>224</v>
      </c>
      <c r="I887" t="s">
        <v>210</v>
      </c>
      <c r="J887" t="s">
        <v>225</v>
      </c>
      <c r="K887" t="s">
        <v>226</v>
      </c>
      <c r="L887">
        <v>90045</v>
      </c>
      <c r="M887" t="s">
        <v>227</v>
      </c>
      <c r="N887" t="s">
        <v>2917</v>
      </c>
      <c r="O887" t="s">
        <v>229</v>
      </c>
      <c r="P887" t="s">
        <v>258</v>
      </c>
      <c r="Q887" t="s">
        <v>2918</v>
      </c>
      <c r="R887" s="13">
        <v>13.944000000000001</v>
      </c>
      <c r="S887">
        <v>3</v>
      </c>
      <c r="T887" s="14">
        <v>0.2</v>
      </c>
      <c r="U887" s="13">
        <v>4.5317999999999996</v>
      </c>
      <c r="V887">
        <f t="shared" si="182"/>
        <v>2015</v>
      </c>
      <c r="W887" t="str">
        <f t="shared" si="183"/>
        <v>Apr</v>
      </c>
      <c r="X887" t="str">
        <f t="shared" si="184"/>
        <v>Q2</v>
      </c>
      <c r="Y887" t="str">
        <f t="shared" si="185"/>
        <v>Sat</v>
      </c>
      <c r="Z887" s="16">
        <f t="shared" si="186"/>
        <v>3</v>
      </c>
      <c r="AA887" s="13">
        <f t="shared" si="187"/>
        <v>4.6480000000000006</v>
      </c>
      <c r="AB887" s="14">
        <f t="shared" si="188"/>
        <v>0.32499999999999996</v>
      </c>
      <c r="AC887" t="str">
        <f t="shared" si="189"/>
        <v>Low (1-20%)</v>
      </c>
      <c r="AD887" t="str">
        <f t="shared" si="190"/>
        <v>Low (&lt;$50)</v>
      </c>
      <c r="AE887" t="str">
        <f t="shared" si="191"/>
        <v>Medium (3-5 units)</v>
      </c>
      <c r="AF887" t="str">
        <f t="shared" si="192"/>
        <v>Profitable</v>
      </c>
      <c r="AG887" t="str">
        <f t="shared" si="193"/>
        <v>High Margin</v>
      </c>
      <c r="AH887" t="str">
        <f t="shared" si="194"/>
        <v>Single Purchase</v>
      </c>
      <c r="AI887" t="str">
        <f t="shared" si="195"/>
        <v>Standard (3-5 days)</v>
      </c>
    </row>
    <row r="888" spans="1:35" ht="15" customHeight="1" x14ac:dyDescent="0.3">
      <c r="A888">
        <v>887</v>
      </c>
      <c r="B888" t="s">
        <v>2919</v>
      </c>
      <c r="C888" s="12">
        <v>42912</v>
      </c>
      <c r="D888" s="12">
        <v>42918</v>
      </c>
      <c r="E888" t="s">
        <v>233</v>
      </c>
      <c r="F888" t="s">
        <v>2080</v>
      </c>
      <c r="G888" t="s">
        <v>2081</v>
      </c>
      <c r="H888" t="s">
        <v>209</v>
      </c>
      <c r="I888" t="s">
        <v>210</v>
      </c>
      <c r="J888" t="s">
        <v>1133</v>
      </c>
      <c r="K888" t="s">
        <v>226</v>
      </c>
      <c r="L888">
        <v>92105</v>
      </c>
      <c r="M888" t="s">
        <v>227</v>
      </c>
      <c r="N888" t="s">
        <v>2920</v>
      </c>
      <c r="O888" t="s">
        <v>229</v>
      </c>
      <c r="P888" t="s">
        <v>242</v>
      </c>
      <c r="Q888" t="s">
        <v>2921</v>
      </c>
      <c r="R888" s="13">
        <v>83.76</v>
      </c>
      <c r="S888">
        <v>12</v>
      </c>
      <c r="T888" s="14">
        <v>0</v>
      </c>
      <c r="U888" s="13">
        <v>1.6752</v>
      </c>
      <c r="V888">
        <f t="shared" si="182"/>
        <v>2017</v>
      </c>
      <c r="W888" t="str">
        <f t="shared" si="183"/>
        <v>Jun</v>
      </c>
      <c r="X888" t="str">
        <f t="shared" si="184"/>
        <v>Q2</v>
      </c>
      <c r="Y888" t="str">
        <f t="shared" si="185"/>
        <v>Mon</v>
      </c>
      <c r="Z888" s="16">
        <f t="shared" si="186"/>
        <v>6</v>
      </c>
      <c r="AA888" s="13">
        <f t="shared" si="187"/>
        <v>6.98</v>
      </c>
      <c r="AB888" s="14">
        <f t="shared" si="188"/>
        <v>0.02</v>
      </c>
      <c r="AC888" t="str">
        <f t="shared" si="189"/>
        <v>No Discount</v>
      </c>
      <c r="AD888" t="str">
        <f t="shared" si="190"/>
        <v>Medium ($50-$200)</v>
      </c>
      <c r="AE888" t="str">
        <f t="shared" si="191"/>
        <v>Large (6+ units)</v>
      </c>
      <c r="AF888" t="str">
        <f t="shared" si="192"/>
        <v>Profitable</v>
      </c>
      <c r="AG888" t="str">
        <f t="shared" si="193"/>
        <v>Low Margin</v>
      </c>
      <c r="AH888" t="str">
        <f t="shared" si="194"/>
        <v>Repeat Customer</v>
      </c>
      <c r="AI888" t="str">
        <f t="shared" si="195"/>
        <v>Slow (6+ days)</v>
      </c>
    </row>
    <row r="889" spans="1:35" ht="15" customHeight="1" x14ac:dyDescent="0.3">
      <c r="A889">
        <v>888</v>
      </c>
      <c r="B889" t="s">
        <v>2922</v>
      </c>
      <c r="C889" s="12">
        <v>43022</v>
      </c>
      <c r="D889" s="12">
        <v>43027</v>
      </c>
      <c r="E889" t="s">
        <v>233</v>
      </c>
      <c r="F889" t="s">
        <v>2923</v>
      </c>
      <c r="G889" t="s">
        <v>2924</v>
      </c>
      <c r="H889" t="s">
        <v>285</v>
      </c>
      <c r="I889" t="s">
        <v>210</v>
      </c>
      <c r="J889" t="s">
        <v>565</v>
      </c>
      <c r="K889" t="s">
        <v>2925</v>
      </c>
      <c r="L889">
        <v>21044</v>
      </c>
      <c r="M889" t="s">
        <v>331</v>
      </c>
      <c r="N889" t="s">
        <v>477</v>
      </c>
      <c r="O889" t="s">
        <v>229</v>
      </c>
      <c r="P889" t="s">
        <v>258</v>
      </c>
      <c r="Q889" t="s">
        <v>478</v>
      </c>
      <c r="R889" s="13">
        <v>37.659999999999997</v>
      </c>
      <c r="S889">
        <v>7</v>
      </c>
      <c r="T889" s="14">
        <v>0</v>
      </c>
      <c r="U889" s="13">
        <v>18.453399999999998</v>
      </c>
      <c r="V889">
        <f t="shared" si="182"/>
        <v>2017</v>
      </c>
      <c r="W889" t="str">
        <f t="shared" si="183"/>
        <v>Oct</v>
      </c>
      <c r="X889" t="str">
        <f t="shared" si="184"/>
        <v>Q4</v>
      </c>
      <c r="Y889" t="str">
        <f t="shared" si="185"/>
        <v>Sat</v>
      </c>
      <c r="Z889" s="16">
        <f t="shared" si="186"/>
        <v>5</v>
      </c>
      <c r="AA889" s="13">
        <f t="shared" si="187"/>
        <v>5.38</v>
      </c>
      <c r="AB889" s="14">
        <f t="shared" si="188"/>
        <v>0.49</v>
      </c>
      <c r="AC889" t="str">
        <f t="shared" si="189"/>
        <v>No Discount</v>
      </c>
      <c r="AD889" t="str">
        <f t="shared" si="190"/>
        <v>Low (&lt;$50)</v>
      </c>
      <c r="AE889" t="str">
        <f t="shared" si="191"/>
        <v>Large (6+ units)</v>
      </c>
      <c r="AF889" t="str">
        <f t="shared" si="192"/>
        <v>Profitable</v>
      </c>
      <c r="AG889" t="str">
        <f t="shared" si="193"/>
        <v>High Margin</v>
      </c>
      <c r="AH889" t="str">
        <f t="shared" si="194"/>
        <v>Single Purchase</v>
      </c>
      <c r="AI889" t="str">
        <f t="shared" si="195"/>
        <v>Standard (3-5 days)</v>
      </c>
    </row>
    <row r="890" spans="1:35" ht="15" customHeight="1" x14ac:dyDescent="0.3">
      <c r="A890">
        <v>889</v>
      </c>
      <c r="B890" t="s">
        <v>2926</v>
      </c>
      <c r="C890" s="12">
        <v>41982</v>
      </c>
      <c r="D890" s="12">
        <v>41989</v>
      </c>
      <c r="E890" t="s">
        <v>233</v>
      </c>
      <c r="F890" t="s">
        <v>2821</v>
      </c>
      <c r="G890" t="s">
        <v>2822</v>
      </c>
      <c r="H890" t="s">
        <v>224</v>
      </c>
      <c r="I890" t="s">
        <v>210</v>
      </c>
      <c r="J890" t="s">
        <v>310</v>
      </c>
      <c r="K890" t="s">
        <v>226</v>
      </c>
      <c r="L890">
        <v>94122</v>
      </c>
      <c r="M890" t="s">
        <v>227</v>
      </c>
      <c r="N890" t="s">
        <v>1653</v>
      </c>
      <c r="O890" t="s">
        <v>229</v>
      </c>
      <c r="P890" t="s">
        <v>273</v>
      </c>
      <c r="Q890" t="s">
        <v>1654</v>
      </c>
      <c r="R890" s="13">
        <v>34.68</v>
      </c>
      <c r="S890">
        <v>6</v>
      </c>
      <c r="T890" s="14">
        <v>0</v>
      </c>
      <c r="U890" s="13">
        <v>16.993200000000002</v>
      </c>
      <c r="V890">
        <f t="shared" si="182"/>
        <v>2014</v>
      </c>
      <c r="W890" t="str">
        <f t="shared" si="183"/>
        <v>Dec</v>
      </c>
      <c r="X890" t="str">
        <f t="shared" si="184"/>
        <v>Q4</v>
      </c>
      <c r="Y890" t="str">
        <f t="shared" si="185"/>
        <v>Tue</v>
      </c>
      <c r="Z890" s="16">
        <f t="shared" si="186"/>
        <v>7</v>
      </c>
      <c r="AA890" s="13">
        <f t="shared" si="187"/>
        <v>5.78</v>
      </c>
      <c r="AB890" s="14">
        <f t="shared" si="188"/>
        <v>0.49000000000000005</v>
      </c>
      <c r="AC890" t="str">
        <f t="shared" si="189"/>
        <v>No Discount</v>
      </c>
      <c r="AD890" t="str">
        <f t="shared" si="190"/>
        <v>Low (&lt;$50)</v>
      </c>
      <c r="AE890" t="str">
        <f t="shared" si="191"/>
        <v>Large (6+ units)</v>
      </c>
      <c r="AF890" t="str">
        <f t="shared" si="192"/>
        <v>Profitable</v>
      </c>
      <c r="AG890" t="str">
        <f t="shared" si="193"/>
        <v>High Margin</v>
      </c>
      <c r="AH890" t="str">
        <f t="shared" si="194"/>
        <v>Repeat Customer</v>
      </c>
      <c r="AI890" t="str">
        <f t="shared" si="195"/>
        <v>Slow (6+ days)</v>
      </c>
    </row>
    <row r="891" spans="1:35" ht="15" customHeight="1" x14ac:dyDescent="0.3">
      <c r="A891">
        <v>890</v>
      </c>
      <c r="B891" t="s">
        <v>2927</v>
      </c>
      <c r="C891" s="12">
        <v>42906</v>
      </c>
      <c r="D891" s="12">
        <v>42912</v>
      </c>
      <c r="E891" t="s">
        <v>233</v>
      </c>
      <c r="F891" t="s">
        <v>1833</v>
      </c>
      <c r="G891" t="s">
        <v>1834</v>
      </c>
      <c r="H891" t="s">
        <v>209</v>
      </c>
      <c r="I891" t="s">
        <v>210</v>
      </c>
      <c r="J891" t="s">
        <v>1687</v>
      </c>
      <c r="K891" t="s">
        <v>450</v>
      </c>
      <c r="L891">
        <v>10801</v>
      </c>
      <c r="M891" t="s">
        <v>331</v>
      </c>
      <c r="N891" t="s">
        <v>2928</v>
      </c>
      <c r="O891" t="s">
        <v>254</v>
      </c>
      <c r="P891" t="s">
        <v>344</v>
      </c>
      <c r="Q891" t="s">
        <v>2929</v>
      </c>
      <c r="R891" s="13">
        <v>149.94999999999999</v>
      </c>
      <c r="S891">
        <v>5</v>
      </c>
      <c r="T891" s="14">
        <v>0</v>
      </c>
      <c r="U891" s="13">
        <v>14.994999999999999</v>
      </c>
      <c r="V891">
        <f t="shared" si="182"/>
        <v>2017</v>
      </c>
      <c r="W891" t="str">
        <f t="shared" si="183"/>
        <v>Jun</v>
      </c>
      <c r="X891" t="str">
        <f t="shared" si="184"/>
        <v>Q2</v>
      </c>
      <c r="Y891" t="str">
        <f t="shared" si="185"/>
        <v>Tue</v>
      </c>
      <c r="Z891" s="16">
        <f t="shared" si="186"/>
        <v>6</v>
      </c>
      <c r="AA891" s="13">
        <f t="shared" si="187"/>
        <v>29.99</v>
      </c>
      <c r="AB891" s="14">
        <f t="shared" si="188"/>
        <v>0.1</v>
      </c>
      <c r="AC891" t="str">
        <f t="shared" si="189"/>
        <v>No Discount</v>
      </c>
      <c r="AD891" t="str">
        <f t="shared" si="190"/>
        <v>Medium ($50-$200)</v>
      </c>
      <c r="AE891" t="str">
        <f t="shared" si="191"/>
        <v>Medium (3-5 units)</v>
      </c>
      <c r="AF891" t="str">
        <f t="shared" si="192"/>
        <v>Profitable</v>
      </c>
      <c r="AG891" t="str">
        <f t="shared" si="193"/>
        <v>Healthy Margin</v>
      </c>
      <c r="AH891" t="str">
        <f t="shared" si="194"/>
        <v>Repeat Customer</v>
      </c>
      <c r="AI891" t="str">
        <f t="shared" si="195"/>
        <v>Slow (6+ days)</v>
      </c>
    </row>
    <row r="892" spans="1:35" ht="15" customHeight="1" x14ac:dyDescent="0.3">
      <c r="A892">
        <v>891</v>
      </c>
      <c r="B892" t="s">
        <v>2927</v>
      </c>
      <c r="C892" s="12">
        <v>42906</v>
      </c>
      <c r="D892" s="12">
        <v>42912</v>
      </c>
      <c r="E892" t="s">
        <v>233</v>
      </c>
      <c r="F892" t="s">
        <v>1833</v>
      </c>
      <c r="G892" t="s">
        <v>1834</v>
      </c>
      <c r="H892" t="s">
        <v>209</v>
      </c>
      <c r="I892" t="s">
        <v>210</v>
      </c>
      <c r="J892" t="s">
        <v>1687</v>
      </c>
      <c r="K892" t="s">
        <v>450</v>
      </c>
      <c r="L892">
        <v>10801</v>
      </c>
      <c r="M892" t="s">
        <v>331</v>
      </c>
      <c r="N892" t="s">
        <v>1784</v>
      </c>
      <c r="O892" t="s">
        <v>229</v>
      </c>
      <c r="P892" t="s">
        <v>258</v>
      </c>
      <c r="Q892" t="s">
        <v>1785</v>
      </c>
      <c r="R892" s="13">
        <v>51.311999999999998</v>
      </c>
      <c r="S892">
        <v>3</v>
      </c>
      <c r="T892" s="14">
        <v>0.2</v>
      </c>
      <c r="U892" s="13">
        <v>18.6006</v>
      </c>
      <c r="V892">
        <f t="shared" si="182"/>
        <v>2017</v>
      </c>
      <c r="W892" t="str">
        <f t="shared" si="183"/>
        <v>Jun</v>
      </c>
      <c r="X892" t="str">
        <f t="shared" si="184"/>
        <v>Q2</v>
      </c>
      <c r="Y892" t="str">
        <f t="shared" si="185"/>
        <v>Tue</v>
      </c>
      <c r="Z892" s="16">
        <f t="shared" si="186"/>
        <v>6</v>
      </c>
      <c r="AA892" s="13">
        <f t="shared" si="187"/>
        <v>17.103999999999999</v>
      </c>
      <c r="AB892" s="14">
        <f t="shared" si="188"/>
        <v>0.36250000000000004</v>
      </c>
      <c r="AC892" t="str">
        <f t="shared" si="189"/>
        <v>Low (1-20%)</v>
      </c>
      <c r="AD892" t="str">
        <f t="shared" si="190"/>
        <v>Medium ($50-$200)</v>
      </c>
      <c r="AE892" t="str">
        <f t="shared" si="191"/>
        <v>Medium (3-5 units)</v>
      </c>
      <c r="AF892" t="str">
        <f t="shared" si="192"/>
        <v>Profitable</v>
      </c>
      <c r="AG892" t="str">
        <f t="shared" si="193"/>
        <v>High Margin</v>
      </c>
      <c r="AH892" t="str">
        <f t="shared" si="194"/>
        <v>Repeat Customer</v>
      </c>
      <c r="AI892" t="str">
        <f t="shared" si="195"/>
        <v>Slow (6+ days)</v>
      </c>
    </row>
    <row r="893" spans="1:35" ht="15" customHeight="1" x14ac:dyDescent="0.3">
      <c r="A893">
        <v>892</v>
      </c>
      <c r="B893" t="s">
        <v>2930</v>
      </c>
      <c r="C893" s="12">
        <v>42912</v>
      </c>
      <c r="D893" s="12">
        <v>42913</v>
      </c>
      <c r="E893" t="s">
        <v>371</v>
      </c>
      <c r="F893" t="s">
        <v>2472</v>
      </c>
      <c r="G893" t="s">
        <v>2473</v>
      </c>
      <c r="H893" t="s">
        <v>285</v>
      </c>
      <c r="I893" t="s">
        <v>210</v>
      </c>
      <c r="J893" t="s">
        <v>1065</v>
      </c>
      <c r="K893" t="s">
        <v>421</v>
      </c>
      <c r="L893">
        <v>48227</v>
      </c>
      <c r="M893" t="s">
        <v>288</v>
      </c>
      <c r="N893" t="s">
        <v>2931</v>
      </c>
      <c r="O893" t="s">
        <v>229</v>
      </c>
      <c r="P893" t="s">
        <v>273</v>
      </c>
      <c r="Q893" t="s">
        <v>2932</v>
      </c>
      <c r="R893" s="13">
        <v>4.54</v>
      </c>
      <c r="S893">
        <v>1</v>
      </c>
      <c r="T893" s="14">
        <v>0</v>
      </c>
      <c r="U893" s="13">
        <v>2.0430000000000001</v>
      </c>
      <c r="V893">
        <f t="shared" si="182"/>
        <v>2017</v>
      </c>
      <c r="W893" t="str">
        <f t="shared" si="183"/>
        <v>Jun</v>
      </c>
      <c r="X893" t="str">
        <f t="shared" si="184"/>
        <v>Q2</v>
      </c>
      <c r="Y893" t="str">
        <f t="shared" si="185"/>
        <v>Mon</v>
      </c>
      <c r="Z893" s="16">
        <f t="shared" si="186"/>
        <v>1</v>
      </c>
      <c r="AA893" s="13">
        <f t="shared" si="187"/>
        <v>4.54</v>
      </c>
      <c r="AB893" s="14">
        <f t="shared" si="188"/>
        <v>0.45</v>
      </c>
      <c r="AC893" t="str">
        <f t="shared" si="189"/>
        <v>No Discount</v>
      </c>
      <c r="AD893" t="str">
        <f t="shared" si="190"/>
        <v>Low (&lt;$50)</v>
      </c>
      <c r="AE893" t="str">
        <f t="shared" si="191"/>
        <v>Small (1-2 units)</v>
      </c>
      <c r="AF893" t="str">
        <f t="shared" si="192"/>
        <v>Profitable</v>
      </c>
      <c r="AG893" t="str">
        <f t="shared" si="193"/>
        <v>High Margin</v>
      </c>
      <c r="AH893" t="str">
        <f t="shared" si="194"/>
        <v>Repeat Customer</v>
      </c>
      <c r="AI893" t="str">
        <f t="shared" si="195"/>
        <v>Fast (&lt;=2 days)</v>
      </c>
    </row>
    <row r="894" spans="1:35" ht="15" customHeight="1" x14ac:dyDescent="0.3">
      <c r="A894">
        <v>893</v>
      </c>
      <c r="B894" t="s">
        <v>2930</v>
      </c>
      <c r="C894" s="12">
        <v>42912</v>
      </c>
      <c r="D894" s="12">
        <v>42913</v>
      </c>
      <c r="E894" t="s">
        <v>371</v>
      </c>
      <c r="F894" t="s">
        <v>2472</v>
      </c>
      <c r="G894" t="s">
        <v>2473</v>
      </c>
      <c r="H894" t="s">
        <v>285</v>
      </c>
      <c r="I894" t="s">
        <v>210</v>
      </c>
      <c r="J894" t="s">
        <v>1065</v>
      </c>
      <c r="K894" t="s">
        <v>421</v>
      </c>
      <c r="L894">
        <v>48227</v>
      </c>
      <c r="M894" t="s">
        <v>288</v>
      </c>
      <c r="N894" t="s">
        <v>2933</v>
      </c>
      <c r="O894" t="s">
        <v>229</v>
      </c>
      <c r="P894" t="s">
        <v>251</v>
      </c>
      <c r="Q894" t="s">
        <v>2934</v>
      </c>
      <c r="R894" s="13">
        <v>15.92</v>
      </c>
      <c r="S894">
        <v>4</v>
      </c>
      <c r="T894" s="14">
        <v>0</v>
      </c>
      <c r="U894" s="13">
        <v>5.4127999999999998</v>
      </c>
      <c r="V894">
        <f t="shared" si="182"/>
        <v>2017</v>
      </c>
      <c r="W894" t="str">
        <f t="shared" si="183"/>
        <v>Jun</v>
      </c>
      <c r="X894" t="str">
        <f t="shared" si="184"/>
        <v>Q2</v>
      </c>
      <c r="Y894" t="str">
        <f t="shared" si="185"/>
        <v>Mon</v>
      </c>
      <c r="Z894" s="16">
        <f t="shared" si="186"/>
        <v>1</v>
      </c>
      <c r="AA894" s="13">
        <f t="shared" si="187"/>
        <v>3.98</v>
      </c>
      <c r="AB894" s="14">
        <f t="shared" si="188"/>
        <v>0.33999999999999997</v>
      </c>
      <c r="AC894" t="str">
        <f t="shared" si="189"/>
        <v>No Discount</v>
      </c>
      <c r="AD894" t="str">
        <f t="shared" si="190"/>
        <v>Low (&lt;$50)</v>
      </c>
      <c r="AE894" t="str">
        <f t="shared" si="191"/>
        <v>Medium (3-5 units)</v>
      </c>
      <c r="AF894" t="str">
        <f t="shared" si="192"/>
        <v>Profitable</v>
      </c>
      <c r="AG894" t="str">
        <f t="shared" si="193"/>
        <v>High Margin</v>
      </c>
      <c r="AH894" t="str">
        <f t="shared" si="194"/>
        <v>Repeat Customer</v>
      </c>
      <c r="AI894" t="str">
        <f t="shared" si="195"/>
        <v>Fast (&lt;=2 days)</v>
      </c>
    </row>
    <row r="895" spans="1:35" ht="15" customHeight="1" x14ac:dyDescent="0.3">
      <c r="A895">
        <v>894</v>
      </c>
      <c r="B895" t="s">
        <v>2930</v>
      </c>
      <c r="C895" s="12">
        <v>42912</v>
      </c>
      <c r="D895" s="12">
        <v>42913</v>
      </c>
      <c r="E895" t="s">
        <v>371</v>
      </c>
      <c r="F895" t="s">
        <v>2472</v>
      </c>
      <c r="G895" t="s">
        <v>2473</v>
      </c>
      <c r="H895" t="s">
        <v>285</v>
      </c>
      <c r="I895" t="s">
        <v>210</v>
      </c>
      <c r="J895" t="s">
        <v>1065</v>
      </c>
      <c r="K895" t="s">
        <v>421</v>
      </c>
      <c r="L895">
        <v>48227</v>
      </c>
      <c r="M895" t="s">
        <v>288</v>
      </c>
      <c r="N895" t="s">
        <v>2935</v>
      </c>
      <c r="O895" t="s">
        <v>254</v>
      </c>
      <c r="P895" t="s">
        <v>255</v>
      </c>
      <c r="Q895" t="s">
        <v>2936</v>
      </c>
      <c r="R895" s="13">
        <v>543.91999999999996</v>
      </c>
      <c r="S895">
        <v>8</v>
      </c>
      <c r="T895" s="14">
        <v>0</v>
      </c>
      <c r="U895" s="13">
        <v>135.97999999999999</v>
      </c>
      <c r="V895">
        <f t="shared" si="182"/>
        <v>2017</v>
      </c>
      <c r="W895" t="str">
        <f t="shared" si="183"/>
        <v>Jun</v>
      </c>
      <c r="X895" t="str">
        <f t="shared" si="184"/>
        <v>Q2</v>
      </c>
      <c r="Y895" t="str">
        <f t="shared" si="185"/>
        <v>Mon</v>
      </c>
      <c r="Z895" s="16">
        <f t="shared" si="186"/>
        <v>1</v>
      </c>
      <c r="AA895" s="13">
        <f t="shared" si="187"/>
        <v>67.989999999999995</v>
      </c>
      <c r="AB895" s="14">
        <f t="shared" si="188"/>
        <v>0.25</v>
      </c>
      <c r="AC895" t="str">
        <f t="shared" si="189"/>
        <v>No Discount</v>
      </c>
      <c r="AD895" t="str">
        <f t="shared" si="190"/>
        <v>Premium ($500+)</v>
      </c>
      <c r="AE895" t="str">
        <f t="shared" si="191"/>
        <v>Large (6+ units)</v>
      </c>
      <c r="AF895" t="str">
        <f t="shared" si="192"/>
        <v>Profitable</v>
      </c>
      <c r="AG895" t="str">
        <f t="shared" si="193"/>
        <v>High Margin</v>
      </c>
      <c r="AH895" t="str">
        <f t="shared" si="194"/>
        <v>Repeat Customer</v>
      </c>
      <c r="AI895" t="str">
        <f t="shared" si="195"/>
        <v>Fast (&lt;=2 days)</v>
      </c>
    </row>
    <row r="896" spans="1:35" ht="15" customHeight="1" x14ac:dyDescent="0.3">
      <c r="A896">
        <v>895</v>
      </c>
      <c r="B896" t="s">
        <v>2937</v>
      </c>
      <c r="C896" s="12">
        <v>42684</v>
      </c>
      <c r="D896" s="12">
        <v>42686</v>
      </c>
      <c r="E896" t="s">
        <v>371</v>
      </c>
      <c r="F896" t="s">
        <v>2938</v>
      </c>
      <c r="G896" t="s">
        <v>2939</v>
      </c>
      <c r="H896" t="s">
        <v>224</v>
      </c>
      <c r="I896" t="s">
        <v>210</v>
      </c>
      <c r="J896" t="s">
        <v>310</v>
      </c>
      <c r="K896" t="s">
        <v>226</v>
      </c>
      <c r="L896">
        <v>94122</v>
      </c>
      <c r="M896" t="s">
        <v>227</v>
      </c>
      <c r="N896" t="s">
        <v>1492</v>
      </c>
      <c r="O896" t="s">
        <v>229</v>
      </c>
      <c r="P896" t="s">
        <v>242</v>
      </c>
      <c r="Q896" t="s">
        <v>1493</v>
      </c>
      <c r="R896" s="13">
        <v>155.82</v>
      </c>
      <c r="S896">
        <v>7</v>
      </c>
      <c r="T896" s="14">
        <v>0</v>
      </c>
      <c r="U896" s="13">
        <v>42.071399999999997</v>
      </c>
      <c r="V896">
        <f t="shared" si="182"/>
        <v>2016</v>
      </c>
      <c r="W896" t="str">
        <f t="shared" si="183"/>
        <v>Nov</v>
      </c>
      <c r="X896" t="str">
        <f t="shared" si="184"/>
        <v>Q4</v>
      </c>
      <c r="Y896" t="str">
        <f t="shared" si="185"/>
        <v>Thu</v>
      </c>
      <c r="Z896" s="16">
        <f t="shared" si="186"/>
        <v>2</v>
      </c>
      <c r="AA896" s="13">
        <f t="shared" si="187"/>
        <v>22.259999999999998</v>
      </c>
      <c r="AB896" s="14">
        <f t="shared" si="188"/>
        <v>0.27</v>
      </c>
      <c r="AC896" t="str">
        <f t="shared" si="189"/>
        <v>No Discount</v>
      </c>
      <c r="AD896" t="str">
        <f t="shared" si="190"/>
        <v>Medium ($50-$200)</v>
      </c>
      <c r="AE896" t="str">
        <f t="shared" si="191"/>
        <v>Large (6+ units)</v>
      </c>
      <c r="AF896" t="str">
        <f t="shared" si="192"/>
        <v>Profitable</v>
      </c>
      <c r="AG896" t="str">
        <f t="shared" si="193"/>
        <v>High Margin</v>
      </c>
      <c r="AH896" t="str">
        <f t="shared" si="194"/>
        <v>Repeat Customer</v>
      </c>
      <c r="AI896" t="str">
        <f t="shared" si="195"/>
        <v>Fast (&lt;=2 days)</v>
      </c>
    </row>
    <row r="897" spans="1:35" ht="15" customHeight="1" x14ac:dyDescent="0.3">
      <c r="A897">
        <v>896</v>
      </c>
      <c r="B897" t="s">
        <v>2937</v>
      </c>
      <c r="C897" s="12">
        <v>42684</v>
      </c>
      <c r="D897" s="12">
        <v>42686</v>
      </c>
      <c r="E897" t="s">
        <v>371</v>
      </c>
      <c r="F897" t="s">
        <v>2938</v>
      </c>
      <c r="G897" t="s">
        <v>2939</v>
      </c>
      <c r="H897" t="s">
        <v>224</v>
      </c>
      <c r="I897" t="s">
        <v>210</v>
      </c>
      <c r="J897" t="s">
        <v>310</v>
      </c>
      <c r="K897" t="s">
        <v>226</v>
      </c>
      <c r="L897">
        <v>94122</v>
      </c>
      <c r="M897" t="s">
        <v>227</v>
      </c>
      <c r="N897" t="s">
        <v>2940</v>
      </c>
      <c r="O897" t="s">
        <v>229</v>
      </c>
      <c r="P897" t="s">
        <v>258</v>
      </c>
      <c r="Q897" t="s">
        <v>2941</v>
      </c>
      <c r="R897" s="13">
        <v>70.007999999999996</v>
      </c>
      <c r="S897">
        <v>3</v>
      </c>
      <c r="T897" s="14">
        <v>0.2</v>
      </c>
      <c r="U897" s="13">
        <v>24.502800000000001</v>
      </c>
      <c r="V897">
        <f t="shared" si="182"/>
        <v>2016</v>
      </c>
      <c r="W897" t="str">
        <f t="shared" si="183"/>
        <v>Nov</v>
      </c>
      <c r="X897" t="str">
        <f t="shared" si="184"/>
        <v>Q4</v>
      </c>
      <c r="Y897" t="str">
        <f t="shared" si="185"/>
        <v>Thu</v>
      </c>
      <c r="Z897" s="16">
        <f t="shared" si="186"/>
        <v>2</v>
      </c>
      <c r="AA897" s="13">
        <f t="shared" si="187"/>
        <v>23.335999999999999</v>
      </c>
      <c r="AB897" s="14">
        <f t="shared" si="188"/>
        <v>0.35000000000000003</v>
      </c>
      <c r="AC897" t="str">
        <f t="shared" si="189"/>
        <v>Low (1-20%)</v>
      </c>
      <c r="AD897" t="str">
        <f t="shared" si="190"/>
        <v>Medium ($50-$200)</v>
      </c>
      <c r="AE897" t="str">
        <f t="shared" si="191"/>
        <v>Medium (3-5 units)</v>
      </c>
      <c r="AF897" t="str">
        <f t="shared" si="192"/>
        <v>Profitable</v>
      </c>
      <c r="AG897" t="str">
        <f t="shared" si="193"/>
        <v>High Margin</v>
      </c>
      <c r="AH897" t="str">
        <f t="shared" si="194"/>
        <v>Repeat Customer</v>
      </c>
      <c r="AI897" t="str">
        <f t="shared" si="195"/>
        <v>Fast (&lt;=2 days)</v>
      </c>
    </row>
    <row r="898" spans="1:35" ht="15" customHeight="1" x14ac:dyDescent="0.3">
      <c r="A898">
        <v>897</v>
      </c>
      <c r="B898" t="s">
        <v>2942</v>
      </c>
      <c r="C898" s="12">
        <v>42646</v>
      </c>
      <c r="D898" s="12">
        <v>42649</v>
      </c>
      <c r="E898" t="s">
        <v>206</v>
      </c>
      <c r="F898" t="s">
        <v>2943</v>
      </c>
      <c r="G898" t="s">
        <v>2944</v>
      </c>
      <c r="H898" t="s">
        <v>209</v>
      </c>
      <c r="I898" t="s">
        <v>210</v>
      </c>
      <c r="J898" t="s">
        <v>367</v>
      </c>
      <c r="K898" t="s">
        <v>287</v>
      </c>
      <c r="L898">
        <v>77095</v>
      </c>
      <c r="M898" t="s">
        <v>288</v>
      </c>
      <c r="N898" t="s">
        <v>2945</v>
      </c>
      <c r="O898" t="s">
        <v>229</v>
      </c>
      <c r="P898" t="s">
        <v>356</v>
      </c>
      <c r="Q898" t="s">
        <v>854</v>
      </c>
      <c r="R898" s="13">
        <v>15.648</v>
      </c>
      <c r="S898">
        <v>2</v>
      </c>
      <c r="T898" s="14">
        <v>0.2</v>
      </c>
      <c r="U898" s="13">
        <v>5.0856000000000003</v>
      </c>
      <c r="V898">
        <f t="shared" ref="V898:V961" si="196">YEAR(C898)</f>
        <v>2016</v>
      </c>
      <c r="W898" t="str">
        <f t="shared" ref="W898:W961" si="197">TEXT(C898,"mmm")</f>
        <v>Oct</v>
      </c>
      <c r="X898" t="str">
        <f t="shared" ref="X898:X961" si="198">"Q"&amp;ROUNDUP(MONTH(C898)/3,0)</f>
        <v>Q4</v>
      </c>
      <c r="Y898" t="str">
        <f t="shared" ref="Y898:Y961" si="199">TEXT(C898,"ddd")</f>
        <v>Mon</v>
      </c>
      <c r="Z898" s="16">
        <f t="shared" ref="Z898:Z961" si="200">D898-C898</f>
        <v>3</v>
      </c>
      <c r="AA898" s="13">
        <f t="shared" ref="AA898:AA961" si="201">IFERROR(R898/S898,0)</f>
        <v>7.8239999999999998</v>
      </c>
      <c r="AB898" s="14">
        <f t="shared" ref="AB898:AB961" si="202">IFERROR(U898/R898,0)</f>
        <v>0.32500000000000001</v>
      </c>
      <c r="AC898" t="str">
        <f t="shared" ref="AC898:AC961" si="203">IF(T898=0,"No Discount",IF(T898&lt;=0.2,"Low (1-20%)",IF(T898&lt;=0.4,"Medium (21-40%)","High (40%+)")))</f>
        <v>Low (1-20%)</v>
      </c>
      <c r="AD898" t="str">
        <f t="shared" ref="AD898:AD961" si="204">IF(R898&lt;50,"Low (&lt;$50)",IF(R898&lt;200,"Medium ($50-$200)",IF(R898&lt;500,"High ($200-$500)","Premium ($500+)")))</f>
        <v>Low (&lt;$50)</v>
      </c>
      <c r="AE898" t="str">
        <f t="shared" ref="AE898:AE961" si="205">IF(S898&lt;=2,"Small (1-2 units)",IF(S898&lt;=5,"Medium (3-5 units)","Large (6+ units)"))</f>
        <v>Small (1-2 units)</v>
      </c>
      <c r="AF898" t="str">
        <f t="shared" ref="AF898:AF961" si="206">IF(U898&lt;0,"Loss-Making","Profitable")</f>
        <v>Profitable</v>
      </c>
      <c r="AG898" t="str">
        <f t="shared" ref="AG898:AG961" si="207">IF(AB898&lt;0,"Underperforming",IF(AB898&lt;0.1,"Low Margin",IF(AB898&lt;0.25,"Healthy Margin","High Margin")))</f>
        <v>High Margin</v>
      </c>
      <c r="AH898" t="str">
        <f t="shared" ref="AH898:AH961" si="208">IF(COUNTIF($F$2:$F$1001,F898)&gt;1,"Repeat Customer","Single Purchase")</f>
        <v>Single Purchase</v>
      </c>
      <c r="AI898" t="str">
        <f t="shared" ref="AI898:AI961" si="209">IF(Z898&lt;=2,"Fast (&lt;=2 days)",IF(Z898&lt;=5,"Standard (3-5 days)","Slow (6+ days)"))</f>
        <v>Standard (3-5 days)</v>
      </c>
    </row>
    <row r="899" spans="1:35" ht="15" customHeight="1" x14ac:dyDescent="0.3">
      <c r="A899">
        <v>898</v>
      </c>
      <c r="B899" t="s">
        <v>2946</v>
      </c>
      <c r="C899" s="12">
        <v>41891</v>
      </c>
      <c r="D899" s="12">
        <v>41897</v>
      </c>
      <c r="E899" t="s">
        <v>233</v>
      </c>
      <c r="F899" t="s">
        <v>2947</v>
      </c>
      <c r="G899" t="s">
        <v>2948</v>
      </c>
      <c r="H899" t="s">
        <v>209</v>
      </c>
      <c r="I899" t="s">
        <v>210</v>
      </c>
      <c r="J899" t="s">
        <v>1065</v>
      </c>
      <c r="K899" t="s">
        <v>421</v>
      </c>
      <c r="L899">
        <v>48227</v>
      </c>
      <c r="M899" t="s">
        <v>288</v>
      </c>
      <c r="N899" t="s">
        <v>1855</v>
      </c>
      <c r="O899" t="s">
        <v>229</v>
      </c>
      <c r="P899" t="s">
        <v>230</v>
      </c>
      <c r="Q899" t="s">
        <v>1856</v>
      </c>
      <c r="R899" s="13">
        <v>103.6</v>
      </c>
      <c r="S899">
        <v>7</v>
      </c>
      <c r="T899" s="14">
        <v>0</v>
      </c>
      <c r="U899" s="13">
        <v>51.8</v>
      </c>
      <c r="V899">
        <f t="shared" si="196"/>
        <v>2014</v>
      </c>
      <c r="W899" t="str">
        <f t="shared" si="197"/>
        <v>Sep</v>
      </c>
      <c r="X899" t="str">
        <f t="shared" si="198"/>
        <v>Q3</v>
      </c>
      <c r="Y899" t="str">
        <f t="shared" si="199"/>
        <v>Tue</v>
      </c>
      <c r="Z899" s="16">
        <f t="shared" si="200"/>
        <v>6</v>
      </c>
      <c r="AA899" s="13">
        <f t="shared" si="201"/>
        <v>14.799999999999999</v>
      </c>
      <c r="AB899" s="14">
        <f t="shared" si="202"/>
        <v>0.5</v>
      </c>
      <c r="AC899" t="str">
        <f t="shared" si="203"/>
        <v>No Discount</v>
      </c>
      <c r="AD899" t="str">
        <f t="shared" si="204"/>
        <v>Medium ($50-$200)</v>
      </c>
      <c r="AE899" t="str">
        <f t="shared" si="205"/>
        <v>Large (6+ units)</v>
      </c>
      <c r="AF899" t="str">
        <f t="shared" si="206"/>
        <v>Profitable</v>
      </c>
      <c r="AG899" t="str">
        <f t="shared" si="207"/>
        <v>High Margin</v>
      </c>
      <c r="AH899" t="str">
        <f t="shared" si="208"/>
        <v>Repeat Customer</v>
      </c>
      <c r="AI899" t="str">
        <f t="shared" si="209"/>
        <v>Slow (6+ days)</v>
      </c>
    </row>
    <row r="900" spans="1:35" ht="15" customHeight="1" x14ac:dyDescent="0.3">
      <c r="A900">
        <v>899</v>
      </c>
      <c r="B900" t="s">
        <v>2949</v>
      </c>
      <c r="C900" s="12">
        <v>43037</v>
      </c>
      <c r="D900" s="12">
        <v>43039</v>
      </c>
      <c r="E900" t="s">
        <v>206</v>
      </c>
      <c r="F900" t="s">
        <v>2950</v>
      </c>
      <c r="G900" t="s">
        <v>2951</v>
      </c>
      <c r="H900" t="s">
        <v>224</v>
      </c>
      <c r="I900" t="s">
        <v>210</v>
      </c>
      <c r="J900" t="s">
        <v>1748</v>
      </c>
      <c r="K900" t="s">
        <v>450</v>
      </c>
      <c r="L900">
        <v>13021</v>
      </c>
      <c r="M900" t="s">
        <v>331</v>
      </c>
      <c r="N900" t="s">
        <v>2952</v>
      </c>
      <c r="O900" t="s">
        <v>229</v>
      </c>
      <c r="P900" t="s">
        <v>273</v>
      </c>
      <c r="Q900" t="s">
        <v>2953</v>
      </c>
      <c r="R900" s="13">
        <v>46.96</v>
      </c>
      <c r="S900">
        <v>8</v>
      </c>
      <c r="T900" s="14">
        <v>0</v>
      </c>
      <c r="U900" s="13">
        <v>22.540800000000001</v>
      </c>
      <c r="V900">
        <f t="shared" si="196"/>
        <v>2017</v>
      </c>
      <c r="W900" t="str">
        <f t="shared" si="197"/>
        <v>Oct</v>
      </c>
      <c r="X900" t="str">
        <f t="shared" si="198"/>
        <v>Q4</v>
      </c>
      <c r="Y900" t="str">
        <f t="shared" si="199"/>
        <v>Sun</v>
      </c>
      <c r="Z900" s="16">
        <f t="shared" si="200"/>
        <v>2</v>
      </c>
      <c r="AA900" s="13">
        <f t="shared" si="201"/>
        <v>5.87</v>
      </c>
      <c r="AB900" s="14">
        <f t="shared" si="202"/>
        <v>0.48</v>
      </c>
      <c r="AC900" t="str">
        <f t="shared" si="203"/>
        <v>No Discount</v>
      </c>
      <c r="AD900" t="str">
        <f t="shared" si="204"/>
        <v>Low (&lt;$50)</v>
      </c>
      <c r="AE900" t="str">
        <f t="shared" si="205"/>
        <v>Large (6+ units)</v>
      </c>
      <c r="AF900" t="str">
        <f t="shared" si="206"/>
        <v>Profitable</v>
      </c>
      <c r="AG900" t="str">
        <f t="shared" si="207"/>
        <v>High Margin</v>
      </c>
      <c r="AH900" t="str">
        <f t="shared" si="208"/>
        <v>Single Purchase</v>
      </c>
      <c r="AI900" t="str">
        <f t="shared" si="209"/>
        <v>Fast (&lt;=2 days)</v>
      </c>
    </row>
    <row r="901" spans="1:35" ht="15" customHeight="1" x14ac:dyDescent="0.3">
      <c r="A901">
        <v>900</v>
      </c>
      <c r="B901" t="s">
        <v>2954</v>
      </c>
      <c r="C901" s="12">
        <v>42470</v>
      </c>
      <c r="D901" s="12">
        <v>42472</v>
      </c>
      <c r="E901" t="s">
        <v>371</v>
      </c>
      <c r="F901" t="s">
        <v>2955</v>
      </c>
      <c r="G901" t="s">
        <v>2956</v>
      </c>
      <c r="H901" t="s">
        <v>224</v>
      </c>
      <c r="I901" t="s">
        <v>210</v>
      </c>
      <c r="J901" t="s">
        <v>501</v>
      </c>
      <c r="K901" t="s">
        <v>681</v>
      </c>
      <c r="L901">
        <v>45503</v>
      </c>
      <c r="M901" t="s">
        <v>331</v>
      </c>
      <c r="N901" t="s">
        <v>2957</v>
      </c>
      <c r="O901" t="s">
        <v>229</v>
      </c>
      <c r="P901" t="s">
        <v>258</v>
      </c>
      <c r="Q901" t="s">
        <v>2958</v>
      </c>
      <c r="R901" s="13">
        <v>8.9039999999999999</v>
      </c>
      <c r="S901">
        <v>2</v>
      </c>
      <c r="T901" s="14">
        <v>0.7</v>
      </c>
      <c r="U901" s="13">
        <v>-6.5296000000000003</v>
      </c>
      <c r="V901">
        <f t="shared" si="196"/>
        <v>2016</v>
      </c>
      <c r="W901" t="str">
        <f t="shared" si="197"/>
        <v>Apr</v>
      </c>
      <c r="X901" t="str">
        <f t="shared" si="198"/>
        <v>Q2</v>
      </c>
      <c r="Y901" t="str">
        <f t="shared" si="199"/>
        <v>Sun</v>
      </c>
      <c r="Z901" s="16">
        <f t="shared" si="200"/>
        <v>2</v>
      </c>
      <c r="AA901" s="13">
        <f t="shared" si="201"/>
        <v>4.452</v>
      </c>
      <c r="AB901" s="14">
        <f t="shared" si="202"/>
        <v>-0.73333333333333339</v>
      </c>
      <c r="AC901" t="str">
        <f t="shared" si="203"/>
        <v>High (40%+)</v>
      </c>
      <c r="AD901" t="str">
        <f t="shared" si="204"/>
        <v>Low (&lt;$50)</v>
      </c>
      <c r="AE901" t="str">
        <f t="shared" si="205"/>
        <v>Small (1-2 units)</v>
      </c>
      <c r="AF901" t="str">
        <f t="shared" si="206"/>
        <v>Loss-Making</v>
      </c>
      <c r="AG901" t="str">
        <f t="shared" si="207"/>
        <v>Underperforming</v>
      </c>
      <c r="AH901" t="str">
        <f t="shared" si="208"/>
        <v>Single Purchase</v>
      </c>
      <c r="AI901" t="str">
        <f t="shared" si="209"/>
        <v>Fast (&lt;=2 days)</v>
      </c>
    </row>
    <row r="902" spans="1:35" ht="15" customHeight="1" x14ac:dyDescent="0.3">
      <c r="A902">
        <v>901</v>
      </c>
      <c r="B902" t="s">
        <v>2959</v>
      </c>
      <c r="C902" s="12">
        <v>43050</v>
      </c>
      <c r="D902" s="12">
        <v>43052</v>
      </c>
      <c r="E902" t="s">
        <v>371</v>
      </c>
      <c r="F902" t="s">
        <v>1428</v>
      </c>
      <c r="G902" t="s">
        <v>1429</v>
      </c>
      <c r="H902" t="s">
        <v>209</v>
      </c>
      <c r="I902" t="s">
        <v>210</v>
      </c>
      <c r="J902" t="s">
        <v>2960</v>
      </c>
      <c r="K902" t="s">
        <v>287</v>
      </c>
      <c r="L902">
        <v>75043</v>
      </c>
      <c r="M902" t="s">
        <v>288</v>
      </c>
      <c r="N902" t="s">
        <v>2961</v>
      </c>
      <c r="O902" t="s">
        <v>229</v>
      </c>
      <c r="P902" t="s">
        <v>230</v>
      </c>
      <c r="Q902" t="s">
        <v>2962</v>
      </c>
      <c r="R902" s="13">
        <v>10.44</v>
      </c>
      <c r="S902">
        <v>5</v>
      </c>
      <c r="T902" s="14">
        <v>0.2</v>
      </c>
      <c r="U902" s="13">
        <v>3.3929999999999998</v>
      </c>
      <c r="V902">
        <f t="shared" si="196"/>
        <v>2017</v>
      </c>
      <c r="W902" t="str">
        <f t="shared" si="197"/>
        <v>Nov</v>
      </c>
      <c r="X902" t="str">
        <f t="shared" si="198"/>
        <v>Q4</v>
      </c>
      <c r="Y902" t="str">
        <f t="shared" si="199"/>
        <v>Sat</v>
      </c>
      <c r="Z902" s="16">
        <f t="shared" si="200"/>
        <v>2</v>
      </c>
      <c r="AA902" s="13">
        <f t="shared" si="201"/>
        <v>2.0880000000000001</v>
      </c>
      <c r="AB902" s="14">
        <f t="shared" si="202"/>
        <v>0.32500000000000001</v>
      </c>
      <c r="AC902" t="str">
        <f t="shared" si="203"/>
        <v>Low (1-20%)</v>
      </c>
      <c r="AD902" t="str">
        <f t="shared" si="204"/>
        <v>Low (&lt;$50)</v>
      </c>
      <c r="AE902" t="str">
        <f t="shared" si="205"/>
        <v>Medium (3-5 units)</v>
      </c>
      <c r="AF902" t="str">
        <f t="shared" si="206"/>
        <v>Profitable</v>
      </c>
      <c r="AG902" t="str">
        <f t="shared" si="207"/>
        <v>High Margin</v>
      </c>
      <c r="AH902" t="str">
        <f t="shared" si="208"/>
        <v>Repeat Customer</v>
      </c>
      <c r="AI902" t="str">
        <f t="shared" si="209"/>
        <v>Fast (&lt;=2 days)</v>
      </c>
    </row>
    <row r="903" spans="1:35" ht="15" customHeight="1" x14ac:dyDescent="0.3">
      <c r="A903">
        <v>902</v>
      </c>
      <c r="B903" t="s">
        <v>2959</v>
      </c>
      <c r="C903" s="12">
        <v>43050</v>
      </c>
      <c r="D903" s="12">
        <v>43052</v>
      </c>
      <c r="E903" t="s">
        <v>371</v>
      </c>
      <c r="F903" t="s">
        <v>1428</v>
      </c>
      <c r="G903" t="s">
        <v>1429</v>
      </c>
      <c r="H903" t="s">
        <v>209</v>
      </c>
      <c r="I903" t="s">
        <v>210</v>
      </c>
      <c r="J903" t="s">
        <v>2960</v>
      </c>
      <c r="K903" t="s">
        <v>287</v>
      </c>
      <c r="L903">
        <v>75043</v>
      </c>
      <c r="M903" t="s">
        <v>288</v>
      </c>
      <c r="N903" t="s">
        <v>2963</v>
      </c>
      <c r="O903" t="s">
        <v>229</v>
      </c>
      <c r="P903" t="s">
        <v>258</v>
      </c>
      <c r="Q903" t="s">
        <v>2964</v>
      </c>
      <c r="R903" s="13">
        <v>18.335999999999999</v>
      </c>
      <c r="S903">
        <v>4</v>
      </c>
      <c r="T903" s="14">
        <v>0.8</v>
      </c>
      <c r="U903" s="13">
        <v>-32.088000000000001</v>
      </c>
      <c r="V903">
        <f t="shared" si="196"/>
        <v>2017</v>
      </c>
      <c r="W903" t="str">
        <f t="shared" si="197"/>
        <v>Nov</v>
      </c>
      <c r="X903" t="str">
        <f t="shared" si="198"/>
        <v>Q4</v>
      </c>
      <c r="Y903" t="str">
        <f t="shared" si="199"/>
        <v>Sat</v>
      </c>
      <c r="Z903" s="16">
        <f t="shared" si="200"/>
        <v>2</v>
      </c>
      <c r="AA903" s="13">
        <f t="shared" si="201"/>
        <v>4.5839999999999996</v>
      </c>
      <c r="AB903" s="14">
        <f t="shared" si="202"/>
        <v>-1.7500000000000002</v>
      </c>
      <c r="AC903" t="str">
        <f t="shared" si="203"/>
        <v>High (40%+)</v>
      </c>
      <c r="AD903" t="str">
        <f t="shared" si="204"/>
        <v>Low (&lt;$50)</v>
      </c>
      <c r="AE903" t="str">
        <f t="shared" si="205"/>
        <v>Medium (3-5 units)</v>
      </c>
      <c r="AF903" t="str">
        <f t="shared" si="206"/>
        <v>Loss-Making</v>
      </c>
      <c r="AG903" t="str">
        <f t="shared" si="207"/>
        <v>Underperforming</v>
      </c>
      <c r="AH903" t="str">
        <f t="shared" si="208"/>
        <v>Repeat Customer</v>
      </c>
      <c r="AI903" t="str">
        <f t="shared" si="209"/>
        <v>Fast (&lt;=2 days)</v>
      </c>
    </row>
    <row r="904" spans="1:35" ht="15" customHeight="1" x14ac:dyDescent="0.3">
      <c r="A904">
        <v>903</v>
      </c>
      <c r="B904" t="s">
        <v>2965</v>
      </c>
      <c r="C904" s="12">
        <v>42993</v>
      </c>
      <c r="D904" s="12">
        <v>42995</v>
      </c>
      <c r="E904" t="s">
        <v>371</v>
      </c>
      <c r="F904" t="s">
        <v>827</v>
      </c>
      <c r="G904" t="s">
        <v>828</v>
      </c>
      <c r="H904" t="s">
        <v>209</v>
      </c>
      <c r="I904" t="s">
        <v>210</v>
      </c>
      <c r="J904" t="s">
        <v>486</v>
      </c>
      <c r="K904" t="s">
        <v>394</v>
      </c>
      <c r="L904">
        <v>60653</v>
      </c>
      <c r="M904" t="s">
        <v>288</v>
      </c>
      <c r="N904" t="s">
        <v>836</v>
      </c>
      <c r="O904" t="s">
        <v>254</v>
      </c>
      <c r="P904" t="s">
        <v>255</v>
      </c>
      <c r="Q904" t="s">
        <v>837</v>
      </c>
      <c r="R904" s="13">
        <v>323.976</v>
      </c>
      <c r="S904">
        <v>3</v>
      </c>
      <c r="T904" s="14">
        <v>0.2</v>
      </c>
      <c r="U904" s="13">
        <v>20.2485</v>
      </c>
      <c r="V904">
        <f t="shared" si="196"/>
        <v>2017</v>
      </c>
      <c r="W904" t="str">
        <f t="shared" si="197"/>
        <v>Sep</v>
      </c>
      <c r="X904" t="str">
        <f t="shared" si="198"/>
        <v>Q3</v>
      </c>
      <c r="Y904" t="str">
        <f t="shared" si="199"/>
        <v>Fri</v>
      </c>
      <c r="Z904" s="16">
        <f t="shared" si="200"/>
        <v>2</v>
      </c>
      <c r="AA904" s="13">
        <f t="shared" si="201"/>
        <v>107.992</v>
      </c>
      <c r="AB904" s="14">
        <f t="shared" si="202"/>
        <v>6.25E-2</v>
      </c>
      <c r="AC904" t="str">
        <f t="shared" si="203"/>
        <v>Low (1-20%)</v>
      </c>
      <c r="AD904" t="str">
        <f t="shared" si="204"/>
        <v>High ($200-$500)</v>
      </c>
      <c r="AE904" t="str">
        <f t="shared" si="205"/>
        <v>Medium (3-5 units)</v>
      </c>
      <c r="AF904" t="str">
        <f t="shared" si="206"/>
        <v>Profitable</v>
      </c>
      <c r="AG904" t="str">
        <f t="shared" si="207"/>
        <v>Low Margin</v>
      </c>
      <c r="AH904" t="str">
        <f t="shared" si="208"/>
        <v>Repeat Customer</v>
      </c>
      <c r="AI904" t="str">
        <f t="shared" si="209"/>
        <v>Fast (&lt;=2 days)</v>
      </c>
    </row>
    <row r="905" spans="1:35" ht="15" customHeight="1" x14ac:dyDescent="0.3">
      <c r="A905">
        <v>904</v>
      </c>
      <c r="B905" t="s">
        <v>2966</v>
      </c>
      <c r="C905" s="12">
        <v>42468</v>
      </c>
      <c r="D905" s="12">
        <v>42472</v>
      </c>
      <c r="E905" t="s">
        <v>233</v>
      </c>
      <c r="F905" t="s">
        <v>998</v>
      </c>
      <c r="G905" t="s">
        <v>999</v>
      </c>
      <c r="H905" t="s">
        <v>209</v>
      </c>
      <c r="I905" t="s">
        <v>210</v>
      </c>
      <c r="J905" t="s">
        <v>225</v>
      </c>
      <c r="K905" t="s">
        <v>226</v>
      </c>
      <c r="L905">
        <v>90032</v>
      </c>
      <c r="M905" t="s">
        <v>227</v>
      </c>
      <c r="N905" t="s">
        <v>2967</v>
      </c>
      <c r="O905" t="s">
        <v>229</v>
      </c>
      <c r="P905" t="s">
        <v>273</v>
      </c>
      <c r="Q905" t="s">
        <v>2968</v>
      </c>
      <c r="R905" s="13">
        <v>20.04</v>
      </c>
      <c r="S905">
        <v>3</v>
      </c>
      <c r="T905" s="14">
        <v>0</v>
      </c>
      <c r="U905" s="13">
        <v>9.6191999999999993</v>
      </c>
      <c r="V905">
        <f t="shared" si="196"/>
        <v>2016</v>
      </c>
      <c r="W905" t="str">
        <f t="shared" si="197"/>
        <v>Apr</v>
      </c>
      <c r="X905" t="str">
        <f t="shared" si="198"/>
        <v>Q2</v>
      </c>
      <c r="Y905" t="str">
        <f t="shared" si="199"/>
        <v>Fri</v>
      </c>
      <c r="Z905" s="16">
        <f t="shared" si="200"/>
        <v>4</v>
      </c>
      <c r="AA905" s="13">
        <f t="shared" si="201"/>
        <v>6.68</v>
      </c>
      <c r="AB905" s="14">
        <f t="shared" si="202"/>
        <v>0.48</v>
      </c>
      <c r="AC905" t="str">
        <f t="shared" si="203"/>
        <v>No Discount</v>
      </c>
      <c r="AD905" t="str">
        <f t="shared" si="204"/>
        <v>Low (&lt;$50)</v>
      </c>
      <c r="AE905" t="str">
        <f t="shared" si="205"/>
        <v>Medium (3-5 units)</v>
      </c>
      <c r="AF905" t="str">
        <f t="shared" si="206"/>
        <v>Profitable</v>
      </c>
      <c r="AG905" t="str">
        <f t="shared" si="207"/>
        <v>High Margin</v>
      </c>
      <c r="AH905" t="str">
        <f t="shared" si="208"/>
        <v>Repeat Customer</v>
      </c>
      <c r="AI905" t="str">
        <f t="shared" si="209"/>
        <v>Standard (3-5 days)</v>
      </c>
    </row>
    <row r="906" spans="1:35" ht="15" customHeight="1" x14ac:dyDescent="0.3">
      <c r="A906">
        <v>905</v>
      </c>
      <c r="B906" t="s">
        <v>2966</v>
      </c>
      <c r="C906" s="12">
        <v>42468</v>
      </c>
      <c r="D906" s="12">
        <v>42472</v>
      </c>
      <c r="E906" t="s">
        <v>233</v>
      </c>
      <c r="F906" t="s">
        <v>998</v>
      </c>
      <c r="G906" t="s">
        <v>999</v>
      </c>
      <c r="H906" t="s">
        <v>209</v>
      </c>
      <c r="I906" t="s">
        <v>210</v>
      </c>
      <c r="J906" t="s">
        <v>225</v>
      </c>
      <c r="K906" t="s">
        <v>226</v>
      </c>
      <c r="L906">
        <v>90032</v>
      </c>
      <c r="M906" t="s">
        <v>227</v>
      </c>
      <c r="N906" t="s">
        <v>2404</v>
      </c>
      <c r="O906" t="s">
        <v>229</v>
      </c>
      <c r="P906" t="s">
        <v>242</v>
      </c>
      <c r="Q906" t="s">
        <v>2405</v>
      </c>
      <c r="R906" s="13">
        <v>64.959999999999994</v>
      </c>
      <c r="S906">
        <v>2</v>
      </c>
      <c r="T906" s="14">
        <v>0</v>
      </c>
      <c r="U906" s="13">
        <v>2.5983999999999998</v>
      </c>
      <c r="V906">
        <f t="shared" si="196"/>
        <v>2016</v>
      </c>
      <c r="W906" t="str">
        <f t="shared" si="197"/>
        <v>Apr</v>
      </c>
      <c r="X906" t="str">
        <f t="shared" si="198"/>
        <v>Q2</v>
      </c>
      <c r="Y906" t="str">
        <f t="shared" si="199"/>
        <v>Fri</v>
      </c>
      <c r="Z906" s="16">
        <f t="shared" si="200"/>
        <v>4</v>
      </c>
      <c r="AA906" s="13">
        <f t="shared" si="201"/>
        <v>32.479999999999997</v>
      </c>
      <c r="AB906" s="14">
        <f t="shared" si="202"/>
        <v>0.04</v>
      </c>
      <c r="AC906" t="str">
        <f t="shared" si="203"/>
        <v>No Discount</v>
      </c>
      <c r="AD906" t="str">
        <f t="shared" si="204"/>
        <v>Medium ($50-$200)</v>
      </c>
      <c r="AE906" t="str">
        <f t="shared" si="205"/>
        <v>Small (1-2 units)</v>
      </c>
      <c r="AF906" t="str">
        <f t="shared" si="206"/>
        <v>Profitable</v>
      </c>
      <c r="AG906" t="str">
        <f t="shared" si="207"/>
        <v>Low Margin</v>
      </c>
      <c r="AH906" t="str">
        <f t="shared" si="208"/>
        <v>Repeat Customer</v>
      </c>
      <c r="AI906" t="str">
        <f t="shared" si="209"/>
        <v>Standard (3-5 days)</v>
      </c>
    </row>
    <row r="907" spans="1:35" ht="15" customHeight="1" x14ac:dyDescent="0.3">
      <c r="A907">
        <v>906</v>
      </c>
      <c r="B907" t="s">
        <v>2966</v>
      </c>
      <c r="C907" s="12">
        <v>42468</v>
      </c>
      <c r="D907" s="12">
        <v>42472</v>
      </c>
      <c r="E907" t="s">
        <v>233</v>
      </c>
      <c r="F907" t="s">
        <v>998</v>
      </c>
      <c r="G907" t="s">
        <v>999</v>
      </c>
      <c r="H907" t="s">
        <v>209</v>
      </c>
      <c r="I907" t="s">
        <v>210</v>
      </c>
      <c r="J907" t="s">
        <v>225</v>
      </c>
      <c r="K907" t="s">
        <v>226</v>
      </c>
      <c r="L907">
        <v>90032</v>
      </c>
      <c r="M907" t="s">
        <v>227</v>
      </c>
      <c r="N907" t="s">
        <v>2969</v>
      </c>
      <c r="O907" t="s">
        <v>229</v>
      </c>
      <c r="P907" t="s">
        <v>273</v>
      </c>
      <c r="Q907" t="s">
        <v>2970</v>
      </c>
      <c r="R907" s="13">
        <v>12.96</v>
      </c>
      <c r="S907">
        <v>2</v>
      </c>
      <c r="T907" s="14">
        <v>0</v>
      </c>
      <c r="U907" s="13">
        <v>6.2207999999999997</v>
      </c>
      <c r="V907">
        <f t="shared" si="196"/>
        <v>2016</v>
      </c>
      <c r="W907" t="str">
        <f t="shared" si="197"/>
        <v>Apr</v>
      </c>
      <c r="X907" t="str">
        <f t="shared" si="198"/>
        <v>Q2</v>
      </c>
      <c r="Y907" t="str">
        <f t="shared" si="199"/>
        <v>Fri</v>
      </c>
      <c r="Z907" s="16">
        <f t="shared" si="200"/>
        <v>4</v>
      </c>
      <c r="AA907" s="13">
        <f t="shared" si="201"/>
        <v>6.48</v>
      </c>
      <c r="AB907" s="14">
        <f t="shared" si="202"/>
        <v>0.47999999999999993</v>
      </c>
      <c r="AC907" t="str">
        <f t="shared" si="203"/>
        <v>No Discount</v>
      </c>
      <c r="AD907" t="str">
        <f t="shared" si="204"/>
        <v>Low (&lt;$50)</v>
      </c>
      <c r="AE907" t="str">
        <f t="shared" si="205"/>
        <v>Small (1-2 units)</v>
      </c>
      <c r="AF907" t="str">
        <f t="shared" si="206"/>
        <v>Profitable</v>
      </c>
      <c r="AG907" t="str">
        <f t="shared" si="207"/>
        <v>High Margin</v>
      </c>
      <c r="AH907" t="str">
        <f t="shared" si="208"/>
        <v>Repeat Customer</v>
      </c>
      <c r="AI907" t="str">
        <f t="shared" si="209"/>
        <v>Standard (3-5 days)</v>
      </c>
    </row>
    <row r="908" spans="1:35" ht="15" customHeight="1" x14ac:dyDescent="0.3">
      <c r="A908">
        <v>907</v>
      </c>
      <c r="B908" t="s">
        <v>2971</v>
      </c>
      <c r="C908" s="12">
        <v>43099</v>
      </c>
      <c r="D908" s="12">
        <v>43103</v>
      </c>
      <c r="E908" t="s">
        <v>233</v>
      </c>
      <c r="F908" t="s">
        <v>418</v>
      </c>
      <c r="G908" t="s">
        <v>419</v>
      </c>
      <c r="H908" t="s">
        <v>209</v>
      </c>
      <c r="I908" t="s">
        <v>210</v>
      </c>
      <c r="J908" t="s">
        <v>449</v>
      </c>
      <c r="K908" t="s">
        <v>450</v>
      </c>
      <c r="L908">
        <v>10009</v>
      </c>
      <c r="M908" t="s">
        <v>331</v>
      </c>
      <c r="N908" t="s">
        <v>2972</v>
      </c>
      <c r="O908" t="s">
        <v>215</v>
      </c>
      <c r="P908" t="s">
        <v>216</v>
      </c>
      <c r="Q908" t="s">
        <v>2973</v>
      </c>
      <c r="R908" s="13">
        <v>323.13600000000002</v>
      </c>
      <c r="S908">
        <v>4</v>
      </c>
      <c r="T908" s="14">
        <v>0.2</v>
      </c>
      <c r="U908" s="13">
        <v>12.117599999999999</v>
      </c>
      <c r="V908">
        <f t="shared" si="196"/>
        <v>2017</v>
      </c>
      <c r="W908" t="str">
        <f t="shared" si="197"/>
        <v>Dec</v>
      </c>
      <c r="X908" t="str">
        <f t="shared" si="198"/>
        <v>Q4</v>
      </c>
      <c r="Y908" t="str">
        <f t="shared" si="199"/>
        <v>Sat</v>
      </c>
      <c r="Z908" s="16">
        <f t="shared" si="200"/>
        <v>4</v>
      </c>
      <c r="AA908" s="13">
        <f t="shared" si="201"/>
        <v>80.784000000000006</v>
      </c>
      <c r="AB908" s="14">
        <f t="shared" si="202"/>
        <v>3.7499999999999999E-2</v>
      </c>
      <c r="AC908" t="str">
        <f t="shared" si="203"/>
        <v>Low (1-20%)</v>
      </c>
      <c r="AD908" t="str">
        <f t="shared" si="204"/>
        <v>High ($200-$500)</v>
      </c>
      <c r="AE908" t="str">
        <f t="shared" si="205"/>
        <v>Medium (3-5 units)</v>
      </c>
      <c r="AF908" t="str">
        <f t="shared" si="206"/>
        <v>Profitable</v>
      </c>
      <c r="AG908" t="str">
        <f t="shared" si="207"/>
        <v>Low Margin</v>
      </c>
      <c r="AH908" t="str">
        <f t="shared" si="208"/>
        <v>Repeat Customer</v>
      </c>
      <c r="AI908" t="str">
        <f t="shared" si="209"/>
        <v>Standard (3-5 days)</v>
      </c>
    </row>
    <row r="909" spans="1:35" ht="15" customHeight="1" x14ac:dyDescent="0.3">
      <c r="A909">
        <v>908</v>
      </c>
      <c r="B909" t="s">
        <v>2971</v>
      </c>
      <c r="C909" s="12">
        <v>43099</v>
      </c>
      <c r="D909" s="12">
        <v>43103</v>
      </c>
      <c r="E909" t="s">
        <v>233</v>
      </c>
      <c r="F909" t="s">
        <v>418</v>
      </c>
      <c r="G909" t="s">
        <v>419</v>
      </c>
      <c r="H909" t="s">
        <v>209</v>
      </c>
      <c r="I909" t="s">
        <v>210</v>
      </c>
      <c r="J909" t="s">
        <v>449</v>
      </c>
      <c r="K909" t="s">
        <v>450</v>
      </c>
      <c r="L909">
        <v>10009</v>
      </c>
      <c r="M909" t="s">
        <v>331</v>
      </c>
      <c r="N909" t="s">
        <v>2974</v>
      </c>
      <c r="O909" t="s">
        <v>254</v>
      </c>
      <c r="P909" t="s">
        <v>255</v>
      </c>
      <c r="Q909" t="s">
        <v>2975</v>
      </c>
      <c r="R909" s="13">
        <v>90.93</v>
      </c>
      <c r="S909">
        <v>7</v>
      </c>
      <c r="T909" s="14">
        <v>0</v>
      </c>
      <c r="U909" s="13">
        <v>2.7279</v>
      </c>
      <c r="V909">
        <f t="shared" si="196"/>
        <v>2017</v>
      </c>
      <c r="W909" t="str">
        <f t="shared" si="197"/>
        <v>Dec</v>
      </c>
      <c r="X909" t="str">
        <f t="shared" si="198"/>
        <v>Q4</v>
      </c>
      <c r="Y909" t="str">
        <f t="shared" si="199"/>
        <v>Sat</v>
      </c>
      <c r="Z909" s="16">
        <f t="shared" si="200"/>
        <v>4</v>
      </c>
      <c r="AA909" s="13">
        <f t="shared" si="201"/>
        <v>12.99</v>
      </c>
      <c r="AB909" s="14">
        <f t="shared" si="202"/>
        <v>0.03</v>
      </c>
      <c r="AC909" t="str">
        <f t="shared" si="203"/>
        <v>No Discount</v>
      </c>
      <c r="AD909" t="str">
        <f t="shared" si="204"/>
        <v>Medium ($50-$200)</v>
      </c>
      <c r="AE909" t="str">
        <f t="shared" si="205"/>
        <v>Large (6+ units)</v>
      </c>
      <c r="AF909" t="str">
        <f t="shared" si="206"/>
        <v>Profitable</v>
      </c>
      <c r="AG909" t="str">
        <f t="shared" si="207"/>
        <v>Low Margin</v>
      </c>
      <c r="AH909" t="str">
        <f t="shared" si="208"/>
        <v>Repeat Customer</v>
      </c>
      <c r="AI909" t="str">
        <f t="shared" si="209"/>
        <v>Standard (3-5 days)</v>
      </c>
    </row>
    <row r="910" spans="1:35" ht="15" customHeight="1" x14ac:dyDescent="0.3">
      <c r="A910">
        <v>909</v>
      </c>
      <c r="B910" t="s">
        <v>2971</v>
      </c>
      <c r="C910" s="12">
        <v>43099</v>
      </c>
      <c r="D910" s="12">
        <v>43103</v>
      </c>
      <c r="E910" t="s">
        <v>233</v>
      </c>
      <c r="F910" t="s">
        <v>418</v>
      </c>
      <c r="G910" t="s">
        <v>419</v>
      </c>
      <c r="H910" t="s">
        <v>209</v>
      </c>
      <c r="I910" t="s">
        <v>210</v>
      </c>
      <c r="J910" t="s">
        <v>449</v>
      </c>
      <c r="K910" t="s">
        <v>450</v>
      </c>
      <c r="L910">
        <v>10009</v>
      </c>
      <c r="M910" t="s">
        <v>331</v>
      </c>
      <c r="N910" t="s">
        <v>2976</v>
      </c>
      <c r="O910" t="s">
        <v>229</v>
      </c>
      <c r="P910" t="s">
        <v>258</v>
      </c>
      <c r="Q910" t="s">
        <v>2977</v>
      </c>
      <c r="R910" s="13">
        <v>52.776000000000003</v>
      </c>
      <c r="S910">
        <v>3</v>
      </c>
      <c r="T910" s="14">
        <v>0.2</v>
      </c>
      <c r="U910" s="13">
        <v>19.791</v>
      </c>
      <c r="V910">
        <f t="shared" si="196"/>
        <v>2017</v>
      </c>
      <c r="W910" t="str">
        <f t="shared" si="197"/>
        <v>Dec</v>
      </c>
      <c r="X910" t="str">
        <f t="shared" si="198"/>
        <v>Q4</v>
      </c>
      <c r="Y910" t="str">
        <f t="shared" si="199"/>
        <v>Sat</v>
      </c>
      <c r="Z910" s="16">
        <f t="shared" si="200"/>
        <v>4</v>
      </c>
      <c r="AA910" s="13">
        <f t="shared" si="201"/>
        <v>17.592000000000002</v>
      </c>
      <c r="AB910" s="14">
        <f t="shared" si="202"/>
        <v>0.375</v>
      </c>
      <c r="AC910" t="str">
        <f t="shared" si="203"/>
        <v>Low (1-20%)</v>
      </c>
      <c r="AD910" t="str">
        <f t="shared" si="204"/>
        <v>Medium ($50-$200)</v>
      </c>
      <c r="AE910" t="str">
        <f t="shared" si="205"/>
        <v>Medium (3-5 units)</v>
      </c>
      <c r="AF910" t="str">
        <f t="shared" si="206"/>
        <v>Profitable</v>
      </c>
      <c r="AG910" t="str">
        <f t="shared" si="207"/>
        <v>High Margin</v>
      </c>
      <c r="AH910" t="str">
        <f t="shared" si="208"/>
        <v>Repeat Customer</v>
      </c>
      <c r="AI910" t="str">
        <f t="shared" si="209"/>
        <v>Standard (3-5 days)</v>
      </c>
    </row>
    <row r="911" spans="1:35" ht="15" customHeight="1" x14ac:dyDescent="0.3">
      <c r="A911">
        <v>910</v>
      </c>
      <c r="B911" t="s">
        <v>2978</v>
      </c>
      <c r="C911" s="12">
        <v>42980</v>
      </c>
      <c r="D911" s="12">
        <v>42985</v>
      </c>
      <c r="E911" t="s">
        <v>233</v>
      </c>
      <c r="F911" t="s">
        <v>2979</v>
      </c>
      <c r="G911" t="s">
        <v>2980</v>
      </c>
      <c r="H911" t="s">
        <v>285</v>
      </c>
      <c r="I911" t="s">
        <v>210</v>
      </c>
      <c r="J911" t="s">
        <v>511</v>
      </c>
      <c r="K911" t="s">
        <v>421</v>
      </c>
      <c r="L911">
        <v>49201</v>
      </c>
      <c r="M911" t="s">
        <v>288</v>
      </c>
      <c r="N911" t="s">
        <v>2981</v>
      </c>
      <c r="O911" t="s">
        <v>254</v>
      </c>
      <c r="P911" t="s">
        <v>255</v>
      </c>
      <c r="Q911" t="s">
        <v>2982</v>
      </c>
      <c r="R911" s="13">
        <v>1199.8</v>
      </c>
      <c r="S911">
        <v>4</v>
      </c>
      <c r="T911" s="14">
        <v>0</v>
      </c>
      <c r="U911" s="13">
        <v>323.94600000000003</v>
      </c>
      <c r="V911">
        <f t="shared" si="196"/>
        <v>2017</v>
      </c>
      <c r="W911" t="str">
        <f t="shared" si="197"/>
        <v>Sep</v>
      </c>
      <c r="X911" t="str">
        <f t="shared" si="198"/>
        <v>Q3</v>
      </c>
      <c r="Y911" t="str">
        <f t="shared" si="199"/>
        <v>Sat</v>
      </c>
      <c r="Z911" s="16">
        <f t="shared" si="200"/>
        <v>5</v>
      </c>
      <c r="AA911" s="13">
        <f t="shared" si="201"/>
        <v>299.95</v>
      </c>
      <c r="AB911" s="14">
        <f t="shared" si="202"/>
        <v>0.27</v>
      </c>
      <c r="AC911" t="str">
        <f t="shared" si="203"/>
        <v>No Discount</v>
      </c>
      <c r="AD911" t="str">
        <f t="shared" si="204"/>
        <v>Premium ($500+)</v>
      </c>
      <c r="AE911" t="str">
        <f t="shared" si="205"/>
        <v>Medium (3-5 units)</v>
      </c>
      <c r="AF911" t="str">
        <f t="shared" si="206"/>
        <v>Profitable</v>
      </c>
      <c r="AG911" t="str">
        <f t="shared" si="207"/>
        <v>High Margin</v>
      </c>
      <c r="AH911" t="str">
        <f t="shared" si="208"/>
        <v>Repeat Customer</v>
      </c>
      <c r="AI911" t="str">
        <f t="shared" si="209"/>
        <v>Standard (3-5 days)</v>
      </c>
    </row>
    <row r="912" spans="1:35" ht="15" customHeight="1" x14ac:dyDescent="0.3">
      <c r="A912">
        <v>911</v>
      </c>
      <c r="B912" t="s">
        <v>2978</v>
      </c>
      <c r="C912" s="12">
        <v>42980</v>
      </c>
      <c r="D912" s="12">
        <v>42985</v>
      </c>
      <c r="E912" t="s">
        <v>233</v>
      </c>
      <c r="F912" t="s">
        <v>2979</v>
      </c>
      <c r="G912" t="s">
        <v>2980</v>
      </c>
      <c r="H912" t="s">
        <v>285</v>
      </c>
      <c r="I912" t="s">
        <v>210</v>
      </c>
      <c r="J912" t="s">
        <v>511</v>
      </c>
      <c r="K912" t="s">
        <v>421</v>
      </c>
      <c r="L912">
        <v>49201</v>
      </c>
      <c r="M912" t="s">
        <v>288</v>
      </c>
      <c r="N912" t="s">
        <v>2983</v>
      </c>
      <c r="O912" t="s">
        <v>254</v>
      </c>
      <c r="P912" t="s">
        <v>344</v>
      </c>
      <c r="Q912" t="s">
        <v>2984</v>
      </c>
      <c r="R912" s="13">
        <v>1928.78</v>
      </c>
      <c r="S912">
        <v>7</v>
      </c>
      <c r="T912" s="14">
        <v>0</v>
      </c>
      <c r="U912" s="13">
        <v>829.37540000000001</v>
      </c>
      <c r="V912">
        <f t="shared" si="196"/>
        <v>2017</v>
      </c>
      <c r="W912" t="str">
        <f t="shared" si="197"/>
        <v>Sep</v>
      </c>
      <c r="X912" t="str">
        <f t="shared" si="198"/>
        <v>Q3</v>
      </c>
      <c r="Y912" t="str">
        <f t="shared" si="199"/>
        <v>Sat</v>
      </c>
      <c r="Z912" s="16">
        <f t="shared" si="200"/>
        <v>5</v>
      </c>
      <c r="AA912" s="13">
        <f t="shared" si="201"/>
        <v>275.54000000000002</v>
      </c>
      <c r="AB912" s="14">
        <f t="shared" si="202"/>
        <v>0.43</v>
      </c>
      <c r="AC912" t="str">
        <f t="shared" si="203"/>
        <v>No Discount</v>
      </c>
      <c r="AD912" t="str">
        <f t="shared" si="204"/>
        <v>Premium ($500+)</v>
      </c>
      <c r="AE912" t="str">
        <f t="shared" si="205"/>
        <v>Large (6+ units)</v>
      </c>
      <c r="AF912" t="str">
        <f t="shared" si="206"/>
        <v>Profitable</v>
      </c>
      <c r="AG912" t="str">
        <f t="shared" si="207"/>
        <v>High Margin</v>
      </c>
      <c r="AH912" t="str">
        <f t="shared" si="208"/>
        <v>Repeat Customer</v>
      </c>
      <c r="AI912" t="str">
        <f t="shared" si="209"/>
        <v>Standard (3-5 days)</v>
      </c>
    </row>
    <row r="913" spans="1:35" ht="15" customHeight="1" x14ac:dyDescent="0.3">
      <c r="A913">
        <v>912</v>
      </c>
      <c r="B913" t="s">
        <v>2978</v>
      </c>
      <c r="C913" s="12">
        <v>42980</v>
      </c>
      <c r="D913" s="12">
        <v>42985</v>
      </c>
      <c r="E913" t="s">
        <v>233</v>
      </c>
      <c r="F913" t="s">
        <v>2979</v>
      </c>
      <c r="G913" t="s">
        <v>2980</v>
      </c>
      <c r="H913" t="s">
        <v>285</v>
      </c>
      <c r="I913" t="s">
        <v>210</v>
      </c>
      <c r="J913" t="s">
        <v>511</v>
      </c>
      <c r="K913" t="s">
        <v>421</v>
      </c>
      <c r="L913">
        <v>49201</v>
      </c>
      <c r="M913" t="s">
        <v>288</v>
      </c>
      <c r="N913" t="s">
        <v>2985</v>
      </c>
      <c r="O913" t="s">
        <v>229</v>
      </c>
      <c r="P913" t="s">
        <v>242</v>
      </c>
      <c r="Q913" t="s">
        <v>2986</v>
      </c>
      <c r="R913" s="13">
        <v>352.38</v>
      </c>
      <c r="S913">
        <v>2</v>
      </c>
      <c r="T913" s="14">
        <v>0</v>
      </c>
      <c r="U913" s="13">
        <v>81.047399999999996</v>
      </c>
      <c r="V913">
        <f t="shared" si="196"/>
        <v>2017</v>
      </c>
      <c r="W913" t="str">
        <f t="shared" si="197"/>
        <v>Sep</v>
      </c>
      <c r="X913" t="str">
        <f t="shared" si="198"/>
        <v>Q3</v>
      </c>
      <c r="Y913" t="str">
        <f t="shared" si="199"/>
        <v>Sat</v>
      </c>
      <c r="Z913" s="16">
        <f t="shared" si="200"/>
        <v>5</v>
      </c>
      <c r="AA913" s="13">
        <f t="shared" si="201"/>
        <v>176.19</v>
      </c>
      <c r="AB913" s="14">
        <f t="shared" si="202"/>
        <v>0.22999999999999998</v>
      </c>
      <c r="AC913" t="str">
        <f t="shared" si="203"/>
        <v>No Discount</v>
      </c>
      <c r="AD913" t="str">
        <f t="shared" si="204"/>
        <v>High ($200-$500)</v>
      </c>
      <c r="AE913" t="str">
        <f t="shared" si="205"/>
        <v>Small (1-2 units)</v>
      </c>
      <c r="AF913" t="str">
        <f t="shared" si="206"/>
        <v>Profitable</v>
      </c>
      <c r="AG913" t="str">
        <f t="shared" si="207"/>
        <v>Healthy Margin</v>
      </c>
      <c r="AH913" t="str">
        <f t="shared" si="208"/>
        <v>Repeat Customer</v>
      </c>
      <c r="AI913" t="str">
        <f t="shared" si="209"/>
        <v>Standard (3-5 days)</v>
      </c>
    </row>
    <row r="914" spans="1:35" ht="15" customHeight="1" x14ac:dyDescent="0.3">
      <c r="A914">
        <v>913</v>
      </c>
      <c r="B914" t="s">
        <v>2987</v>
      </c>
      <c r="C914" s="12">
        <v>42155</v>
      </c>
      <c r="D914" s="12">
        <v>42162</v>
      </c>
      <c r="E914" t="s">
        <v>233</v>
      </c>
      <c r="F914" t="s">
        <v>2988</v>
      </c>
      <c r="G914" t="s">
        <v>2989</v>
      </c>
      <c r="H914" t="s">
        <v>285</v>
      </c>
      <c r="I914" t="s">
        <v>210</v>
      </c>
      <c r="J914" t="s">
        <v>2990</v>
      </c>
      <c r="K914" t="s">
        <v>932</v>
      </c>
      <c r="L914">
        <v>6360</v>
      </c>
      <c r="M914" t="s">
        <v>331</v>
      </c>
      <c r="N914" t="s">
        <v>1549</v>
      </c>
      <c r="O914" t="s">
        <v>215</v>
      </c>
      <c r="P914" t="s">
        <v>248</v>
      </c>
      <c r="Q914" t="s">
        <v>1550</v>
      </c>
      <c r="R914" s="13">
        <v>22.2</v>
      </c>
      <c r="S914">
        <v>6</v>
      </c>
      <c r="T914" s="14">
        <v>0</v>
      </c>
      <c r="U914" s="13">
        <v>9.1020000000000003</v>
      </c>
      <c r="V914">
        <f t="shared" si="196"/>
        <v>2015</v>
      </c>
      <c r="W914" t="str">
        <f t="shared" si="197"/>
        <v>May</v>
      </c>
      <c r="X914" t="str">
        <f t="shared" si="198"/>
        <v>Q2</v>
      </c>
      <c r="Y914" t="str">
        <f t="shared" si="199"/>
        <v>Sun</v>
      </c>
      <c r="Z914" s="16">
        <f t="shared" si="200"/>
        <v>7</v>
      </c>
      <c r="AA914" s="13">
        <f t="shared" si="201"/>
        <v>3.6999999999999997</v>
      </c>
      <c r="AB914" s="14">
        <f t="shared" si="202"/>
        <v>0.41000000000000003</v>
      </c>
      <c r="AC914" t="str">
        <f t="shared" si="203"/>
        <v>No Discount</v>
      </c>
      <c r="AD914" t="str">
        <f t="shared" si="204"/>
        <v>Low (&lt;$50)</v>
      </c>
      <c r="AE914" t="str">
        <f t="shared" si="205"/>
        <v>Large (6+ units)</v>
      </c>
      <c r="AF914" t="str">
        <f t="shared" si="206"/>
        <v>Profitable</v>
      </c>
      <c r="AG914" t="str">
        <f t="shared" si="207"/>
        <v>High Margin</v>
      </c>
      <c r="AH914" t="str">
        <f t="shared" si="208"/>
        <v>Single Purchase</v>
      </c>
      <c r="AI914" t="str">
        <f t="shared" si="209"/>
        <v>Slow (6+ days)</v>
      </c>
    </row>
    <row r="915" spans="1:35" ht="15" customHeight="1" x14ac:dyDescent="0.3">
      <c r="A915">
        <v>914</v>
      </c>
      <c r="B915" t="s">
        <v>2991</v>
      </c>
      <c r="C915" s="12">
        <v>43066</v>
      </c>
      <c r="D915" s="12">
        <v>43068</v>
      </c>
      <c r="E915" t="s">
        <v>371</v>
      </c>
      <c r="F915" t="s">
        <v>2794</v>
      </c>
      <c r="G915" t="s">
        <v>2795</v>
      </c>
      <c r="H915" t="s">
        <v>224</v>
      </c>
      <c r="I915" t="s">
        <v>210</v>
      </c>
      <c r="J915" t="s">
        <v>2737</v>
      </c>
      <c r="K915" t="s">
        <v>297</v>
      </c>
      <c r="L915">
        <v>53209</v>
      </c>
      <c r="M915" t="s">
        <v>288</v>
      </c>
      <c r="N915" t="s">
        <v>1268</v>
      </c>
      <c r="O915" t="s">
        <v>215</v>
      </c>
      <c r="P915" t="s">
        <v>248</v>
      </c>
      <c r="Q915" t="s">
        <v>1269</v>
      </c>
      <c r="R915" s="13">
        <v>46.94</v>
      </c>
      <c r="S915">
        <v>1</v>
      </c>
      <c r="T915" s="14">
        <v>0</v>
      </c>
      <c r="U915" s="13">
        <v>19.2454</v>
      </c>
      <c r="V915">
        <f t="shared" si="196"/>
        <v>2017</v>
      </c>
      <c r="W915" t="str">
        <f t="shared" si="197"/>
        <v>Nov</v>
      </c>
      <c r="X915" t="str">
        <f t="shared" si="198"/>
        <v>Q4</v>
      </c>
      <c r="Y915" t="str">
        <f t="shared" si="199"/>
        <v>Mon</v>
      </c>
      <c r="Z915" s="16">
        <f t="shared" si="200"/>
        <v>2</v>
      </c>
      <c r="AA915" s="13">
        <f t="shared" si="201"/>
        <v>46.94</v>
      </c>
      <c r="AB915" s="14">
        <f t="shared" si="202"/>
        <v>0.41000000000000003</v>
      </c>
      <c r="AC915" t="str">
        <f t="shared" si="203"/>
        <v>No Discount</v>
      </c>
      <c r="AD915" t="str">
        <f t="shared" si="204"/>
        <v>Low (&lt;$50)</v>
      </c>
      <c r="AE915" t="str">
        <f t="shared" si="205"/>
        <v>Small (1-2 units)</v>
      </c>
      <c r="AF915" t="str">
        <f t="shared" si="206"/>
        <v>Profitable</v>
      </c>
      <c r="AG915" t="str">
        <f t="shared" si="207"/>
        <v>High Margin</v>
      </c>
      <c r="AH915" t="str">
        <f t="shared" si="208"/>
        <v>Repeat Customer</v>
      </c>
      <c r="AI915" t="str">
        <f t="shared" si="209"/>
        <v>Fast (&lt;=2 days)</v>
      </c>
    </row>
    <row r="916" spans="1:35" ht="15" customHeight="1" x14ac:dyDescent="0.3">
      <c r="A916">
        <v>915</v>
      </c>
      <c r="B916" t="s">
        <v>2991</v>
      </c>
      <c r="C916" s="12">
        <v>43066</v>
      </c>
      <c r="D916" s="12">
        <v>43068</v>
      </c>
      <c r="E916" t="s">
        <v>371</v>
      </c>
      <c r="F916" t="s">
        <v>2794</v>
      </c>
      <c r="G916" t="s">
        <v>2795</v>
      </c>
      <c r="H916" t="s">
        <v>224</v>
      </c>
      <c r="I916" t="s">
        <v>210</v>
      </c>
      <c r="J916" t="s">
        <v>2737</v>
      </c>
      <c r="K916" t="s">
        <v>297</v>
      </c>
      <c r="L916">
        <v>53209</v>
      </c>
      <c r="M916" t="s">
        <v>288</v>
      </c>
      <c r="N916" t="s">
        <v>1768</v>
      </c>
      <c r="O916" t="s">
        <v>254</v>
      </c>
      <c r="P916" t="s">
        <v>344</v>
      </c>
      <c r="Q916" t="s">
        <v>1769</v>
      </c>
      <c r="R916" s="13">
        <v>143.72999999999999</v>
      </c>
      <c r="S916">
        <v>9</v>
      </c>
      <c r="T916" s="14">
        <v>0</v>
      </c>
      <c r="U916" s="13">
        <v>56.054699999999997</v>
      </c>
      <c r="V916">
        <f t="shared" si="196"/>
        <v>2017</v>
      </c>
      <c r="W916" t="str">
        <f t="shared" si="197"/>
        <v>Nov</v>
      </c>
      <c r="X916" t="str">
        <f t="shared" si="198"/>
        <v>Q4</v>
      </c>
      <c r="Y916" t="str">
        <f t="shared" si="199"/>
        <v>Mon</v>
      </c>
      <c r="Z916" s="16">
        <f t="shared" si="200"/>
        <v>2</v>
      </c>
      <c r="AA916" s="13">
        <f t="shared" si="201"/>
        <v>15.969999999999999</v>
      </c>
      <c r="AB916" s="14">
        <f t="shared" si="202"/>
        <v>0.39</v>
      </c>
      <c r="AC916" t="str">
        <f t="shared" si="203"/>
        <v>No Discount</v>
      </c>
      <c r="AD916" t="str">
        <f t="shared" si="204"/>
        <v>Medium ($50-$200)</v>
      </c>
      <c r="AE916" t="str">
        <f t="shared" si="205"/>
        <v>Large (6+ units)</v>
      </c>
      <c r="AF916" t="str">
        <f t="shared" si="206"/>
        <v>Profitable</v>
      </c>
      <c r="AG916" t="str">
        <f t="shared" si="207"/>
        <v>High Margin</v>
      </c>
      <c r="AH916" t="str">
        <f t="shared" si="208"/>
        <v>Repeat Customer</v>
      </c>
      <c r="AI916" t="str">
        <f t="shared" si="209"/>
        <v>Fast (&lt;=2 days)</v>
      </c>
    </row>
    <row r="917" spans="1:35" ht="15" customHeight="1" x14ac:dyDescent="0.3">
      <c r="A917">
        <v>916</v>
      </c>
      <c r="B917" t="s">
        <v>2992</v>
      </c>
      <c r="C917" s="12">
        <v>41805</v>
      </c>
      <c r="D917" s="12">
        <v>41811</v>
      </c>
      <c r="E917" t="s">
        <v>233</v>
      </c>
      <c r="F917" t="s">
        <v>1265</v>
      </c>
      <c r="G917" t="s">
        <v>1266</v>
      </c>
      <c r="H917" t="s">
        <v>224</v>
      </c>
      <c r="I917" t="s">
        <v>210</v>
      </c>
      <c r="J917" t="s">
        <v>863</v>
      </c>
      <c r="K917" t="s">
        <v>287</v>
      </c>
      <c r="L917">
        <v>78207</v>
      </c>
      <c r="M917" t="s">
        <v>288</v>
      </c>
      <c r="N917" t="s">
        <v>2993</v>
      </c>
      <c r="O917" t="s">
        <v>215</v>
      </c>
      <c r="P917" t="s">
        <v>239</v>
      </c>
      <c r="Q917" t="s">
        <v>2994</v>
      </c>
      <c r="R917" s="13">
        <v>99.918000000000006</v>
      </c>
      <c r="S917">
        <v>2</v>
      </c>
      <c r="T917" s="14">
        <v>0.3</v>
      </c>
      <c r="U917" s="13">
        <v>-18.5562</v>
      </c>
      <c r="V917">
        <f t="shared" si="196"/>
        <v>2014</v>
      </c>
      <c r="W917" t="str">
        <f t="shared" si="197"/>
        <v>Jun</v>
      </c>
      <c r="X917" t="str">
        <f t="shared" si="198"/>
        <v>Q2</v>
      </c>
      <c r="Y917" t="str">
        <f t="shared" si="199"/>
        <v>Sun</v>
      </c>
      <c r="Z917" s="16">
        <f t="shared" si="200"/>
        <v>6</v>
      </c>
      <c r="AA917" s="13">
        <f t="shared" si="201"/>
        <v>49.959000000000003</v>
      </c>
      <c r="AB917" s="14">
        <f t="shared" si="202"/>
        <v>-0.18571428571428572</v>
      </c>
      <c r="AC917" t="str">
        <f t="shared" si="203"/>
        <v>Medium (21-40%)</v>
      </c>
      <c r="AD917" t="str">
        <f t="shared" si="204"/>
        <v>Medium ($50-$200)</v>
      </c>
      <c r="AE917" t="str">
        <f t="shared" si="205"/>
        <v>Small (1-2 units)</v>
      </c>
      <c r="AF917" t="str">
        <f t="shared" si="206"/>
        <v>Loss-Making</v>
      </c>
      <c r="AG917" t="str">
        <f t="shared" si="207"/>
        <v>Underperforming</v>
      </c>
      <c r="AH917" t="str">
        <f t="shared" si="208"/>
        <v>Repeat Customer</v>
      </c>
      <c r="AI917" t="str">
        <f t="shared" si="209"/>
        <v>Slow (6+ days)</v>
      </c>
    </row>
    <row r="918" spans="1:35" ht="15" customHeight="1" x14ac:dyDescent="0.3">
      <c r="A918">
        <v>917</v>
      </c>
      <c r="B918" t="s">
        <v>2992</v>
      </c>
      <c r="C918" s="12">
        <v>41805</v>
      </c>
      <c r="D918" s="12">
        <v>41811</v>
      </c>
      <c r="E918" t="s">
        <v>233</v>
      </c>
      <c r="F918" t="s">
        <v>1265</v>
      </c>
      <c r="G918" t="s">
        <v>1266</v>
      </c>
      <c r="H918" t="s">
        <v>224</v>
      </c>
      <c r="I918" t="s">
        <v>210</v>
      </c>
      <c r="J918" t="s">
        <v>863</v>
      </c>
      <c r="K918" t="s">
        <v>287</v>
      </c>
      <c r="L918">
        <v>78207</v>
      </c>
      <c r="M918" t="s">
        <v>288</v>
      </c>
      <c r="N918" t="s">
        <v>1981</v>
      </c>
      <c r="O918" t="s">
        <v>215</v>
      </c>
      <c r="P918" t="s">
        <v>219</v>
      </c>
      <c r="Q918" t="s">
        <v>1982</v>
      </c>
      <c r="R918" s="13">
        <v>797.94399999999996</v>
      </c>
      <c r="S918">
        <v>4</v>
      </c>
      <c r="T918" s="14">
        <v>0.3</v>
      </c>
      <c r="U918" s="13">
        <v>-56.996000000000002</v>
      </c>
      <c r="V918">
        <f t="shared" si="196"/>
        <v>2014</v>
      </c>
      <c r="W918" t="str">
        <f t="shared" si="197"/>
        <v>Jun</v>
      </c>
      <c r="X918" t="str">
        <f t="shared" si="198"/>
        <v>Q2</v>
      </c>
      <c r="Y918" t="str">
        <f t="shared" si="199"/>
        <v>Sun</v>
      </c>
      <c r="Z918" s="16">
        <f t="shared" si="200"/>
        <v>6</v>
      </c>
      <c r="AA918" s="13">
        <f t="shared" si="201"/>
        <v>199.48599999999999</v>
      </c>
      <c r="AB918" s="14">
        <f t="shared" si="202"/>
        <v>-7.1428571428571438E-2</v>
      </c>
      <c r="AC918" t="str">
        <f t="shared" si="203"/>
        <v>Medium (21-40%)</v>
      </c>
      <c r="AD918" t="str">
        <f t="shared" si="204"/>
        <v>Premium ($500+)</v>
      </c>
      <c r="AE918" t="str">
        <f t="shared" si="205"/>
        <v>Medium (3-5 units)</v>
      </c>
      <c r="AF918" t="str">
        <f t="shared" si="206"/>
        <v>Loss-Making</v>
      </c>
      <c r="AG918" t="str">
        <f t="shared" si="207"/>
        <v>Underperforming</v>
      </c>
      <c r="AH918" t="str">
        <f t="shared" si="208"/>
        <v>Repeat Customer</v>
      </c>
      <c r="AI918" t="str">
        <f t="shared" si="209"/>
        <v>Slow (6+ days)</v>
      </c>
    </row>
    <row r="919" spans="1:35" ht="15" customHeight="1" x14ac:dyDescent="0.3">
      <c r="A919">
        <v>918</v>
      </c>
      <c r="B919" t="s">
        <v>2992</v>
      </c>
      <c r="C919" s="12">
        <v>41805</v>
      </c>
      <c r="D919" s="12">
        <v>41811</v>
      </c>
      <c r="E919" t="s">
        <v>233</v>
      </c>
      <c r="F919" t="s">
        <v>1265</v>
      </c>
      <c r="G919" t="s">
        <v>1266</v>
      </c>
      <c r="H919" t="s">
        <v>224</v>
      </c>
      <c r="I919" t="s">
        <v>210</v>
      </c>
      <c r="J919" t="s">
        <v>863</v>
      </c>
      <c r="K919" t="s">
        <v>287</v>
      </c>
      <c r="L919">
        <v>78207</v>
      </c>
      <c r="M919" t="s">
        <v>288</v>
      </c>
      <c r="N919" t="s">
        <v>1288</v>
      </c>
      <c r="O919" t="s">
        <v>229</v>
      </c>
      <c r="P919" t="s">
        <v>258</v>
      </c>
      <c r="Q919" t="s">
        <v>1289</v>
      </c>
      <c r="R919" s="13">
        <v>8.5679999999999996</v>
      </c>
      <c r="S919">
        <v>3</v>
      </c>
      <c r="T919" s="14">
        <v>0.8</v>
      </c>
      <c r="U919" s="13">
        <v>-14.5656</v>
      </c>
      <c r="V919">
        <f t="shared" si="196"/>
        <v>2014</v>
      </c>
      <c r="W919" t="str">
        <f t="shared" si="197"/>
        <v>Jun</v>
      </c>
      <c r="X919" t="str">
        <f t="shared" si="198"/>
        <v>Q2</v>
      </c>
      <c r="Y919" t="str">
        <f t="shared" si="199"/>
        <v>Sun</v>
      </c>
      <c r="Z919" s="16">
        <f t="shared" si="200"/>
        <v>6</v>
      </c>
      <c r="AA919" s="13">
        <f t="shared" si="201"/>
        <v>2.8559999999999999</v>
      </c>
      <c r="AB919" s="14">
        <f t="shared" si="202"/>
        <v>-1.7</v>
      </c>
      <c r="AC919" t="str">
        <f t="shared" si="203"/>
        <v>High (40%+)</v>
      </c>
      <c r="AD919" t="str">
        <f t="shared" si="204"/>
        <v>Low (&lt;$50)</v>
      </c>
      <c r="AE919" t="str">
        <f t="shared" si="205"/>
        <v>Medium (3-5 units)</v>
      </c>
      <c r="AF919" t="str">
        <f t="shared" si="206"/>
        <v>Loss-Making</v>
      </c>
      <c r="AG919" t="str">
        <f t="shared" si="207"/>
        <v>Underperforming</v>
      </c>
      <c r="AH919" t="str">
        <f t="shared" si="208"/>
        <v>Repeat Customer</v>
      </c>
      <c r="AI919" t="str">
        <f t="shared" si="209"/>
        <v>Slow (6+ days)</v>
      </c>
    </row>
    <row r="920" spans="1:35" ht="15" customHeight="1" x14ac:dyDescent="0.3">
      <c r="A920">
        <v>919</v>
      </c>
      <c r="B920" t="s">
        <v>2995</v>
      </c>
      <c r="C920" s="12">
        <v>42434</v>
      </c>
      <c r="D920" s="12">
        <v>42440</v>
      </c>
      <c r="E920" t="s">
        <v>233</v>
      </c>
      <c r="F920" t="s">
        <v>2996</v>
      </c>
      <c r="G920" t="s">
        <v>2997</v>
      </c>
      <c r="H920" t="s">
        <v>224</v>
      </c>
      <c r="I920" t="s">
        <v>210</v>
      </c>
      <c r="J920" t="s">
        <v>1000</v>
      </c>
      <c r="K920" t="s">
        <v>287</v>
      </c>
      <c r="L920">
        <v>75220</v>
      </c>
      <c r="M920" t="s">
        <v>288</v>
      </c>
      <c r="N920" t="s">
        <v>2656</v>
      </c>
      <c r="O920" t="s">
        <v>229</v>
      </c>
      <c r="P920" t="s">
        <v>356</v>
      </c>
      <c r="Q920" t="s">
        <v>2657</v>
      </c>
      <c r="R920" s="13">
        <v>149.352</v>
      </c>
      <c r="S920">
        <v>3</v>
      </c>
      <c r="T920" s="14">
        <v>0.2</v>
      </c>
      <c r="U920" s="13">
        <v>50.406300000000002</v>
      </c>
      <c r="V920">
        <f t="shared" si="196"/>
        <v>2016</v>
      </c>
      <c r="W920" t="str">
        <f t="shared" si="197"/>
        <v>Mar</v>
      </c>
      <c r="X920" t="str">
        <f t="shared" si="198"/>
        <v>Q1</v>
      </c>
      <c r="Y920" t="str">
        <f t="shared" si="199"/>
        <v>Sat</v>
      </c>
      <c r="Z920" s="16">
        <f t="shared" si="200"/>
        <v>6</v>
      </c>
      <c r="AA920" s="13">
        <f t="shared" si="201"/>
        <v>49.783999999999999</v>
      </c>
      <c r="AB920" s="14">
        <f t="shared" si="202"/>
        <v>0.33750000000000002</v>
      </c>
      <c r="AC920" t="str">
        <f t="shared" si="203"/>
        <v>Low (1-20%)</v>
      </c>
      <c r="AD920" t="str">
        <f t="shared" si="204"/>
        <v>Medium ($50-$200)</v>
      </c>
      <c r="AE920" t="str">
        <f t="shared" si="205"/>
        <v>Medium (3-5 units)</v>
      </c>
      <c r="AF920" t="str">
        <f t="shared" si="206"/>
        <v>Profitable</v>
      </c>
      <c r="AG920" t="str">
        <f t="shared" si="207"/>
        <v>High Margin</v>
      </c>
      <c r="AH920" t="str">
        <f t="shared" si="208"/>
        <v>Repeat Customer</v>
      </c>
      <c r="AI920" t="str">
        <f t="shared" si="209"/>
        <v>Slow (6+ days)</v>
      </c>
    </row>
    <row r="921" spans="1:35" ht="15" customHeight="1" x14ac:dyDescent="0.3">
      <c r="A921">
        <v>920</v>
      </c>
      <c r="B921" t="s">
        <v>2995</v>
      </c>
      <c r="C921" s="12">
        <v>42434</v>
      </c>
      <c r="D921" s="12">
        <v>42440</v>
      </c>
      <c r="E921" t="s">
        <v>233</v>
      </c>
      <c r="F921" t="s">
        <v>2996</v>
      </c>
      <c r="G921" t="s">
        <v>2997</v>
      </c>
      <c r="H921" t="s">
        <v>224</v>
      </c>
      <c r="I921" t="s">
        <v>210</v>
      </c>
      <c r="J921" t="s">
        <v>1000</v>
      </c>
      <c r="K921" t="s">
        <v>287</v>
      </c>
      <c r="L921">
        <v>75220</v>
      </c>
      <c r="M921" t="s">
        <v>288</v>
      </c>
      <c r="N921" t="s">
        <v>2998</v>
      </c>
      <c r="O921" t="s">
        <v>229</v>
      </c>
      <c r="P921" t="s">
        <v>242</v>
      </c>
      <c r="Q921" t="s">
        <v>2999</v>
      </c>
      <c r="R921" s="13">
        <v>12.992000000000001</v>
      </c>
      <c r="S921">
        <v>1</v>
      </c>
      <c r="T921" s="14">
        <v>0.2</v>
      </c>
      <c r="U921" s="13">
        <v>-0.81200000000000006</v>
      </c>
      <c r="V921">
        <f t="shared" si="196"/>
        <v>2016</v>
      </c>
      <c r="W921" t="str">
        <f t="shared" si="197"/>
        <v>Mar</v>
      </c>
      <c r="X921" t="str">
        <f t="shared" si="198"/>
        <v>Q1</v>
      </c>
      <c r="Y921" t="str">
        <f t="shared" si="199"/>
        <v>Sat</v>
      </c>
      <c r="Z921" s="16">
        <f t="shared" si="200"/>
        <v>6</v>
      </c>
      <c r="AA921" s="13">
        <f t="shared" si="201"/>
        <v>12.992000000000001</v>
      </c>
      <c r="AB921" s="14">
        <f t="shared" si="202"/>
        <v>-6.25E-2</v>
      </c>
      <c r="AC921" t="str">
        <f t="shared" si="203"/>
        <v>Low (1-20%)</v>
      </c>
      <c r="AD921" t="str">
        <f t="shared" si="204"/>
        <v>Low (&lt;$50)</v>
      </c>
      <c r="AE921" t="str">
        <f t="shared" si="205"/>
        <v>Small (1-2 units)</v>
      </c>
      <c r="AF921" t="str">
        <f t="shared" si="206"/>
        <v>Loss-Making</v>
      </c>
      <c r="AG921" t="str">
        <f t="shared" si="207"/>
        <v>Underperforming</v>
      </c>
      <c r="AH921" t="str">
        <f t="shared" si="208"/>
        <v>Repeat Customer</v>
      </c>
      <c r="AI921" t="str">
        <f t="shared" si="209"/>
        <v>Slow (6+ days)</v>
      </c>
    </row>
    <row r="922" spans="1:35" ht="15" customHeight="1" x14ac:dyDescent="0.3">
      <c r="A922">
        <v>921</v>
      </c>
      <c r="B922" t="s">
        <v>3000</v>
      </c>
      <c r="C922" s="12">
        <v>41978</v>
      </c>
      <c r="D922" s="12">
        <v>41985</v>
      </c>
      <c r="E922" t="s">
        <v>233</v>
      </c>
      <c r="F922" t="s">
        <v>1170</v>
      </c>
      <c r="G922" t="s">
        <v>1171</v>
      </c>
      <c r="H922" t="s">
        <v>209</v>
      </c>
      <c r="I922" t="s">
        <v>210</v>
      </c>
      <c r="J922" t="s">
        <v>3001</v>
      </c>
      <c r="K922" t="s">
        <v>502</v>
      </c>
      <c r="L922">
        <v>22304</v>
      </c>
      <c r="M922" t="s">
        <v>213</v>
      </c>
      <c r="N922" t="s">
        <v>2428</v>
      </c>
      <c r="O922" t="s">
        <v>229</v>
      </c>
      <c r="P922" t="s">
        <v>242</v>
      </c>
      <c r="Q922" t="s">
        <v>2429</v>
      </c>
      <c r="R922" s="13">
        <v>24.56</v>
      </c>
      <c r="S922">
        <v>2</v>
      </c>
      <c r="T922" s="14">
        <v>0</v>
      </c>
      <c r="U922" s="13">
        <v>6.8768000000000002</v>
      </c>
      <c r="V922">
        <f t="shared" si="196"/>
        <v>2014</v>
      </c>
      <c r="W922" t="str">
        <f t="shared" si="197"/>
        <v>Dec</v>
      </c>
      <c r="X922" t="str">
        <f t="shared" si="198"/>
        <v>Q4</v>
      </c>
      <c r="Y922" t="str">
        <f t="shared" si="199"/>
        <v>Fri</v>
      </c>
      <c r="Z922" s="16">
        <f t="shared" si="200"/>
        <v>7</v>
      </c>
      <c r="AA922" s="13">
        <f t="shared" si="201"/>
        <v>12.28</v>
      </c>
      <c r="AB922" s="14">
        <f t="shared" si="202"/>
        <v>0.28000000000000003</v>
      </c>
      <c r="AC922" t="str">
        <f t="shared" si="203"/>
        <v>No Discount</v>
      </c>
      <c r="AD922" t="str">
        <f t="shared" si="204"/>
        <v>Low (&lt;$50)</v>
      </c>
      <c r="AE922" t="str">
        <f t="shared" si="205"/>
        <v>Small (1-2 units)</v>
      </c>
      <c r="AF922" t="str">
        <f t="shared" si="206"/>
        <v>Profitable</v>
      </c>
      <c r="AG922" t="str">
        <f t="shared" si="207"/>
        <v>High Margin</v>
      </c>
      <c r="AH922" t="str">
        <f t="shared" si="208"/>
        <v>Repeat Customer</v>
      </c>
      <c r="AI922" t="str">
        <f t="shared" si="209"/>
        <v>Slow (6+ days)</v>
      </c>
    </row>
    <row r="923" spans="1:35" ht="15" customHeight="1" x14ac:dyDescent="0.3">
      <c r="A923">
        <v>922</v>
      </c>
      <c r="B923" t="s">
        <v>3002</v>
      </c>
      <c r="C923" s="12">
        <v>42105</v>
      </c>
      <c r="D923" s="12">
        <v>42109</v>
      </c>
      <c r="E923" t="s">
        <v>233</v>
      </c>
      <c r="F923" t="s">
        <v>3003</v>
      </c>
      <c r="G923" t="s">
        <v>3004</v>
      </c>
      <c r="H923" t="s">
        <v>209</v>
      </c>
      <c r="I923" t="s">
        <v>210</v>
      </c>
      <c r="J923" t="s">
        <v>449</v>
      </c>
      <c r="K923" t="s">
        <v>450</v>
      </c>
      <c r="L923">
        <v>10009</v>
      </c>
      <c r="M923" t="s">
        <v>331</v>
      </c>
      <c r="N923" t="s">
        <v>3005</v>
      </c>
      <c r="O923" t="s">
        <v>254</v>
      </c>
      <c r="P923" t="s">
        <v>344</v>
      </c>
      <c r="Q923" t="s">
        <v>3006</v>
      </c>
      <c r="R923" s="13">
        <v>85.14</v>
      </c>
      <c r="S923">
        <v>3</v>
      </c>
      <c r="T923" s="14">
        <v>0</v>
      </c>
      <c r="U923" s="13">
        <v>34.907400000000003</v>
      </c>
      <c r="V923">
        <f t="shared" si="196"/>
        <v>2015</v>
      </c>
      <c r="W923" t="str">
        <f t="shared" si="197"/>
        <v>Apr</v>
      </c>
      <c r="X923" t="str">
        <f t="shared" si="198"/>
        <v>Q2</v>
      </c>
      <c r="Y923" t="str">
        <f t="shared" si="199"/>
        <v>Sat</v>
      </c>
      <c r="Z923" s="16">
        <f t="shared" si="200"/>
        <v>4</v>
      </c>
      <c r="AA923" s="13">
        <f t="shared" si="201"/>
        <v>28.38</v>
      </c>
      <c r="AB923" s="14">
        <f t="shared" si="202"/>
        <v>0.41000000000000003</v>
      </c>
      <c r="AC923" t="str">
        <f t="shared" si="203"/>
        <v>No Discount</v>
      </c>
      <c r="AD923" t="str">
        <f t="shared" si="204"/>
        <v>Medium ($50-$200)</v>
      </c>
      <c r="AE923" t="str">
        <f t="shared" si="205"/>
        <v>Medium (3-5 units)</v>
      </c>
      <c r="AF923" t="str">
        <f t="shared" si="206"/>
        <v>Profitable</v>
      </c>
      <c r="AG923" t="str">
        <f t="shared" si="207"/>
        <v>High Margin</v>
      </c>
      <c r="AH923" t="str">
        <f t="shared" si="208"/>
        <v>Repeat Customer</v>
      </c>
      <c r="AI923" t="str">
        <f t="shared" si="209"/>
        <v>Standard (3-5 days)</v>
      </c>
    </row>
    <row r="924" spans="1:35" ht="15" customHeight="1" x14ac:dyDescent="0.3">
      <c r="A924">
        <v>923</v>
      </c>
      <c r="B924" t="s">
        <v>3002</v>
      </c>
      <c r="C924" s="12">
        <v>42105</v>
      </c>
      <c r="D924" s="12">
        <v>42109</v>
      </c>
      <c r="E924" t="s">
        <v>233</v>
      </c>
      <c r="F924" t="s">
        <v>3003</v>
      </c>
      <c r="G924" t="s">
        <v>3004</v>
      </c>
      <c r="H924" t="s">
        <v>209</v>
      </c>
      <c r="I924" t="s">
        <v>210</v>
      </c>
      <c r="J924" t="s">
        <v>449</v>
      </c>
      <c r="K924" t="s">
        <v>450</v>
      </c>
      <c r="L924">
        <v>10009</v>
      </c>
      <c r="M924" t="s">
        <v>331</v>
      </c>
      <c r="N924" t="s">
        <v>3007</v>
      </c>
      <c r="O924" t="s">
        <v>254</v>
      </c>
      <c r="P924" t="s">
        <v>255</v>
      </c>
      <c r="Q924" t="s">
        <v>3008</v>
      </c>
      <c r="R924" s="13">
        <v>21.99</v>
      </c>
      <c r="S924">
        <v>1</v>
      </c>
      <c r="T924" s="14">
        <v>0</v>
      </c>
      <c r="U924" s="13">
        <v>10.555199999999999</v>
      </c>
      <c r="V924">
        <f t="shared" si="196"/>
        <v>2015</v>
      </c>
      <c r="W924" t="str">
        <f t="shared" si="197"/>
        <v>Apr</v>
      </c>
      <c r="X924" t="str">
        <f t="shared" si="198"/>
        <v>Q2</v>
      </c>
      <c r="Y924" t="str">
        <f t="shared" si="199"/>
        <v>Sat</v>
      </c>
      <c r="Z924" s="16">
        <f t="shared" si="200"/>
        <v>4</v>
      </c>
      <c r="AA924" s="13">
        <f t="shared" si="201"/>
        <v>21.99</v>
      </c>
      <c r="AB924" s="14">
        <f t="shared" si="202"/>
        <v>0.48</v>
      </c>
      <c r="AC924" t="str">
        <f t="shared" si="203"/>
        <v>No Discount</v>
      </c>
      <c r="AD924" t="str">
        <f t="shared" si="204"/>
        <v>Low (&lt;$50)</v>
      </c>
      <c r="AE924" t="str">
        <f t="shared" si="205"/>
        <v>Small (1-2 units)</v>
      </c>
      <c r="AF924" t="str">
        <f t="shared" si="206"/>
        <v>Profitable</v>
      </c>
      <c r="AG924" t="str">
        <f t="shared" si="207"/>
        <v>High Margin</v>
      </c>
      <c r="AH924" t="str">
        <f t="shared" si="208"/>
        <v>Repeat Customer</v>
      </c>
      <c r="AI924" t="str">
        <f t="shared" si="209"/>
        <v>Standard (3-5 days)</v>
      </c>
    </row>
    <row r="925" spans="1:35" ht="15" customHeight="1" x14ac:dyDescent="0.3">
      <c r="A925">
        <v>924</v>
      </c>
      <c r="B925" t="s">
        <v>3002</v>
      </c>
      <c r="C925" s="12">
        <v>42105</v>
      </c>
      <c r="D925" s="12">
        <v>42109</v>
      </c>
      <c r="E925" t="s">
        <v>233</v>
      </c>
      <c r="F925" t="s">
        <v>3003</v>
      </c>
      <c r="G925" t="s">
        <v>3004</v>
      </c>
      <c r="H925" t="s">
        <v>209</v>
      </c>
      <c r="I925" t="s">
        <v>210</v>
      </c>
      <c r="J925" t="s">
        <v>449</v>
      </c>
      <c r="K925" t="s">
        <v>450</v>
      </c>
      <c r="L925">
        <v>10009</v>
      </c>
      <c r="M925" t="s">
        <v>331</v>
      </c>
      <c r="N925" t="s">
        <v>3009</v>
      </c>
      <c r="O925" t="s">
        <v>229</v>
      </c>
      <c r="P925" t="s">
        <v>261</v>
      </c>
      <c r="Q925" t="s">
        <v>3010</v>
      </c>
      <c r="R925" s="13">
        <v>406.6</v>
      </c>
      <c r="S925">
        <v>5</v>
      </c>
      <c r="T925" s="14">
        <v>0</v>
      </c>
      <c r="U925" s="13">
        <v>113.848</v>
      </c>
      <c r="V925">
        <f t="shared" si="196"/>
        <v>2015</v>
      </c>
      <c r="W925" t="str">
        <f t="shared" si="197"/>
        <v>Apr</v>
      </c>
      <c r="X925" t="str">
        <f t="shared" si="198"/>
        <v>Q2</v>
      </c>
      <c r="Y925" t="str">
        <f t="shared" si="199"/>
        <v>Sat</v>
      </c>
      <c r="Z925" s="16">
        <f t="shared" si="200"/>
        <v>4</v>
      </c>
      <c r="AA925" s="13">
        <f t="shared" si="201"/>
        <v>81.320000000000007</v>
      </c>
      <c r="AB925" s="14">
        <f t="shared" si="202"/>
        <v>0.27999999999999997</v>
      </c>
      <c r="AC925" t="str">
        <f t="shared" si="203"/>
        <v>No Discount</v>
      </c>
      <c r="AD925" t="str">
        <f t="shared" si="204"/>
        <v>High ($200-$500)</v>
      </c>
      <c r="AE925" t="str">
        <f t="shared" si="205"/>
        <v>Medium (3-5 units)</v>
      </c>
      <c r="AF925" t="str">
        <f t="shared" si="206"/>
        <v>Profitable</v>
      </c>
      <c r="AG925" t="str">
        <f t="shared" si="207"/>
        <v>High Margin</v>
      </c>
      <c r="AH925" t="str">
        <f t="shared" si="208"/>
        <v>Repeat Customer</v>
      </c>
      <c r="AI925" t="str">
        <f t="shared" si="209"/>
        <v>Standard (3-5 days)</v>
      </c>
    </row>
    <row r="926" spans="1:35" ht="15" customHeight="1" x14ac:dyDescent="0.3">
      <c r="A926">
        <v>925</v>
      </c>
      <c r="B926" t="s">
        <v>3011</v>
      </c>
      <c r="C926" s="12">
        <v>42628</v>
      </c>
      <c r="D926" s="12">
        <v>42633</v>
      </c>
      <c r="E926" t="s">
        <v>233</v>
      </c>
      <c r="F926" t="s">
        <v>3012</v>
      </c>
      <c r="G926" t="s">
        <v>3013</v>
      </c>
      <c r="H926" t="s">
        <v>224</v>
      </c>
      <c r="I926" t="s">
        <v>210</v>
      </c>
      <c r="J926" t="s">
        <v>449</v>
      </c>
      <c r="K926" t="s">
        <v>450</v>
      </c>
      <c r="L926">
        <v>10011</v>
      </c>
      <c r="M926" t="s">
        <v>331</v>
      </c>
      <c r="N926" t="s">
        <v>699</v>
      </c>
      <c r="O926" t="s">
        <v>229</v>
      </c>
      <c r="P926" t="s">
        <v>258</v>
      </c>
      <c r="Q926" t="s">
        <v>700</v>
      </c>
      <c r="R926" s="13">
        <v>841.56799999999998</v>
      </c>
      <c r="S926">
        <v>2</v>
      </c>
      <c r="T926" s="14">
        <v>0.2</v>
      </c>
      <c r="U926" s="13">
        <v>294.54880000000003</v>
      </c>
      <c r="V926">
        <f t="shared" si="196"/>
        <v>2016</v>
      </c>
      <c r="W926" t="str">
        <f t="shared" si="197"/>
        <v>Sep</v>
      </c>
      <c r="X926" t="str">
        <f t="shared" si="198"/>
        <v>Q3</v>
      </c>
      <c r="Y926" t="str">
        <f t="shared" si="199"/>
        <v>Thu</v>
      </c>
      <c r="Z926" s="16">
        <f t="shared" si="200"/>
        <v>5</v>
      </c>
      <c r="AA926" s="13">
        <f t="shared" si="201"/>
        <v>420.78399999999999</v>
      </c>
      <c r="AB926" s="14">
        <f t="shared" si="202"/>
        <v>0.35000000000000003</v>
      </c>
      <c r="AC926" t="str">
        <f t="shared" si="203"/>
        <v>Low (1-20%)</v>
      </c>
      <c r="AD926" t="str">
        <f t="shared" si="204"/>
        <v>Premium ($500+)</v>
      </c>
      <c r="AE926" t="str">
        <f t="shared" si="205"/>
        <v>Small (1-2 units)</v>
      </c>
      <c r="AF926" t="str">
        <f t="shared" si="206"/>
        <v>Profitable</v>
      </c>
      <c r="AG926" t="str">
        <f t="shared" si="207"/>
        <v>High Margin</v>
      </c>
      <c r="AH926" t="str">
        <f t="shared" si="208"/>
        <v>Single Purchase</v>
      </c>
      <c r="AI926" t="str">
        <f t="shared" si="209"/>
        <v>Standard (3-5 days)</v>
      </c>
    </row>
    <row r="927" spans="1:35" ht="15" customHeight="1" x14ac:dyDescent="0.3">
      <c r="A927">
        <v>926</v>
      </c>
      <c r="B927" t="s">
        <v>3014</v>
      </c>
      <c r="C927" s="12">
        <v>41895</v>
      </c>
      <c r="D927" s="12">
        <v>41898</v>
      </c>
      <c r="E927" t="s">
        <v>371</v>
      </c>
      <c r="F927" t="s">
        <v>3015</v>
      </c>
      <c r="G927" t="s">
        <v>3016</v>
      </c>
      <c r="H927" t="s">
        <v>209</v>
      </c>
      <c r="I927" t="s">
        <v>210</v>
      </c>
      <c r="J927" t="s">
        <v>329</v>
      </c>
      <c r="K927" t="s">
        <v>330</v>
      </c>
      <c r="L927">
        <v>19143</v>
      </c>
      <c r="M927" t="s">
        <v>331</v>
      </c>
      <c r="N927" t="s">
        <v>3017</v>
      </c>
      <c r="O927" t="s">
        <v>229</v>
      </c>
      <c r="P927" t="s">
        <v>273</v>
      </c>
      <c r="Q927" t="s">
        <v>3018</v>
      </c>
      <c r="R927" s="13">
        <v>15.552</v>
      </c>
      <c r="S927">
        <v>3</v>
      </c>
      <c r="T927" s="14">
        <v>0.2</v>
      </c>
      <c r="U927" s="13">
        <v>5.4432</v>
      </c>
      <c r="V927">
        <f t="shared" si="196"/>
        <v>2014</v>
      </c>
      <c r="W927" t="str">
        <f t="shared" si="197"/>
        <v>Sep</v>
      </c>
      <c r="X927" t="str">
        <f t="shared" si="198"/>
        <v>Q3</v>
      </c>
      <c r="Y927" t="str">
        <f t="shared" si="199"/>
        <v>Sat</v>
      </c>
      <c r="Z927" s="16">
        <f t="shared" si="200"/>
        <v>3</v>
      </c>
      <c r="AA927" s="13">
        <f t="shared" si="201"/>
        <v>5.1840000000000002</v>
      </c>
      <c r="AB927" s="14">
        <f t="shared" si="202"/>
        <v>0.35000000000000003</v>
      </c>
      <c r="AC927" t="str">
        <f t="shared" si="203"/>
        <v>Low (1-20%)</v>
      </c>
      <c r="AD927" t="str">
        <f t="shared" si="204"/>
        <v>Low (&lt;$50)</v>
      </c>
      <c r="AE927" t="str">
        <f t="shared" si="205"/>
        <v>Medium (3-5 units)</v>
      </c>
      <c r="AF927" t="str">
        <f t="shared" si="206"/>
        <v>Profitable</v>
      </c>
      <c r="AG927" t="str">
        <f t="shared" si="207"/>
        <v>High Margin</v>
      </c>
      <c r="AH927" t="str">
        <f t="shared" si="208"/>
        <v>Repeat Customer</v>
      </c>
      <c r="AI927" t="str">
        <f t="shared" si="209"/>
        <v>Standard (3-5 days)</v>
      </c>
    </row>
    <row r="928" spans="1:35" ht="15" customHeight="1" x14ac:dyDescent="0.3">
      <c r="A928">
        <v>927</v>
      </c>
      <c r="B928" t="s">
        <v>3014</v>
      </c>
      <c r="C928" s="12">
        <v>41895</v>
      </c>
      <c r="D928" s="12">
        <v>41898</v>
      </c>
      <c r="E928" t="s">
        <v>371</v>
      </c>
      <c r="F928" t="s">
        <v>3015</v>
      </c>
      <c r="G928" t="s">
        <v>3016</v>
      </c>
      <c r="H928" t="s">
        <v>209</v>
      </c>
      <c r="I928" t="s">
        <v>210</v>
      </c>
      <c r="J928" t="s">
        <v>329</v>
      </c>
      <c r="K928" t="s">
        <v>330</v>
      </c>
      <c r="L928">
        <v>19143</v>
      </c>
      <c r="M928" t="s">
        <v>331</v>
      </c>
      <c r="N928" t="s">
        <v>3019</v>
      </c>
      <c r="O928" t="s">
        <v>254</v>
      </c>
      <c r="P928" t="s">
        <v>344</v>
      </c>
      <c r="Q928" t="s">
        <v>3020</v>
      </c>
      <c r="R928" s="13">
        <v>252</v>
      </c>
      <c r="S928">
        <v>5</v>
      </c>
      <c r="T928" s="14">
        <v>0.2</v>
      </c>
      <c r="U928" s="13">
        <v>53.55</v>
      </c>
      <c r="V928">
        <f t="shared" si="196"/>
        <v>2014</v>
      </c>
      <c r="W928" t="str">
        <f t="shared" si="197"/>
        <v>Sep</v>
      </c>
      <c r="X928" t="str">
        <f t="shared" si="198"/>
        <v>Q3</v>
      </c>
      <c r="Y928" t="str">
        <f t="shared" si="199"/>
        <v>Sat</v>
      </c>
      <c r="Z928" s="16">
        <f t="shared" si="200"/>
        <v>3</v>
      </c>
      <c r="AA928" s="13">
        <f t="shared" si="201"/>
        <v>50.4</v>
      </c>
      <c r="AB928" s="14">
        <f t="shared" si="202"/>
        <v>0.21249999999999999</v>
      </c>
      <c r="AC928" t="str">
        <f t="shared" si="203"/>
        <v>Low (1-20%)</v>
      </c>
      <c r="AD928" t="str">
        <f t="shared" si="204"/>
        <v>High ($200-$500)</v>
      </c>
      <c r="AE928" t="str">
        <f t="shared" si="205"/>
        <v>Medium (3-5 units)</v>
      </c>
      <c r="AF928" t="str">
        <f t="shared" si="206"/>
        <v>Profitable</v>
      </c>
      <c r="AG928" t="str">
        <f t="shared" si="207"/>
        <v>Healthy Margin</v>
      </c>
      <c r="AH928" t="str">
        <f t="shared" si="208"/>
        <v>Repeat Customer</v>
      </c>
      <c r="AI928" t="str">
        <f t="shared" si="209"/>
        <v>Standard (3-5 days)</v>
      </c>
    </row>
    <row r="929" spans="1:35" ht="15" customHeight="1" x14ac:dyDescent="0.3">
      <c r="A929">
        <v>928</v>
      </c>
      <c r="B929" t="s">
        <v>3021</v>
      </c>
      <c r="C929" s="12">
        <v>42282</v>
      </c>
      <c r="D929" s="12">
        <v>42286</v>
      </c>
      <c r="E929" t="s">
        <v>233</v>
      </c>
      <c r="F929" t="s">
        <v>3022</v>
      </c>
      <c r="G929" t="s">
        <v>3023</v>
      </c>
      <c r="H929" t="s">
        <v>285</v>
      </c>
      <c r="I929" t="s">
        <v>210</v>
      </c>
      <c r="J929" t="s">
        <v>501</v>
      </c>
      <c r="K929" t="s">
        <v>502</v>
      </c>
      <c r="L929">
        <v>22153</v>
      </c>
      <c r="M929" t="s">
        <v>213</v>
      </c>
      <c r="N929" t="s">
        <v>1500</v>
      </c>
      <c r="O929" t="s">
        <v>229</v>
      </c>
      <c r="P929" t="s">
        <v>251</v>
      </c>
      <c r="Q929" t="s">
        <v>1501</v>
      </c>
      <c r="R929" s="13">
        <v>46.2</v>
      </c>
      <c r="S929">
        <v>4</v>
      </c>
      <c r="T929" s="14">
        <v>0</v>
      </c>
      <c r="U929" s="13">
        <v>12.936</v>
      </c>
      <c r="V929">
        <f t="shared" si="196"/>
        <v>2015</v>
      </c>
      <c r="W929" t="str">
        <f t="shared" si="197"/>
        <v>Oct</v>
      </c>
      <c r="X929" t="str">
        <f t="shared" si="198"/>
        <v>Q4</v>
      </c>
      <c r="Y929" t="str">
        <f t="shared" si="199"/>
        <v>Mon</v>
      </c>
      <c r="Z929" s="16">
        <f t="shared" si="200"/>
        <v>4</v>
      </c>
      <c r="AA929" s="13">
        <f t="shared" si="201"/>
        <v>11.55</v>
      </c>
      <c r="AB929" s="14">
        <f t="shared" si="202"/>
        <v>0.27999999999999997</v>
      </c>
      <c r="AC929" t="str">
        <f t="shared" si="203"/>
        <v>No Discount</v>
      </c>
      <c r="AD929" t="str">
        <f t="shared" si="204"/>
        <v>Low (&lt;$50)</v>
      </c>
      <c r="AE929" t="str">
        <f t="shared" si="205"/>
        <v>Medium (3-5 units)</v>
      </c>
      <c r="AF929" t="str">
        <f t="shared" si="206"/>
        <v>Profitable</v>
      </c>
      <c r="AG929" t="str">
        <f t="shared" si="207"/>
        <v>High Margin</v>
      </c>
      <c r="AH929" t="str">
        <f t="shared" si="208"/>
        <v>Repeat Customer</v>
      </c>
      <c r="AI929" t="str">
        <f t="shared" si="209"/>
        <v>Standard (3-5 days)</v>
      </c>
    </row>
    <row r="930" spans="1:35" ht="15" customHeight="1" x14ac:dyDescent="0.3">
      <c r="A930">
        <v>929</v>
      </c>
      <c r="B930" t="s">
        <v>3021</v>
      </c>
      <c r="C930" s="12">
        <v>42282</v>
      </c>
      <c r="D930" s="12">
        <v>42286</v>
      </c>
      <c r="E930" t="s">
        <v>233</v>
      </c>
      <c r="F930" t="s">
        <v>3022</v>
      </c>
      <c r="G930" t="s">
        <v>3023</v>
      </c>
      <c r="H930" t="s">
        <v>285</v>
      </c>
      <c r="I930" t="s">
        <v>210</v>
      </c>
      <c r="J930" t="s">
        <v>501</v>
      </c>
      <c r="K930" t="s">
        <v>502</v>
      </c>
      <c r="L930">
        <v>22153</v>
      </c>
      <c r="M930" t="s">
        <v>213</v>
      </c>
      <c r="N930" t="s">
        <v>1518</v>
      </c>
      <c r="O930" t="s">
        <v>229</v>
      </c>
      <c r="P930" t="s">
        <v>261</v>
      </c>
      <c r="Q930" t="s">
        <v>1519</v>
      </c>
      <c r="R930" s="13">
        <v>28.84</v>
      </c>
      <c r="S930">
        <v>2</v>
      </c>
      <c r="T930" s="14">
        <v>0</v>
      </c>
      <c r="U930" s="13">
        <v>9.5172000000000008</v>
      </c>
      <c r="V930">
        <f t="shared" si="196"/>
        <v>2015</v>
      </c>
      <c r="W930" t="str">
        <f t="shared" si="197"/>
        <v>Oct</v>
      </c>
      <c r="X930" t="str">
        <f t="shared" si="198"/>
        <v>Q4</v>
      </c>
      <c r="Y930" t="str">
        <f t="shared" si="199"/>
        <v>Mon</v>
      </c>
      <c r="Z930" s="16">
        <f t="shared" si="200"/>
        <v>4</v>
      </c>
      <c r="AA930" s="13">
        <f t="shared" si="201"/>
        <v>14.42</v>
      </c>
      <c r="AB930" s="14">
        <f t="shared" si="202"/>
        <v>0.33</v>
      </c>
      <c r="AC930" t="str">
        <f t="shared" si="203"/>
        <v>No Discount</v>
      </c>
      <c r="AD930" t="str">
        <f t="shared" si="204"/>
        <v>Low (&lt;$50)</v>
      </c>
      <c r="AE930" t="str">
        <f t="shared" si="205"/>
        <v>Small (1-2 units)</v>
      </c>
      <c r="AF930" t="str">
        <f t="shared" si="206"/>
        <v>Profitable</v>
      </c>
      <c r="AG930" t="str">
        <f t="shared" si="207"/>
        <v>High Margin</v>
      </c>
      <c r="AH930" t="str">
        <f t="shared" si="208"/>
        <v>Repeat Customer</v>
      </c>
      <c r="AI930" t="str">
        <f t="shared" si="209"/>
        <v>Standard (3-5 days)</v>
      </c>
    </row>
    <row r="931" spans="1:35" ht="15" customHeight="1" x14ac:dyDescent="0.3">
      <c r="A931">
        <v>930</v>
      </c>
      <c r="B931" t="s">
        <v>3024</v>
      </c>
      <c r="C931" s="12">
        <v>42839</v>
      </c>
      <c r="D931" s="12">
        <v>42842</v>
      </c>
      <c r="E931" t="s">
        <v>371</v>
      </c>
      <c r="F931" t="s">
        <v>2431</v>
      </c>
      <c r="G931" t="s">
        <v>2432</v>
      </c>
      <c r="H931" t="s">
        <v>209</v>
      </c>
      <c r="I931" t="s">
        <v>210</v>
      </c>
      <c r="J931" t="s">
        <v>3025</v>
      </c>
      <c r="K931" t="s">
        <v>681</v>
      </c>
      <c r="L931">
        <v>43615</v>
      </c>
      <c r="M931" t="s">
        <v>331</v>
      </c>
      <c r="N931" t="s">
        <v>2077</v>
      </c>
      <c r="O931" t="s">
        <v>229</v>
      </c>
      <c r="P931" t="s">
        <v>251</v>
      </c>
      <c r="Q931" t="s">
        <v>2078</v>
      </c>
      <c r="R931" s="13">
        <v>14.592000000000001</v>
      </c>
      <c r="S931">
        <v>3</v>
      </c>
      <c r="T931" s="14">
        <v>0.2</v>
      </c>
      <c r="U931" s="13">
        <v>2.5535999999999999</v>
      </c>
      <c r="V931">
        <f t="shared" si="196"/>
        <v>2017</v>
      </c>
      <c r="W931" t="str">
        <f t="shared" si="197"/>
        <v>Apr</v>
      </c>
      <c r="X931" t="str">
        <f t="shared" si="198"/>
        <v>Q2</v>
      </c>
      <c r="Y931" t="str">
        <f t="shared" si="199"/>
        <v>Fri</v>
      </c>
      <c r="Z931" s="16">
        <f t="shared" si="200"/>
        <v>3</v>
      </c>
      <c r="AA931" s="13">
        <f t="shared" si="201"/>
        <v>4.8639999999999999</v>
      </c>
      <c r="AB931" s="14">
        <f t="shared" si="202"/>
        <v>0.17499999999999999</v>
      </c>
      <c r="AC931" t="str">
        <f t="shared" si="203"/>
        <v>Low (1-20%)</v>
      </c>
      <c r="AD931" t="str">
        <f t="shared" si="204"/>
        <v>Low (&lt;$50)</v>
      </c>
      <c r="AE931" t="str">
        <f t="shared" si="205"/>
        <v>Medium (3-5 units)</v>
      </c>
      <c r="AF931" t="str">
        <f t="shared" si="206"/>
        <v>Profitable</v>
      </c>
      <c r="AG931" t="str">
        <f t="shared" si="207"/>
        <v>Healthy Margin</v>
      </c>
      <c r="AH931" t="str">
        <f t="shared" si="208"/>
        <v>Repeat Customer</v>
      </c>
      <c r="AI931" t="str">
        <f t="shared" si="209"/>
        <v>Standard (3-5 days)</v>
      </c>
    </row>
    <row r="932" spans="1:35" ht="15" customHeight="1" x14ac:dyDescent="0.3">
      <c r="A932">
        <v>931</v>
      </c>
      <c r="B932" t="s">
        <v>3024</v>
      </c>
      <c r="C932" s="12">
        <v>42839</v>
      </c>
      <c r="D932" s="12">
        <v>42842</v>
      </c>
      <c r="E932" t="s">
        <v>371</v>
      </c>
      <c r="F932" t="s">
        <v>2431</v>
      </c>
      <c r="G932" t="s">
        <v>2432</v>
      </c>
      <c r="H932" t="s">
        <v>209</v>
      </c>
      <c r="I932" t="s">
        <v>210</v>
      </c>
      <c r="J932" t="s">
        <v>3025</v>
      </c>
      <c r="K932" t="s">
        <v>681</v>
      </c>
      <c r="L932">
        <v>43615</v>
      </c>
      <c r="M932" t="s">
        <v>331</v>
      </c>
      <c r="N932" t="s">
        <v>3026</v>
      </c>
      <c r="O932" t="s">
        <v>229</v>
      </c>
      <c r="P932" t="s">
        <v>251</v>
      </c>
      <c r="Q932" t="s">
        <v>3027</v>
      </c>
      <c r="R932" s="13">
        <v>89.855999999999995</v>
      </c>
      <c r="S932">
        <v>3</v>
      </c>
      <c r="T932" s="14">
        <v>0.2</v>
      </c>
      <c r="U932" s="13">
        <v>21.340800000000002</v>
      </c>
      <c r="V932">
        <f t="shared" si="196"/>
        <v>2017</v>
      </c>
      <c r="W932" t="str">
        <f t="shared" si="197"/>
        <v>Apr</v>
      </c>
      <c r="X932" t="str">
        <f t="shared" si="198"/>
        <v>Q2</v>
      </c>
      <c r="Y932" t="str">
        <f t="shared" si="199"/>
        <v>Fri</v>
      </c>
      <c r="Z932" s="16">
        <f t="shared" si="200"/>
        <v>3</v>
      </c>
      <c r="AA932" s="13">
        <f t="shared" si="201"/>
        <v>29.951999999999998</v>
      </c>
      <c r="AB932" s="14">
        <f t="shared" si="202"/>
        <v>0.23750000000000004</v>
      </c>
      <c r="AC932" t="str">
        <f t="shared" si="203"/>
        <v>Low (1-20%)</v>
      </c>
      <c r="AD932" t="str">
        <f t="shared" si="204"/>
        <v>Medium ($50-$200)</v>
      </c>
      <c r="AE932" t="str">
        <f t="shared" si="205"/>
        <v>Medium (3-5 units)</v>
      </c>
      <c r="AF932" t="str">
        <f t="shared" si="206"/>
        <v>Profitable</v>
      </c>
      <c r="AG932" t="str">
        <f t="shared" si="207"/>
        <v>Healthy Margin</v>
      </c>
      <c r="AH932" t="str">
        <f t="shared" si="208"/>
        <v>Repeat Customer</v>
      </c>
      <c r="AI932" t="str">
        <f t="shared" si="209"/>
        <v>Standard (3-5 days)</v>
      </c>
    </row>
    <row r="933" spans="1:35" ht="15" customHeight="1" x14ac:dyDescent="0.3">
      <c r="A933">
        <v>932</v>
      </c>
      <c r="B933" t="s">
        <v>3024</v>
      </c>
      <c r="C933" s="12">
        <v>42839</v>
      </c>
      <c r="D933" s="12">
        <v>42842</v>
      </c>
      <c r="E933" t="s">
        <v>371</v>
      </c>
      <c r="F933" t="s">
        <v>2431</v>
      </c>
      <c r="G933" t="s">
        <v>2432</v>
      </c>
      <c r="H933" t="s">
        <v>209</v>
      </c>
      <c r="I933" t="s">
        <v>210</v>
      </c>
      <c r="J933" t="s">
        <v>3025</v>
      </c>
      <c r="K933" t="s">
        <v>681</v>
      </c>
      <c r="L933">
        <v>43615</v>
      </c>
      <c r="M933" t="s">
        <v>331</v>
      </c>
      <c r="N933" t="s">
        <v>2560</v>
      </c>
      <c r="O933" t="s">
        <v>229</v>
      </c>
      <c r="P933" t="s">
        <v>273</v>
      </c>
      <c r="Q933" t="s">
        <v>2561</v>
      </c>
      <c r="R933" s="13">
        <v>13.872</v>
      </c>
      <c r="S933">
        <v>3</v>
      </c>
      <c r="T933" s="14">
        <v>0.2</v>
      </c>
      <c r="U933" s="13">
        <v>5.0286</v>
      </c>
      <c r="V933">
        <f t="shared" si="196"/>
        <v>2017</v>
      </c>
      <c r="W933" t="str">
        <f t="shared" si="197"/>
        <v>Apr</v>
      </c>
      <c r="X933" t="str">
        <f t="shared" si="198"/>
        <v>Q2</v>
      </c>
      <c r="Y933" t="str">
        <f t="shared" si="199"/>
        <v>Fri</v>
      </c>
      <c r="Z933" s="16">
        <f t="shared" si="200"/>
        <v>3</v>
      </c>
      <c r="AA933" s="13">
        <f t="shared" si="201"/>
        <v>4.6239999999999997</v>
      </c>
      <c r="AB933" s="14">
        <f t="shared" si="202"/>
        <v>0.36249999999999999</v>
      </c>
      <c r="AC933" t="str">
        <f t="shared" si="203"/>
        <v>Low (1-20%)</v>
      </c>
      <c r="AD933" t="str">
        <f t="shared" si="204"/>
        <v>Low (&lt;$50)</v>
      </c>
      <c r="AE933" t="str">
        <f t="shared" si="205"/>
        <v>Medium (3-5 units)</v>
      </c>
      <c r="AF933" t="str">
        <f t="shared" si="206"/>
        <v>Profitable</v>
      </c>
      <c r="AG933" t="str">
        <f t="shared" si="207"/>
        <v>High Margin</v>
      </c>
      <c r="AH933" t="str">
        <f t="shared" si="208"/>
        <v>Repeat Customer</v>
      </c>
      <c r="AI933" t="str">
        <f t="shared" si="209"/>
        <v>Standard (3-5 days)</v>
      </c>
    </row>
    <row r="934" spans="1:35" ht="15" customHeight="1" x14ac:dyDescent="0.3">
      <c r="A934">
        <v>933</v>
      </c>
      <c r="B934" t="s">
        <v>3028</v>
      </c>
      <c r="C934" s="12">
        <v>42980</v>
      </c>
      <c r="D934" s="12">
        <v>42984</v>
      </c>
      <c r="E934" t="s">
        <v>233</v>
      </c>
      <c r="F934" t="s">
        <v>3029</v>
      </c>
      <c r="G934" t="s">
        <v>3030</v>
      </c>
      <c r="H934" t="s">
        <v>209</v>
      </c>
      <c r="I934" t="s">
        <v>210</v>
      </c>
      <c r="J934" t="s">
        <v>329</v>
      </c>
      <c r="K934" t="s">
        <v>330</v>
      </c>
      <c r="L934">
        <v>19140</v>
      </c>
      <c r="M934" t="s">
        <v>331</v>
      </c>
      <c r="N934" t="s">
        <v>3031</v>
      </c>
      <c r="O934" t="s">
        <v>229</v>
      </c>
      <c r="P934" t="s">
        <v>273</v>
      </c>
      <c r="Q934" t="s">
        <v>3032</v>
      </c>
      <c r="R934" s="13">
        <v>12.192</v>
      </c>
      <c r="S934">
        <v>3</v>
      </c>
      <c r="T934" s="14">
        <v>0.2</v>
      </c>
      <c r="U934" s="13">
        <v>4.1147999999999998</v>
      </c>
      <c r="V934">
        <f t="shared" si="196"/>
        <v>2017</v>
      </c>
      <c r="W934" t="str">
        <f t="shared" si="197"/>
        <v>Sep</v>
      </c>
      <c r="X934" t="str">
        <f t="shared" si="198"/>
        <v>Q3</v>
      </c>
      <c r="Y934" t="str">
        <f t="shared" si="199"/>
        <v>Sat</v>
      </c>
      <c r="Z934" s="16">
        <f t="shared" si="200"/>
        <v>4</v>
      </c>
      <c r="AA934" s="13">
        <f t="shared" si="201"/>
        <v>4.0640000000000001</v>
      </c>
      <c r="AB934" s="14">
        <f t="shared" si="202"/>
        <v>0.33749999999999997</v>
      </c>
      <c r="AC934" t="str">
        <f t="shared" si="203"/>
        <v>Low (1-20%)</v>
      </c>
      <c r="AD934" t="str">
        <f t="shared" si="204"/>
        <v>Low (&lt;$50)</v>
      </c>
      <c r="AE934" t="str">
        <f t="shared" si="205"/>
        <v>Medium (3-5 units)</v>
      </c>
      <c r="AF934" t="str">
        <f t="shared" si="206"/>
        <v>Profitable</v>
      </c>
      <c r="AG934" t="str">
        <f t="shared" si="207"/>
        <v>High Margin</v>
      </c>
      <c r="AH934" t="str">
        <f t="shared" si="208"/>
        <v>Single Purchase</v>
      </c>
      <c r="AI934" t="str">
        <f t="shared" si="209"/>
        <v>Standard (3-5 days)</v>
      </c>
    </row>
    <row r="935" spans="1:35" ht="15" customHeight="1" x14ac:dyDescent="0.3">
      <c r="A935">
        <v>934</v>
      </c>
      <c r="B935" t="s">
        <v>3033</v>
      </c>
      <c r="C935" s="12">
        <v>42541</v>
      </c>
      <c r="D935" s="12">
        <v>42545</v>
      </c>
      <c r="E935" t="s">
        <v>233</v>
      </c>
      <c r="F935" t="s">
        <v>3034</v>
      </c>
      <c r="G935" t="s">
        <v>3035</v>
      </c>
      <c r="H935" t="s">
        <v>285</v>
      </c>
      <c r="I935" t="s">
        <v>210</v>
      </c>
      <c r="J935" t="s">
        <v>329</v>
      </c>
      <c r="K935" t="s">
        <v>330</v>
      </c>
      <c r="L935">
        <v>19120</v>
      </c>
      <c r="M935" t="s">
        <v>331</v>
      </c>
      <c r="N935" t="s">
        <v>3036</v>
      </c>
      <c r="O935" t="s">
        <v>229</v>
      </c>
      <c r="P935" t="s">
        <v>273</v>
      </c>
      <c r="Q935" t="s">
        <v>3037</v>
      </c>
      <c r="R935" s="13">
        <v>45.055999999999997</v>
      </c>
      <c r="S935">
        <v>8</v>
      </c>
      <c r="T935" s="14">
        <v>0.2</v>
      </c>
      <c r="U935" s="13">
        <v>15.2064</v>
      </c>
      <c r="V935">
        <f t="shared" si="196"/>
        <v>2016</v>
      </c>
      <c r="W935" t="str">
        <f t="shared" si="197"/>
        <v>Jun</v>
      </c>
      <c r="X935" t="str">
        <f t="shared" si="198"/>
        <v>Q2</v>
      </c>
      <c r="Y935" t="str">
        <f t="shared" si="199"/>
        <v>Mon</v>
      </c>
      <c r="Z935" s="16">
        <f t="shared" si="200"/>
        <v>4</v>
      </c>
      <c r="AA935" s="13">
        <f t="shared" si="201"/>
        <v>5.6319999999999997</v>
      </c>
      <c r="AB935" s="14">
        <f t="shared" si="202"/>
        <v>0.33750000000000002</v>
      </c>
      <c r="AC935" t="str">
        <f t="shared" si="203"/>
        <v>Low (1-20%)</v>
      </c>
      <c r="AD935" t="str">
        <f t="shared" si="204"/>
        <v>Low (&lt;$50)</v>
      </c>
      <c r="AE935" t="str">
        <f t="shared" si="205"/>
        <v>Large (6+ units)</v>
      </c>
      <c r="AF935" t="str">
        <f t="shared" si="206"/>
        <v>Profitable</v>
      </c>
      <c r="AG935" t="str">
        <f t="shared" si="207"/>
        <v>High Margin</v>
      </c>
      <c r="AH935" t="str">
        <f t="shared" si="208"/>
        <v>Repeat Customer</v>
      </c>
      <c r="AI935" t="str">
        <f t="shared" si="209"/>
        <v>Standard (3-5 days)</v>
      </c>
    </row>
    <row r="936" spans="1:35" ht="15" customHeight="1" x14ac:dyDescent="0.3">
      <c r="A936">
        <v>935</v>
      </c>
      <c r="B936" t="s">
        <v>3033</v>
      </c>
      <c r="C936" s="12">
        <v>42541</v>
      </c>
      <c r="D936" s="12">
        <v>42545</v>
      </c>
      <c r="E936" t="s">
        <v>233</v>
      </c>
      <c r="F936" t="s">
        <v>3034</v>
      </c>
      <c r="G936" t="s">
        <v>3035</v>
      </c>
      <c r="H936" t="s">
        <v>285</v>
      </c>
      <c r="I936" t="s">
        <v>210</v>
      </c>
      <c r="J936" t="s">
        <v>329</v>
      </c>
      <c r="K936" t="s">
        <v>330</v>
      </c>
      <c r="L936">
        <v>19120</v>
      </c>
      <c r="M936" t="s">
        <v>331</v>
      </c>
      <c r="N936" t="s">
        <v>3038</v>
      </c>
      <c r="O936" t="s">
        <v>229</v>
      </c>
      <c r="P936" t="s">
        <v>258</v>
      </c>
      <c r="Q936" t="s">
        <v>3039</v>
      </c>
      <c r="R936" s="13">
        <v>29.718</v>
      </c>
      <c r="S936">
        <v>6</v>
      </c>
      <c r="T936" s="14">
        <v>0.7</v>
      </c>
      <c r="U936" s="13">
        <v>-21.793199999999999</v>
      </c>
      <c r="V936">
        <f t="shared" si="196"/>
        <v>2016</v>
      </c>
      <c r="W936" t="str">
        <f t="shared" si="197"/>
        <v>Jun</v>
      </c>
      <c r="X936" t="str">
        <f t="shared" si="198"/>
        <v>Q2</v>
      </c>
      <c r="Y936" t="str">
        <f t="shared" si="199"/>
        <v>Mon</v>
      </c>
      <c r="Z936" s="16">
        <f t="shared" si="200"/>
        <v>4</v>
      </c>
      <c r="AA936" s="13">
        <f t="shared" si="201"/>
        <v>4.9530000000000003</v>
      </c>
      <c r="AB936" s="14">
        <f t="shared" si="202"/>
        <v>-0.73333333333333328</v>
      </c>
      <c r="AC936" t="str">
        <f t="shared" si="203"/>
        <v>High (40%+)</v>
      </c>
      <c r="AD936" t="str">
        <f t="shared" si="204"/>
        <v>Low (&lt;$50)</v>
      </c>
      <c r="AE936" t="str">
        <f t="shared" si="205"/>
        <v>Large (6+ units)</v>
      </c>
      <c r="AF936" t="str">
        <f t="shared" si="206"/>
        <v>Loss-Making</v>
      </c>
      <c r="AG936" t="str">
        <f t="shared" si="207"/>
        <v>Underperforming</v>
      </c>
      <c r="AH936" t="str">
        <f t="shared" si="208"/>
        <v>Repeat Customer</v>
      </c>
      <c r="AI936" t="str">
        <f t="shared" si="209"/>
        <v>Standard (3-5 days)</v>
      </c>
    </row>
    <row r="937" spans="1:35" ht="15" customHeight="1" x14ac:dyDescent="0.3">
      <c r="A937">
        <v>936</v>
      </c>
      <c r="B937" t="s">
        <v>3033</v>
      </c>
      <c r="C937" s="12">
        <v>42541</v>
      </c>
      <c r="D937" s="12">
        <v>42545</v>
      </c>
      <c r="E937" t="s">
        <v>233</v>
      </c>
      <c r="F937" t="s">
        <v>3034</v>
      </c>
      <c r="G937" t="s">
        <v>3035</v>
      </c>
      <c r="H937" t="s">
        <v>285</v>
      </c>
      <c r="I937" t="s">
        <v>210</v>
      </c>
      <c r="J937" t="s">
        <v>329</v>
      </c>
      <c r="K937" t="s">
        <v>330</v>
      </c>
      <c r="L937">
        <v>19120</v>
      </c>
      <c r="M937" t="s">
        <v>331</v>
      </c>
      <c r="N937" t="s">
        <v>2832</v>
      </c>
      <c r="O937" t="s">
        <v>229</v>
      </c>
      <c r="P937" t="s">
        <v>273</v>
      </c>
      <c r="Q937" t="s">
        <v>2833</v>
      </c>
      <c r="R937" s="13">
        <v>15.552</v>
      </c>
      <c r="S937">
        <v>3</v>
      </c>
      <c r="T937" s="14">
        <v>0.2</v>
      </c>
      <c r="U937" s="13">
        <v>5.4432</v>
      </c>
      <c r="V937">
        <f t="shared" si="196"/>
        <v>2016</v>
      </c>
      <c r="W937" t="str">
        <f t="shared" si="197"/>
        <v>Jun</v>
      </c>
      <c r="X937" t="str">
        <f t="shared" si="198"/>
        <v>Q2</v>
      </c>
      <c r="Y937" t="str">
        <f t="shared" si="199"/>
        <v>Mon</v>
      </c>
      <c r="Z937" s="16">
        <f t="shared" si="200"/>
        <v>4</v>
      </c>
      <c r="AA937" s="13">
        <f t="shared" si="201"/>
        <v>5.1840000000000002</v>
      </c>
      <c r="AB937" s="14">
        <f t="shared" si="202"/>
        <v>0.35000000000000003</v>
      </c>
      <c r="AC937" t="str">
        <f t="shared" si="203"/>
        <v>Low (1-20%)</v>
      </c>
      <c r="AD937" t="str">
        <f t="shared" si="204"/>
        <v>Low (&lt;$50)</v>
      </c>
      <c r="AE937" t="str">
        <f t="shared" si="205"/>
        <v>Medium (3-5 units)</v>
      </c>
      <c r="AF937" t="str">
        <f t="shared" si="206"/>
        <v>Profitable</v>
      </c>
      <c r="AG937" t="str">
        <f t="shared" si="207"/>
        <v>High Margin</v>
      </c>
      <c r="AH937" t="str">
        <f t="shared" si="208"/>
        <v>Repeat Customer</v>
      </c>
      <c r="AI937" t="str">
        <f t="shared" si="209"/>
        <v>Standard (3-5 days)</v>
      </c>
    </row>
    <row r="938" spans="1:35" ht="15" customHeight="1" x14ac:dyDescent="0.3">
      <c r="A938">
        <v>937</v>
      </c>
      <c r="B938" t="s">
        <v>3033</v>
      </c>
      <c r="C938" s="12">
        <v>42541</v>
      </c>
      <c r="D938" s="12">
        <v>42545</v>
      </c>
      <c r="E938" t="s">
        <v>233</v>
      </c>
      <c r="F938" t="s">
        <v>3034</v>
      </c>
      <c r="G938" t="s">
        <v>3035</v>
      </c>
      <c r="H938" t="s">
        <v>285</v>
      </c>
      <c r="I938" t="s">
        <v>210</v>
      </c>
      <c r="J938" t="s">
        <v>329</v>
      </c>
      <c r="K938" t="s">
        <v>330</v>
      </c>
      <c r="L938">
        <v>19120</v>
      </c>
      <c r="M938" t="s">
        <v>331</v>
      </c>
      <c r="N938" t="s">
        <v>781</v>
      </c>
      <c r="O938" t="s">
        <v>229</v>
      </c>
      <c r="P938" t="s">
        <v>261</v>
      </c>
      <c r="Q938" t="s">
        <v>782</v>
      </c>
      <c r="R938" s="13">
        <v>447.69600000000003</v>
      </c>
      <c r="S938">
        <v>2</v>
      </c>
      <c r="T938" s="14">
        <v>0.2</v>
      </c>
      <c r="U938" s="13">
        <v>33.577199999999998</v>
      </c>
      <c r="V938">
        <f t="shared" si="196"/>
        <v>2016</v>
      </c>
      <c r="W938" t="str">
        <f t="shared" si="197"/>
        <v>Jun</v>
      </c>
      <c r="X938" t="str">
        <f t="shared" si="198"/>
        <v>Q2</v>
      </c>
      <c r="Y938" t="str">
        <f t="shared" si="199"/>
        <v>Mon</v>
      </c>
      <c r="Z938" s="16">
        <f t="shared" si="200"/>
        <v>4</v>
      </c>
      <c r="AA938" s="13">
        <f t="shared" si="201"/>
        <v>223.84800000000001</v>
      </c>
      <c r="AB938" s="14">
        <f t="shared" si="202"/>
        <v>7.4999999999999997E-2</v>
      </c>
      <c r="AC938" t="str">
        <f t="shared" si="203"/>
        <v>Low (1-20%)</v>
      </c>
      <c r="AD938" t="str">
        <f t="shared" si="204"/>
        <v>High ($200-$500)</v>
      </c>
      <c r="AE938" t="str">
        <f t="shared" si="205"/>
        <v>Small (1-2 units)</v>
      </c>
      <c r="AF938" t="str">
        <f t="shared" si="206"/>
        <v>Profitable</v>
      </c>
      <c r="AG938" t="str">
        <f t="shared" si="207"/>
        <v>Low Margin</v>
      </c>
      <c r="AH938" t="str">
        <f t="shared" si="208"/>
        <v>Repeat Customer</v>
      </c>
      <c r="AI938" t="str">
        <f t="shared" si="209"/>
        <v>Standard (3-5 days)</v>
      </c>
    </row>
    <row r="939" spans="1:35" ht="15" customHeight="1" x14ac:dyDescent="0.3">
      <c r="A939">
        <v>938</v>
      </c>
      <c r="B939" t="s">
        <v>3040</v>
      </c>
      <c r="C939" s="12">
        <v>43044</v>
      </c>
      <c r="D939" s="12">
        <v>43045</v>
      </c>
      <c r="E939" t="s">
        <v>371</v>
      </c>
      <c r="F939" t="s">
        <v>398</v>
      </c>
      <c r="G939" t="s">
        <v>399</v>
      </c>
      <c r="H939" t="s">
        <v>224</v>
      </c>
      <c r="I939" t="s">
        <v>210</v>
      </c>
      <c r="J939" t="s">
        <v>3041</v>
      </c>
      <c r="K939" t="s">
        <v>852</v>
      </c>
      <c r="L939">
        <v>87401</v>
      </c>
      <c r="M939" t="s">
        <v>227</v>
      </c>
      <c r="N939" t="s">
        <v>1498</v>
      </c>
      <c r="O939" t="s">
        <v>254</v>
      </c>
      <c r="P939" t="s">
        <v>344</v>
      </c>
      <c r="Q939" t="s">
        <v>1499</v>
      </c>
      <c r="R939" s="13">
        <v>159.99</v>
      </c>
      <c r="S939">
        <v>1</v>
      </c>
      <c r="T939" s="14">
        <v>0</v>
      </c>
      <c r="U939" s="13">
        <v>54.396599999999999</v>
      </c>
      <c r="V939">
        <f t="shared" si="196"/>
        <v>2017</v>
      </c>
      <c r="W939" t="str">
        <f t="shared" si="197"/>
        <v>Nov</v>
      </c>
      <c r="X939" t="str">
        <f t="shared" si="198"/>
        <v>Q4</v>
      </c>
      <c r="Y939" t="str">
        <f t="shared" si="199"/>
        <v>Sun</v>
      </c>
      <c r="Z939" s="16">
        <f t="shared" si="200"/>
        <v>1</v>
      </c>
      <c r="AA939" s="13">
        <f t="shared" si="201"/>
        <v>159.99</v>
      </c>
      <c r="AB939" s="14">
        <f t="shared" si="202"/>
        <v>0.33999999999999997</v>
      </c>
      <c r="AC939" t="str">
        <f t="shared" si="203"/>
        <v>No Discount</v>
      </c>
      <c r="AD939" t="str">
        <f t="shared" si="204"/>
        <v>Medium ($50-$200)</v>
      </c>
      <c r="AE939" t="str">
        <f t="shared" si="205"/>
        <v>Small (1-2 units)</v>
      </c>
      <c r="AF939" t="str">
        <f t="shared" si="206"/>
        <v>Profitable</v>
      </c>
      <c r="AG939" t="str">
        <f t="shared" si="207"/>
        <v>High Margin</v>
      </c>
      <c r="AH939" t="str">
        <f t="shared" si="208"/>
        <v>Repeat Customer</v>
      </c>
      <c r="AI939" t="str">
        <f t="shared" si="209"/>
        <v>Fast (&lt;=2 days)</v>
      </c>
    </row>
    <row r="940" spans="1:35" ht="15" customHeight="1" x14ac:dyDescent="0.3">
      <c r="A940">
        <v>939</v>
      </c>
      <c r="B940" t="s">
        <v>3042</v>
      </c>
      <c r="C940" s="12">
        <v>42351</v>
      </c>
      <c r="D940" s="12">
        <v>42355</v>
      </c>
      <c r="E940" t="s">
        <v>233</v>
      </c>
      <c r="F940" t="s">
        <v>3043</v>
      </c>
      <c r="G940" t="s">
        <v>3044</v>
      </c>
      <c r="H940" t="s">
        <v>224</v>
      </c>
      <c r="I940" t="s">
        <v>210</v>
      </c>
      <c r="J940" t="s">
        <v>3045</v>
      </c>
      <c r="K940" t="s">
        <v>226</v>
      </c>
      <c r="L940">
        <v>92503</v>
      </c>
      <c r="M940" t="s">
        <v>227</v>
      </c>
      <c r="N940" t="s">
        <v>3046</v>
      </c>
      <c r="O940" t="s">
        <v>229</v>
      </c>
      <c r="P940" t="s">
        <v>273</v>
      </c>
      <c r="Q940" t="s">
        <v>3047</v>
      </c>
      <c r="R940" s="13">
        <v>12.96</v>
      </c>
      <c r="S940">
        <v>2</v>
      </c>
      <c r="T940" s="14">
        <v>0</v>
      </c>
      <c r="U940" s="13">
        <v>6.2207999999999997</v>
      </c>
      <c r="V940">
        <f t="shared" si="196"/>
        <v>2015</v>
      </c>
      <c r="W940" t="str">
        <f t="shared" si="197"/>
        <v>Dec</v>
      </c>
      <c r="X940" t="str">
        <f t="shared" si="198"/>
        <v>Q4</v>
      </c>
      <c r="Y940" t="str">
        <f t="shared" si="199"/>
        <v>Sun</v>
      </c>
      <c r="Z940" s="16">
        <f t="shared" si="200"/>
        <v>4</v>
      </c>
      <c r="AA940" s="13">
        <f t="shared" si="201"/>
        <v>6.48</v>
      </c>
      <c r="AB940" s="14">
        <f t="shared" si="202"/>
        <v>0.47999999999999993</v>
      </c>
      <c r="AC940" t="str">
        <f t="shared" si="203"/>
        <v>No Discount</v>
      </c>
      <c r="AD940" t="str">
        <f t="shared" si="204"/>
        <v>Low (&lt;$50)</v>
      </c>
      <c r="AE940" t="str">
        <f t="shared" si="205"/>
        <v>Small (1-2 units)</v>
      </c>
      <c r="AF940" t="str">
        <f t="shared" si="206"/>
        <v>Profitable</v>
      </c>
      <c r="AG940" t="str">
        <f t="shared" si="207"/>
        <v>High Margin</v>
      </c>
      <c r="AH940" t="str">
        <f t="shared" si="208"/>
        <v>Repeat Customer</v>
      </c>
      <c r="AI940" t="str">
        <f t="shared" si="209"/>
        <v>Standard (3-5 days)</v>
      </c>
    </row>
    <row r="941" spans="1:35" ht="15" customHeight="1" x14ac:dyDescent="0.3">
      <c r="A941">
        <v>940</v>
      </c>
      <c r="B941" t="s">
        <v>3042</v>
      </c>
      <c r="C941" s="12">
        <v>42351</v>
      </c>
      <c r="D941" s="12">
        <v>42355</v>
      </c>
      <c r="E941" t="s">
        <v>233</v>
      </c>
      <c r="F941" t="s">
        <v>3043</v>
      </c>
      <c r="G941" t="s">
        <v>3044</v>
      </c>
      <c r="H941" t="s">
        <v>224</v>
      </c>
      <c r="I941" t="s">
        <v>210</v>
      </c>
      <c r="J941" t="s">
        <v>3045</v>
      </c>
      <c r="K941" t="s">
        <v>226</v>
      </c>
      <c r="L941">
        <v>92503</v>
      </c>
      <c r="M941" t="s">
        <v>227</v>
      </c>
      <c r="N941" t="s">
        <v>3048</v>
      </c>
      <c r="O941" t="s">
        <v>229</v>
      </c>
      <c r="P941" t="s">
        <v>261</v>
      </c>
      <c r="Q941" t="s">
        <v>3049</v>
      </c>
      <c r="R941" s="13">
        <v>134.47999999999999</v>
      </c>
      <c r="S941">
        <v>4</v>
      </c>
      <c r="T941" s="14">
        <v>0</v>
      </c>
      <c r="U941" s="13">
        <v>34.964799999999997</v>
      </c>
      <c r="V941">
        <f t="shared" si="196"/>
        <v>2015</v>
      </c>
      <c r="W941" t="str">
        <f t="shared" si="197"/>
        <v>Dec</v>
      </c>
      <c r="X941" t="str">
        <f t="shared" si="198"/>
        <v>Q4</v>
      </c>
      <c r="Y941" t="str">
        <f t="shared" si="199"/>
        <v>Sun</v>
      </c>
      <c r="Z941" s="16">
        <f t="shared" si="200"/>
        <v>4</v>
      </c>
      <c r="AA941" s="13">
        <f t="shared" si="201"/>
        <v>33.619999999999997</v>
      </c>
      <c r="AB941" s="14">
        <f t="shared" si="202"/>
        <v>0.26</v>
      </c>
      <c r="AC941" t="str">
        <f t="shared" si="203"/>
        <v>No Discount</v>
      </c>
      <c r="AD941" t="str">
        <f t="shared" si="204"/>
        <v>Medium ($50-$200)</v>
      </c>
      <c r="AE941" t="str">
        <f t="shared" si="205"/>
        <v>Medium (3-5 units)</v>
      </c>
      <c r="AF941" t="str">
        <f t="shared" si="206"/>
        <v>Profitable</v>
      </c>
      <c r="AG941" t="str">
        <f t="shared" si="207"/>
        <v>High Margin</v>
      </c>
      <c r="AH941" t="str">
        <f t="shared" si="208"/>
        <v>Repeat Customer</v>
      </c>
      <c r="AI941" t="str">
        <f t="shared" si="209"/>
        <v>Standard (3-5 days)</v>
      </c>
    </row>
    <row r="942" spans="1:35" ht="15" customHeight="1" x14ac:dyDescent="0.3">
      <c r="A942">
        <v>941</v>
      </c>
      <c r="B942" t="s">
        <v>3050</v>
      </c>
      <c r="C942" s="12">
        <v>42540</v>
      </c>
      <c r="D942" s="12">
        <v>42541</v>
      </c>
      <c r="E942" t="s">
        <v>371</v>
      </c>
      <c r="F942" t="s">
        <v>3051</v>
      </c>
      <c r="G942" t="s">
        <v>3052</v>
      </c>
      <c r="H942" t="s">
        <v>224</v>
      </c>
      <c r="I942" t="s">
        <v>210</v>
      </c>
      <c r="J942" t="s">
        <v>310</v>
      </c>
      <c r="K942" t="s">
        <v>226</v>
      </c>
      <c r="L942">
        <v>94110</v>
      </c>
      <c r="M942" t="s">
        <v>227</v>
      </c>
      <c r="N942" t="s">
        <v>3053</v>
      </c>
      <c r="O942" t="s">
        <v>229</v>
      </c>
      <c r="P942" t="s">
        <v>273</v>
      </c>
      <c r="Q942" t="s">
        <v>3054</v>
      </c>
      <c r="R942" s="13">
        <v>17.12</v>
      </c>
      <c r="S942">
        <v>2</v>
      </c>
      <c r="T942" s="14">
        <v>0</v>
      </c>
      <c r="U942" s="13">
        <v>8.0464000000000002</v>
      </c>
      <c r="V942">
        <f t="shared" si="196"/>
        <v>2016</v>
      </c>
      <c r="W942" t="str">
        <f t="shared" si="197"/>
        <v>Jun</v>
      </c>
      <c r="X942" t="str">
        <f t="shared" si="198"/>
        <v>Q2</v>
      </c>
      <c r="Y942" t="str">
        <f t="shared" si="199"/>
        <v>Sun</v>
      </c>
      <c r="Z942" s="16">
        <f t="shared" si="200"/>
        <v>1</v>
      </c>
      <c r="AA942" s="13">
        <f t="shared" si="201"/>
        <v>8.56</v>
      </c>
      <c r="AB942" s="14">
        <f t="shared" si="202"/>
        <v>0.47</v>
      </c>
      <c r="AC942" t="str">
        <f t="shared" si="203"/>
        <v>No Discount</v>
      </c>
      <c r="AD942" t="str">
        <f t="shared" si="204"/>
        <v>Low (&lt;$50)</v>
      </c>
      <c r="AE942" t="str">
        <f t="shared" si="205"/>
        <v>Small (1-2 units)</v>
      </c>
      <c r="AF942" t="str">
        <f t="shared" si="206"/>
        <v>Profitable</v>
      </c>
      <c r="AG942" t="str">
        <f t="shared" si="207"/>
        <v>High Margin</v>
      </c>
      <c r="AH942" t="str">
        <f t="shared" si="208"/>
        <v>Single Purchase</v>
      </c>
      <c r="AI942" t="str">
        <f t="shared" si="209"/>
        <v>Fast (&lt;=2 days)</v>
      </c>
    </row>
    <row r="943" spans="1:35" ht="15" customHeight="1" x14ac:dyDescent="0.3">
      <c r="A943">
        <v>942</v>
      </c>
      <c r="B943" t="s">
        <v>3055</v>
      </c>
      <c r="C943" s="12">
        <v>42717</v>
      </c>
      <c r="D943" s="12">
        <v>42724</v>
      </c>
      <c r="E943" t="s">
        <v>233</v>
      </c>
      <c r="F943" t="s">
        <v>2996</v>
      </c>
      <c r="G943" t="s">
        <v>2997</v>
      </c>
      <c r="H943" t="s">
        <v>224</v>
      </c>
      <c r="I943" t="s">
        <v>210</v>
      </c>
      <c r="J943" t="s">
        <v>3056</v>
      </c>
      <c r="K943" t="s">
        <v>226</v>
      </c>
      <c r="L943">
        <v>90503</v>
      </c>
      <c r="M943" t="s">
        <v>227</v>
      </c>
      <c r="N943" t="s">
        <v>3057</v>
      </c>
      <c r="O943" t="s">
        <v>229</v>
      </c>
      <c r="P943" t="s">
        <v>258</v>
      </c>
      <c r="Q943" t="s">
        <v>3058</v>
      </c>
      <c r="R943" s="13">
        <v>6.0960000000000001</v>
      </c>
      <c r="S943">
        <v>2</v>
      </c>
      <c r="T943" s="14">
        <v>0.2</v>
      </c>
      <c r="U943" s="13">
        <v>2.2098</v>
      </c>
      <c r="V943">
        <f t="shared" si="196"/>
        <v>2016</v>
      </c>
      <c r="W943" t="str">
        <f t="shared" si="197"/>
        <v>Dec</v>
      </c>
      <c r="X943" t="str">
        <f t="shared" si="198"/>
        <v>Q4</v>
      </c>
      <c r="Y943" t="str">
        <f t="shared" si="199"/>
        <v>Tue</v>
      </c>
      <c r="Z943" s="16">
        <f t="shared" si="200"/>
        <v>7</v>
      </c>
      <c r="AA943" s="13">
        <f t="shared" si="201"/>
        <v>3.048</v>
      </c>
      <c r="AB943" s="14">
        <f t="shared" si="202"/>
        <v>0.36249999999999999</v>
      </c>
      <c r="AC943" t="str">
        <f t="shared" si="203"/>
        <v>Low (1-20%)</v>
      </c>
      <c r="AD943" t="str">
        <f t="shared" si="204"/>
        <v>Low (&lt;$50)</v>
      </c>
      <c r="AE943" t="str">
        <f t="shared" si="205"/>
        <v>Small (1-2 units)</v>
      </c>
      <c r="AF943" t="str">
        <f t="shared" si="206"/>
        <v>Profitable</v>
      </c>
      <c r="AG943" t="str">
        <f t="shared" si="207"/>
        <v>High Margin</v>
      </c>
      <c r="AH943" t="str">
        <f t="shared" si="208"/>
        <v>Repeat Customer</v>
      </c>
      <c r="AI943" t="str">
        <f t="shared" si="209"/>
        <v>Slow (6+ days)</v>
      </c>
    </row>
    <row r="944" spans="1:35" ht="15" customHeight="1" x14ac:dyDescent="0.3">
      <c r="A944">
        <v>943</v>
      </c>
      <c r="B944" t="s">
        <v>3055</v>
      </c>
      <c r="C944" s="12">
        <v>42717</v>
      </c>
      <c r="D944" s="12">
        <v>42724</v>
      </c>
      <c r="E944" t="s">
        <v>233</v>
      </c>
      <c r="F944" t="s">
        <v>2996</v>
      </c>
      <c r="G944" t="s">
        <v>2997</v>
      </c>
      <c r="H944" t="s">
        <v>224</v>
      </c>
      <c r="I944" t="s">
        <v>210</v>
      </c>
      <c r="J944" t="s">
        <v>3056</v>
      </c>
      <c r="K944" t="s">
        <v>226</v>
      </c>
      <c r="L944">
        <v>90503</v>
      </c>
      <c r="M944" t="s">
        <v>227</v>
      </c>
      <c r="N944" t="s">
        <v>238</v>
      </c>
      <c r="O944" t="s">
        <v>215</v>
      </c>
      <c r="P944" t="s">
        <v>239</v>
      </c>
      <c r="Q944" t="s">
        <v>240</v>
      </c>
      <c r="R944" s="13">
        <v>1114.2719999999999</v>
      </c>
      <c r="S944">
        <v>4</v>
      </c>
      <c r="T944" s="14">
        <v>0.2</v>
      </c>
      <c r="U944" s="13">
        <v>41.785200000000003</v>
      </c>
      <c r="V944">
        <f t="shared" si="196"/>
        <v>2016</v>
      </c>
      <c r="W944" t="str">
        <f t="shared" si="197"/>
        <v>Dec</v>
      </c>
      <c r="X944" t="str">
        <f t="shared" si="198"/>
        <v>Q4</v>
      </c>
      <c r="Y944" t="str">
        <f t="shared" si="199"/>
        <v>Tue</v>
      </c>
      <c r="Z944" s="16">
        <f t="shared" si="200"/>
        <v>7</v>
      </c>
      <c r="AA944" s="13">
        <f t="shared" si="201"/>
        <v>278.56799999999998</v>
      </c>
      <c r="AB944" s="14">
        <f t="shared" si="202"/>
        <v>3.7500000000000006E-2</v>
      </c>
      <c r="AC944" t="str">
        <f t="shared" si="203"/>
        <v>Low (1-20%)</v>
      </c>
      <c r="AD944" t="str">
        <f t="shared" si="204"/>
        <v>Premium ($500+)</v>
      </c>
      <c r="AE944" t="str">
        <f t="shared" si="205"/>
        <v>Medium (3-5 units)</v>
      </c>
      <c r="AF944" t="str">
        <f t="shared" si="206"/>
        <v>Profitable</v>
      </c>
      <c r="AG944" t="str">
        <f t="shared" si="207"/>
        <v>Low Margin</v>
      </c>
      <c r="AH944" t="str">
        <f t="shared" si="208"/>
        <v>Repeat Customer</v>
      </c>
      <c r="AI944" t="str">
        <f t="shared" si="209"/>
        <v>Slow (6+ days)</v>
      </c>
    </row>
    <row r="945" spans="1:35" ht="15" customHeight="1" x14ac:dyDescent="0.3">
      <c r="A945">
        <v>944</v>
      </c>
      <c r="B945" t="s">
        <v>3059</v>
      </c>
      <c r="C945" s="12">
        <v>42153</v>
      </c>
      <c r="D945" s="12">
        <v>42158</v>
      </c>
      <c r="E945" t="s">
        <v>233</v>
      </c>
      <c r="F945" t="s">
        <v>1388</v>
      </c>
      <c r="G945" t="s">
        <v>1389</v>
      </c>
      <c r="H945" t="s">
        <v>209</v>
      </c>
      <c r="I945" t="s">
        <v>210</v>
      </c>
      <c r="J945" t="s">
        <v>278</v>
      </c>
      <c r="K945" t="s">
        <v>279</v>
      </c>
      <c r="L945">
        <v>98105</v>
      </c>
      <c r="M945" t="s">
        <v>227</v>
      </c>
      <c r="N945" t="s">
        <v>2169</v>
      </c>
      <c r="O945" t="s">
        <v>229</v>
      </c>
      <c r="P945" t="s">
        <v>273</v>
      </c>
      <c r="Q945" t="s">
        <v>2170</v>
      </c>
      <c r="R945" s="13">
        <v>32.4</v>
      </c>
      <c r="S945">
        <v>5</v>
      </c>
      <c r="T945" s="14">
        <v>0</v>
      </c>
      <c r="U945" s="13">
        <v>15.552</v>
      </c>
      <c r="V945">
        <f t="shared" si="196"/>
        <v>2015</v>
      </c>
      <c r="W945" t="str">
        <f t="shared" si="197"/>
        <v>May</v>
      </c>
      <c r="X945" t="str">
        <f t="shared" si="198"/>
        <v>Q2</v>
      </c>
      <c r="Y945" t="str">
        <f t="shared" si="199"/>
        <v>Fri</v>
      </c>
      <c r="Z945" s="16">
        <f t="shared" si="200"/>
        <v>5</v>
      </c>
      <c r="AA945" s="13">
        <f t="shared" si="201"/>
        <v>6.4799999999999995</v>
      </c>
      <c r="AB945" s="14">
        <f t="shared" si="202"/>
        <v>0.48</v>
      </c>
      <c r="AC945" t="str">
        <f t="shared" si="203"/>
        <v>No Discount</v>
      </c>
      <c r="AD945" t="str">
        <f t="shared" si="204"/>
        <v>Low (&lt;$50)</v>
      </c>
      <c r="AE945" t="str">
        <f t="shared" si="205"/>
        <v>Medium (3-5 units)</v>
      </c>
      <c r="AF945" t="str">
        <f t="shared" si="206"/>
        <v>Profitable</v>
      </c>
      <c r="AG945" t="str">
        <f t="shared" si="207"/>
        <v>High Margin</v>
      </c>
      <c r="AH945" t="str">
        <f t="shared" si="208"/>
        <v>Repeat Customer</v>
      </c>
      <c r="AI945" t="str">
        <f t="shared" si="209"/>
        <v>Standard (3-5 days)</v>
      </c>
    </row>
    <row r="946" spans="1:35" ht="15" customHeight="1" x14ac:dyDescent="0.3">
      <c r="A946">
        <v>945</v>
      </c>
      <c r="B946" t="s">
        <v>3059</v>
      </c>
      <c r="C946" s="12">
        <v>42153</v>
      </c>
      <c r="D946" s="12">
        <v>42158</v>
      </c>
      <c r="E946" t="s">
        <v>233</v>
      </c>
      <c r="F946" t="s">
        <v>1388</v>
      </c>
      <c r="G946" t="s">
        <v>1389</v>
      </c>
      <c r="H946" t="s">
        <v>209</v>
      </c>
      <c r="I946" t="s">
        <v>210</v>
      </c>
      <c r="J946" t="s">
        <v>278</v>
      </c>
      <c r="K946" t="s">
        <v>279</v>
      </c>
      <c r="L946">
        <v>98105</v>
      </c>
      <c r="M946" t="s">
        <v>227</v>
      </c>
      <c r="N946" t="s">
        <v>3060</v>
      </c>
      <c r="O946" t="s">
        <v>229</v>
      </c>
      <c r="P946" t="s">
        <v>242</v>
      </c>
      <c r="Q946" t="s">
        <v>3061</v>
      </c>
      <c r="R946" s="13">
        <v>540.57000000000005</v>
      </c>
      <c r="S946">
        <v>3</v>
      </c>
      <c r="T946" s="14">
        <v>0</v>
      </c>
      <c r="U946" s="13">
        <v>140.54820000000001</v>
      </c>
      <c r="V946">
        <f t="shared" si="196"/>
        <v>2015</v>
      </c>
      <c r="W946" t="str">
        <f t="shared" si="197"/>
        <v>May</v>
      </c>
      <c r="X946" t="str">
        <f t="shared" si="198"/>
        <v>Q2</v>
      </c>
      <c r="Y946" t="str">
        <f t="shared" si="199"/>
        <v>Fri</v>
      </c>
      <c r="Z946" s="16">
        <f t="shared" si="200"/>
        <v>5</v>
      </c>
      <c r="AA946" s="13">
        <f t="shared" si="201"/>
        <v>180.19000000000003</v>
      </c>
      <c r="AB946" s="14">
        <f t="shared" si="202"/>
        <v>0.26</v>
      </c>
      <c r="AC946" t="str">
        <f t="shared" si="203"/>
        <v>No Discount</v>
      </c>
      <c r="AD946" t="str">
        <f t="shared" si="204"/>
        <v>Premium ($500+)</v>
      </c>
      <c r="AE946" t="str">
        <f t="shared" si="205"/>
        <v>Medium (3-5 units)</v>
      </c>
      <c r="AF946" t="str">
        <f t="shared" si="206"/>
        <v>Profitable</v>
      </c>
      <c r="AG946" t="str">
        <f t="shared" si="207"/>
        <v>High Margin</v>
      </c>
      <c r="AH946" t="str">
        <f t="shared" si="208"/>
        <v>Repeat Customer</v>
      </c>
      <c r="AI946" t="str">
        <f t="shared" si="209"/>
        <v>Standard (3-5 days)</v>
      </c>
    </row>
    <row r="947" spans="1:35" ht="15" customHeight="1" x14ac:dyDescent="0.3">
      <c r="A947">
        <v>946</v>
      </c>
      <c r="B947" t="s">
        <v>3059</v>
      </c>
      <c r="C947" s="12">
        <v>42153</v>
      </c>
      <c r="D947" s="12">
        <v>42158</v>
      </c>
      <c r="E947" t="s">
        <v>233</v>
      </c>
      <c r="F947" t="s">
        <v>1388</v>
      </c>
      <c r="G947" t="s">
        <v>1389</v>
      </c>
      <c r="H947" t="s">
        <v>209</v>
      </c>
      <c r="I947" t="s">
        <v>210</v>
      </c>
      <c r="J947" t="s">
        <v>278</v>
      </c>
      <c r="K947" t="s">
        <v>279</v>
      </c>
      <c r="L947">
        <v>98105</v>
      </c>
      <c r="M947" t="s">
        <v>227</v>
      </c>
      <c r="N947" t="s">
        <v>3062</v>
      </c>
      <c r="O947" t="s">
        <v>229</v>
      </c>
      <c r="P947" t="s">
        <v>258</v>
      </c>
      <c r="Q947" t="s">
        <v>3063</v>
      </c>
      <c r="R947" s="13">
        <v>167.76</v>
      </c>
      <c r="S947">
        <v>5</v>
      </c>
      <c r="T947" s="14">
        <v>0.2</v>
      </c>
      <c r="U947" s="13">
        <v>62.91</v>
      </c>
      <c r="V947">
        <f t="shared" si="196"/>
        <v>2015</v>
      </c>
      <c r="W947" t="str">
        <f t="shared" si="197"/>
        <v>May</v>
      </c>
      <c r="X947" t="str">
        <f t="shared" si="198"/>
        <v>Q2</v>
      </c>
      <c r="Y947" t="str">
        <f t="shared" si="199"/>
        <v>Fri</v>
      </c>
      <c r="Z947" s="16">
        <f t="shared" si="200"/>
        <v>5</v>
      </c>
      <c r="AA947" s="13">
        <f t="shared" si="201"/>
        <v>33.552</v>
      </c>
      <c r="AB947" s="14">
        <f t="shared" si="202"/>
        <v>0.375</v>
      </c>
      <c r="AC947" t="str">
        <f t="shared" si="203"/>
        <v>Low (1-20%)</v>
      </c>
      <c r="AD947" t="str">
        <f t="shared" si="204"/>
        <v>Medium ($50-$200)</v>
      </c>
      <c r="AE947" t="str">
        <f t="shared" si="205"/>
        <v>Medium (3-5 units)</v>
      </c>
      <c r="AF947" t="str">
        <f t="shared" si="206"/>
        <v>Profitable</v>
      </c>
      <c r="AG947" t="str">
        <f t="shared" si="207"/>
        <v>High Margin</v>
      </c>
      <c r="AH947" t="str">
        <f t="shared" si="208"/>
        <v>Repeat Customer</v>
      </c>
      <c r="AI947" t="str">
        <f t="shared" si="209"/>
        <v>Standard (3-5 days)</v>
      </c>
    </row>
    <row r="948" spans="1:35" ht="15" customHeight="1" x14ac:dyDescent="0.3">
      <c r="A948">
        <v>947</v>
      </c>
      <c r="B948" t="s">
        <v>3064</v>
      </c>
      <c r="C948" s="12">
        <v>42211</v>
      </c>
      <c r="D948" s="12">
        <v>42213</v>
      </c>
      <c r="E948" t="s">
        <v>371</v>
      </c>
      <c r="F948" t="s">
        <v>2094</v>
      </c>
      <c r="G948" t="s">
        <v>2095</v>
      </c>
      <c r="H948" t="s">
        <v>209</v>
      </c>
      <c r="I948" t="s">
        <v>210</v>
      </c>
      <c r="J948" t="s">
        <v>2011</v>
      </c>
      <c r="K948" t="s">
        <v>493</v>
      </c>
      <c r="L948">
        <v>85204</v>
      </c>
      <c r="M948" t="s">
        <v>227</v>
      </c>
      <c r="N948" t="s">
        <v>3065</v>
      </c>
      <c r="O948" t="s">
        <v>215</v>
      </c>
      <c r="P948" t="s">
        <v>239</v>
      </c>
      <c r="Q948" t="s">
        <v>3066</v>
      </c>
      <c r="R948" s="13">
        <v>393.16500000000002</v>
      </c>
      <c r="S948">
        <v>3</v>
      </c>
      <c r="T948" s="14">
        <v>0.5</v>
      </c>
      <c r="U948" s="13">
        <v>-204.44579999999999</v>
      </c>
      <c r="V948">
        <f t="shared" si="196"/>
        <v>2015</v>
      </c>
      <c r="W948" t="str">
        <f t="shared" si="197"/>
        <v>Jul</v>
      </c>
      <c r="X948" t="str">
        <f t="shared" si="198"/>
        <v>Q3</v>
      </c>
      <c r="Y948" t="str">
        <f t="shared" si="199"/>
        <v>Sun</v>
      </c>
      <c r="Z948" s="16">
        <f t="shared" si="200"/>
        <v>2</v>
      </c>
      <c r="AA948" s="13">
        <f t="shared" si="201"/>
        <v>131.05500000000001</v>
      </c>
      <c r="AB948" s="14">
        <f t="shared" si="202"/>
        <v>-0.51999999999999991</v>
      </c>
      <c r="AC948" t="str">
        <f t="shared" si="203"/>
        <v>High (40%+)</v>
      </c>
      <c r="AD948" t="str">
        <f t="shared" si="204"/>
        <v>High ($200-$500)</v>
      </c>
      <c r="AE948" t="str">
        <f t="shared" si="205"/>
        <v>Medium (3-5 units)</v>
      </c>
      <c r="AF948" t="str">
        <f t="shared" si="206"/>
        <v>Loss-Making</v>
      </c>
      <c r="AG948" t="str">
        <f t="shared" si="207"/>
        <v>Underperforming</v>
      </c>
      <c r="AH948" t="str">
        <f t="shared" si="208"/>
        <v>Repeat Customer</v>
      </c>
      <c r="AI948" t="str">
        <f t="shared" si="209"/>
        <v>Fast (&lt;=2 days)</v>
      </c>
    </row>
    <row r="949" spans="1:35" ht="15" customHeight="1" x14ac:dyDescent="0.3">
      <c r="A949">
        <v>948</v>
      </c>
      <c r="B949" t="s">
        <v>3067</v>
      </c>
      <c r="C949" s="12">
        <v>43067</v>
      </c>
      <c r="D949" s="12">
        <v>43071</v>
      </c>
      <c r="E949" t="s">
        <v>233</v>
      </c>
      <c r="F949" t="s">
        <v>1696</v>
      </c>
      <c r="G949" t="s">
        <v>1697</v>
      </c>
      <c r="H949" t="s">
        <v>285</v>
      </c>
      <c r="I949" t="s">
        <v>210</v>
      </c>
      <c r="J949" t="s">
        <v>329</v>
      </c>
      <c r="K949" t="s">
        <v>330</v>
      </c>
      <c r="L949">
        <v>19120</v>
      </c>
      <c r="M949" t="s">
        <v>331</v>
      </c>
      <c r="N949" t="s">
        <v>3068</v>
      </c>
      <c r="O949" t="s">
        <v>215</v>
      </c>
      <c r="P949" t="s">
        <v>248</v>
      </c>
      <c r="Q949" t="s">
        <v>3069</v>
      </c>
      <c r="R949" s="13">
        <v>516.48800000000006</v>
      </c>
      <c r="S949">
        <v>7</v>
      </c>
      <c r="T949" s="14">
        <v>0.2</v>
      </c>
      <c r="U949" s="13">
        <v>-12.9122</v>
      </c>
      <c r="V949">
        <f t="shared" si="196"/>
        <v>2017</v>
      </c>
      <c r="W949" t="str">
        <f t="shared" si="197"/>
        <v>Nov</v>
      </c>
      <c r="X949" t="str">
        <f t="shared" si="198"/>
        <v>Q4</v>
      </c>
      <c r="Y949" t="str">
        <f t="shared" si="199"/>
        <v>Tue</v>
      </c>
      <c r="Z949" s="16">
        <f t="shared" si="200"/>
        <v>4</v>
      </c>
      <c r="AA949" s="13">
        <f t="shared" si="201"/>
        <v>73.784000000000006</v>
      </c>
      <c r="AB949" s="14">
        <f t="shared" si="202"/>
        <v>-2.4999999999999998E-2</v>
      </c>
      <c r="AC949" t="str">
        <f t="shared" si="203"/>
        <v>Low (1-20%)</v>
      </c>
      <c r="AD949" t="str">
        <f t="shared" si="204"/>
        <v>Premium ($500+)</v>
      </c>
      <c r="AE949" t="str">
        <f t="shared" si="205"/>
        <v>Large (6+ units)</v>
      </c>
      <c r="AF949" t="str">
        <f t="shared" si="206"/>
        <v>Loss-Making</v>
      </c>
      <c r="AG949" t="str">
        <f t="shared" si="207"/>
        <v>Underperforming</v>
      </c>
      <c r="AH949" t="str">
        <f t="shared" si="208"/>
        <v>Repeat Customer</v>
      </c>
      <c r="AI949" t="str">
        <f t="shared" si="209"/>
        <v>Standard (3-5 days)</v>
      </c>
    </row>
    <row r="950" spans="1:35" ht="15" customHeight="1" x14ac:dyDescent="0.3">
      <c r="A950">
        <v>949</v>
      </c>
      <c r="B950" t="s">
        <v>3067</v>
      </c>
      <c r="C950" s="12">
        <v>43067</v>
      </c>
      <c r="D950" s="12">
        <v>43071</v>
      </c>
      <c r="E950" t="s">
        <v>233</v>
      </c>
      <c r="F950" t="s">
        <v>1696</v>
      </c>
      <c r="G950" t="s">
        <v>1697</v>
      </c>
      <c r="H950" t="s">
        <v>285</v>
      </c>
      <c r="I950" t="s">
        <v>210</v>
      </c>
      <c r="J950" t="s">
        <v>329</v>
      </c>
      <c r="K950" t="s">
        <v>330</v>
      </c>
      <c r="L950">
        <v>19120</v>
      </c>
      <c r="M950" t="s">
        <v>331</v>
      </c>
      <c r="N950" t="s">
        <v>1105</v>
      </c>
      <c r="O950" t="s">
        <v>215</v>
      </c>
      <c r="P950" t="s">
        <v>248</v>
      </c>
      <c r="Q950" t="s">
        <v>1106</v>
      </c>
      <c r="R950" s="13">
        <v>1007.232</v>
      </c>
      <c r="S950">
        <v>6</v>
      </c>
      <c r="T950" s="14">
        <v>0.2</v>
      </c>
      <c r="U950" s="13">
        <v>75.542400000000001</v>
      </c>
      <c r="V950">
        <f t="shared" si="196"/>
        <v>2017</v>
      </c>
      <c r="W950" t="str">
        <f t="shared" si="197"/>
        <v>Nov</v>
      </c>
      <c r="X950" t="str">
        <f t="shared" si="198"/>
        <v>Q4</v>
      </c>
      <c r="Y950" t="str">
        <f t="shared" si="199"/>
        <v>Tue</v>
      </c>
      <c r="Z950" s="16">
        <f t="shared" si="200"/>
        <v>4</v>
      </c>
      <c r="AA950" s="13">
        <f t="shared" si="201"/>
        <v>167.87199999999999</v>
      </c>
      <c r="AB950" s="14">
        <f t="shared" si="202"/>
        <v>7.4999999999999997E-2</v>
      </c>
      <c r="AC950" t="str">
        <f t="shared" si="203"/>
        <v>Low (1-20%)</v>
      </c>
      <c r="AD950" t="str">
        <f t="shared" si="204"/>
        <v>Premium ($500+)</v>
      </c>
      <c r="AE950" t="str">
        <f t="shared" si="205"/>
        <v>Large (6+ units)</v>
      </c>
      <c r="AF950" t="str">
        <f t="shared" si="206"/>
        <v>Profitable</v>
      </c>
      <c r="AG950" t="str">
        <f t="shared" si="207"/>
        <v>Low Margin</v>
      </c>
      <c r="AH950" t="str">
        <f t="shared" si="208"/>
        <v>Repeat Customer</v>
      </c>
      <c r="AI950" t="str">
        <f t="shared" si="209"/>
        <v>Standard (3-5 days)</v>
      </c>
    </row>
    <row r="951" spans="1:35" ht="15" customHeight="1" x14ac:dyDescent="0.3">
      <c r="A951">
        <v>950</v>
      </c>
      <c r="B951" t="s">
        <v>3067</v>
      </c>
      <c r="C951" s="12">
        <v>43067</v>
      </c>
      <c r="D951" s="12">
        <v>43071</v>
      </c>
      <c r="E951" t="s">
        <v>233</v>
      </c>
      <c r="F951" t="s">
        <v>1696</v>
      </c>
      <c r="G951" t="s">
        <v>1697</v>
      </c>
      <c r="H951" t="s">
        <v>285</v>
      </c>
      <c r="I951" t="s">
        <v>210</v>
      </c>
      <c r="J951" t="s">
        <v>329</v>
      </c>
      <c r="K951" t="s">
        <v>330</v>
      </c>
      <c r="L951">
        <v>19120</v>
      </c>
      <c r="M951" t="s">
        <v>331</v>
      </c>
      <c r="N951" t="s">
        <v>3070</v>
      </c>
      <c r="O951" t="s">
        <v>215</v>
      </c>
      <c r="P951" t="s">
        <v>239</v>
      </c>
      <c r="Q951" t="s">
        <v>3071</v>
      </c>
      <c r="R951" s="13">
        <v>2065.3200000000002</v>
      </c>
      <c r="S951">
        <v>12</v>
      </c>
      <c r="T951" s="14">
        <v>0.4</v>
      </c>
      <c r="U951" s="13">
        <v>-619.596</v>
      </c>
      <c r="V951">
        <f t="shared" si="196"/>
        <v>2017</v>
      </c>
      <c r="W951" t="str">
        <f t="shared" si="197"/>
        <v>Nov</v>
      </c>
      <c r="X951" t="str">
        <f t="shared" si="198"/>
        <v>Q4</v>
      </c>
      <c r="Y951" t="str">
        <f t="shared" si="199"/>
        <v>Tue</v>
      </c>
      <c r="Z951" s="16">
        <f t="shared" si="200"/>
        <v>4</v>
      </c>
      <c r="AA951" s="13">
        <f t="shared" si="201"/>
        <v>172.11</v>
      </c>
      <c r="AB951" s="14">
        <f t="shared" si="202"/>
        <v>-0.3</v>
      </c>
      <c r="AC951" t="str">
        <f t="shared" si="203"/>
        <v>Medium (21-40%)</v>
      </c>
      <c r="AD951" t="str">
        <f t="shared" si="204"/>
        <v>Premium ($500+)</v>
      </c>
      <c r="AE951" t="str">
        <f t="shared" si="205"/>
        <v>Large (6+ units)</v>
      </c>
      <c r="AF951" t="str">
        <f t="shared" si="206"/>
        <v>Loss-Making</v>
      </c>
      <c r="AG951" t="str">
        <f t="shared" si="207"/>
        <v>Underperforming</v>
      </c>
      <c r="AH951" t="str">
        <f t="shared" si="208"/>
        <v>Repeat Customer</v>
      </c>
      <c r="AI951" t="str">
        <f t="shared" si="209"/>
        <v>Standard (3-5 days)</v>
      </c>
    </row>
    <row r="952" spans="1:35" ht="15" customHeight="1" x14ac:dyDescent="0.3">
      <c r="A952">
        <v>951</v>
      </c>
      <c r="B952" t="s">
        <v>3067</v>
      </c>
      <c r="C952" s="12">
        <v>43067</v>
      </c>
      <c r="D952" s="12">
        <v>43071</v>
      </c>
      <c r="E952" t="s">
        <v>233</v>
      </c>
      <c r="F952" t="s">
        <v>1696</v>
      </c>
      <c r="G952" t="s">
        <v>1697</v>
      </c>
      <c r="H952" t="s">
        <v>285</v>
      </c>
      <c r="I952" t="s">
        <v>210</v>
      </c>
      <c r="J952" t="s">
        <v>329</v>
      </c>
      <c r="K952" t="s">
        <v>330</v>
      </c>
      <c r="L952">
        <v>19120</v>
      </c>
      <c r="M952" t="s">
        <v>331</v>
      </c>
      <c r="N952" t="s">
        <v>3072</v>
      </c>
      <c r="O952" t="s">
        <v>229</v>
      </c>
      <c r="P952" t="s">
        <v>273</v>
      </c>
      <c r="Q952" t="s">
        <v>3073</v>
      </c>
      <c r="R952" s="13">
        <v>15.552</v>
      </c>
      <c r="S952">
        <v>3</v>
      </c>
      <c r="T952" s="14">
        <v>0.2</v>
      </c>
      <c r="U952" s="13">
        <v>5.4432</v>
      </c>
      <c r="V952">
        <f t="shared" si="196"/>
        <v>2017</v>
      </c>
      <c r="W952" t="str">
        <f t="shared" si="197"/>
        <v>Nov</v>
      </c>
      <c r="X952" t="str">
        <f t="shared" si="198"/>
        <v>Q4</v>
      </c>
      <c r="Y952" t="str">
        <f t="shared" si="199"/>
        <v>Tue</v>
      </c>
      <c r="Z952" s="16">
        <f t="shared" si="200"/>
        <v>4</v>
      </c>
      <c r="AA952" s="13">
        <f t="shared" si="201"/>
        <v>5.1840000000000002</v>
      </c>
      <c r="AB952" s="14">
        <f t="shared" si="202"/>
        <v>0.35000000000000003</v>
      </c>
      <c r="AC952" t="str">
        <f t="shared" si="203"/>
        <v>Low (1-20%)</v>
      </c>
      <c r="AD952" t="str">
        <f t="shared" si="204"/>
        <v>Low (&lt;$50)</v>
      </c>
      <c r="AE952" t="str">
        <f t="shared" si="205"/>
        <v>Medium (3-5 units)</v>
      </c>
      <c r="AF952" t="str">
        <f t="shared" si="206"/>
        <v>Profitable</v>
      </c>
      <c r="AG952" t="str">
        <f t="shared" si="207"/>
        <v>High Margin</v>
      </c>
      <c r="AH952" t="str">
        <f t="shared" si="208"/>
        <v>Repeat Customer</v>
      </c>
      <c r="AI952" t="str">
        <f t="shared" si="209"/>
        <v>Standard (3-5 days)</v>
      </c>
    </row>
    <row r="953" spans="1:35" ht="15" customHeight="1" x14ac:dyDescent="0.3">
      <c r="A953">
        <v>952</v>
      </c>
      <c r="B953" t="s">
        <v>3067</v>
      </c>
      <c r="C953" s="12">
        <v>43067</v>
      </c>
      <c r="D953" s="12">
        <v>43071</v>
      </c>
      <c r="E953" t="s">
        <v>233</v>
      </c>
      <c r="F953" t="s">
        <v>1696</v>
      </c>
      <c r="G953" t="s">
        <v>1697</v>
      </c>
      <c r="H953" t="s">
        <v>285</v>
      </c>
      <c r="I953" t="s">
        <v>210</v>
      </c>
      <c r="J953" t="s">
        <v>329</v>
      </c>
      <c r="K953" t="s">
        <v>330</v>
      </c>
      <c r="L953">
        <v>19120</v>
      </c>
      <c r="M953" t="s">
        <v>331</v>
      </c>
      <c r="N953" t="s">
        <v>1098</v>
      </c>
      <c r="O953" t="s">
        <v>229</v>
      </c>
      <c r="P953" t="s">
        <v>273</v>
      </c>
      <c r="Q953" t="s">
        <v>1099</v>
      </c>
      <c r="R953" s="13">
        <v>25.344000000000001</v>
      </c>
      <c r="S953">
        <v>6</v>
      </c>
      <c r="T953" s="14">
        <v>0.2</v>
      </c>
      <c r="U953" s="13">
        <v>7.92</v>
      </c>
      <c r="V953">
        <f t="shared" si="196"/>
        <v>2017</v>
      </c>
      <c r="W953" t="str">
        <f t="shared" si="197"/>
        <v>Nov</v>
      </c>
      <c r="X953" t="str">
        <f t="shared" si="198"/>
        <v>Q4</v>
      </c>
      <c r="Y953" t="str">
        <f t="shared" si="199"/>
        <v>Tue</v>
      </c>
      <c r="Z953" s="16">
        <f t="shared" si="200"/>
        <v>4</v>
      </c>
      <c r="AA953" s="13">
        <f t="shared" si="201"/>
        <v>4.2240000000000002</v>
      </c>
      <c r="AB953" s="14">
        <f t="shared" si="202"/>
        <v>0.3125</v>
      </c>
      <c r="AC953" t="str">
        <f t="shared" si="203"/>
        <v>Low (1-20%)</v>
      </c>
      <c r="AD953" t="str">
        <f t="shared" si="204"/>
        <v>Low (&lt;$50)</v>
      </c>
      <c r="AE953" t="str">
        <f t="shared" si="205"/>
        <v>Large (6+ units)</v>
      </c>
      <c r="AF953" t="str">
        <f t="shared" si="206"/>
        <v>Profitable</v>
      </c>
      <c r="AG953" t="str">
        <f t="shared" si="207"/>
        <v>High Margin</v>
      </c>
      <c r="AH953" t="str">
        <f t="shared" si="208"/>
        <v>Repeat Customer</v>
      </c>
      <c r="AI953" t="str">
        <f t="shared" si="209"/>
        <v>Standard (3-5 days)</v>
      </c>
    </row>
    <row r="954" spans="1:35" ht="15" customHeight="1" x14ac:dyDescent="0.3">
      <c r="A954">
        <v>953</v>
      </c>
      <c r="B954" t="s">
        <v>3074</v>
      </c>
      <c r="C954" s="12">
        <v>42828</v>
      </c>
      <c r="D954" s="12">
        <v>42832</v>
      </c>
      <c r="E954" t="s">
        <v>233</v>
      </c>
      <c r="F954" t="s">
        <v>3075</v>
      </c>
      <c r="G954" t="s">
        <v>3076</v>
      </c>
      <c r="H954" t="s">
        <v>209</v>
      </c>
      <c r="I954" t="s">
        <v>210</v>
      </c>
      <c r="J954" t="s">
        <v>329</v>
      </c>
      <c r="K954" t="s">
        <v>330</v>
      </c>
      <c r="L954">
        <v>19143</v>
      </c>
      <c r="M954" t="s">
        <v>331</v>
      </c>
      <c r="N954" t="s">
        <v>3077</v>
      </c>
      <c r="O954" t="s">
        <v>215</v>
      </c>
      <c r="P954" t="s">
        <v>248</v>
      </c>
      <c r="Q954" t="s">
        <v>1108</v>
      </c>
      <c r="R954" s="13">
        <v>25.472000000000001</v>
      </c>
      <c r="S954">
        <v>4</v>
      </c>
      <c r="T954" s="14">
        <v>0.2</v>
      </c>
      <c r="U954" s="13">
        <v>7.6416000000000004</v>
      </c>
      <c r="V954">
        <f t="shared" si="196"/>
        <v>2017</v>
      </c>
      <c r="W954" t="str">
        <f t="shared" si="197"/>
        <v>Apr</v>
      </c>
      <c r="X954" t="str">
        <f t="shared" si="198"/>
        <v>Q2</v>
      </c>
      <c r="Y954" t="str">
        <f t="shared" si="199"/>
        <v>Mon</v>
      </c>
      <c r="Z954" s="16">
        <f t="shared" si="200"/>
        <v>4</v>
      </c>
      <c r="AA954" s="13">
        <f t="shared" si="201"/>
        <v>6.3680000000000003</v>
      </c>
      <c r="AB954" s="14">
        <f t="shared" si="202"/>
        <v>0.3</v>
      </c>
      <c r="AC954" t="str">
        <f t="shared" si="203"/>
        <v>Low (1-20%)</v>
      </c>
      <c r="AD954" t="str">
        <f t="shared" si="204"/>
        <v>Low (&lt;$50)</v>
      </c>
      <c r="AE954" t="str">
        <f t="shared" si="205"/>
        <v>Medium (3-5 units)</v>
      </c>
      <c r="AF954" t="str">
        <f t="shared" si="206"/>
        <v>Profitable</v>
      </c>
      <c r="AG954" t="str">
        <f t="shared" si="207"/>
        <v>High Margin</v>
      </c>
      <c r="AH954" t="str">
        <f t="shared" si="208"/>
        <v>Single Purchase</v>
      </c>
      <c r="AI954" t="str">
        <f t="shared" si="209"/>
        <v>Standard (3-5 days)</v>
      </c>
    </row>
    <row r="955" spans="1:35" ht="15" customHeight="1" x14ac:dyDescent="0.3">
      <c r="A955">
        <v>954</v>
      </c>
      <c r="B955" t="s">
        <v>3078</v>
      </c>
      <c r="C955" s="12">
        <v>43097</v>
      </c>
      <c r="D955" s="12">
        <v>43101</v>
      </c>
      <c r="E955" t="s">
        <v>233</v>
      </c>
      <c r="F955" t="s">
        <v>3079</v>
      </c>
      <c r="G955" t="s">
        <v>3080</v>
      </c>
      <c r="H955" t="s">
        <v>209</v>
      </c>
      <c r="I955" t="s">
        <v>210</v>
      </c>
      <c r="J955" t="s">
        <v>3081</v>
      </c>
      <c r="K955" t="s">
        <v>287</v>
      </c>
      <c r="L955">
        <v>78664</v>
      </c>
      <c r="M955" t="s">
        <v>288</v>
      </c>
      <c r="N955" t="s">
        <v>1060</v>
      </c>
      <c r="O955" t="s">
        <v>229</v>
      </c>
      <c r="P955" t="s">
        <v>251</v>
      </c>
      <c r="Q955" t="s">
        <v>1061</v>
      </c>
      <c r="R955" s="13">
        <v>27.167999999999999</v>
      </c>
      <c r="S955">
        <v>2</v>
      </c>
      <c r="T955" s="14">
        <v>0.2</v>
      </c>
      <c r="U955" s="13">
        <v>2.7168000000000001</v>
      </c>
      <c r="V955">
        <f t="shared" si="196"/>
        <v>2017</v>
      </c>
      <c r="W955" t="str">
        <f t="shared" si="197"/>
        <v>Dec</v>
      </c>
      <c r="X955" t="str">
        <f t="shared" si="198"/>
        <v>Q4</v>
      </c>
      <c r="Y955" t="str">
        <f t="shared" si="199"/>
        <v>Thu</v>
      </c>
      <c r="Z955" s="16">
        <f t="shared" si="200"/>
        <v>4</v>
      </c>
      <c r="AA955" s="13">
        <f t="shared" si="201"/>
        <v>13.584</v>
      </c>
      <c r="AB955" s="14">
        <f t="shared" si="202"/>
        <v>0.1</v>
      </c>
      <c r="AC955" t="str">
        <f t="shared" si="203"/>
        <v>Low (1-20%)</v>
      </c>
      <c r="AD955" t="str">
        <f t="shared" si="204"/>
        <v>Low (&lt;$50)</v>
      </c>
      <c r="AE955" t="str">
        <f t="shared" si="205"/>
        <v>Small (1-2 units)</v>
      </c>
      <c r="AF955" t="str">
        <f t="shared" si="206"/>
        <v>Profitable</v>
      </c>
      <c r="AG955" t="str">
        <f t="shared" si="207"/>
        <v>Healthy Margin</v>
      </c>
      <c r="AH955" t="str">
        <f t="shared" si="208"/>
        <v>Repeat Customer</v>
      </c>
      <c r="AI955" t="str">
        <f t="shared" si="209"/>
        <v>Standard (3-5 days)</v>
      </c>
    </row>
    <row r="956" spans="1:35" ht="15" customHeight="1" x14ac:dyDescent="0.3">
      <c r="A956">
        <v>955</v>
      </c>
      <c r="B956" t="s">
        <v>3078</v>
      </c>
      <c r="C956" s="12">
        <v>43097</v>
      </c>
      <c r="D956" s="12">
        <v>43101</v>
      </c>
      <c r="E956" t="s">
        <v>233</v>
      </c>
      <c r="F956" t="s">
        <v>3079</v>
      </c>
      <c r="G956" t="s">
        <v>3080</v>
      </c>
      <c r="H956" t="s">
        <v>209</v>
      </c>
      <c r="I956" t="s">
        <v>210</v>
      </c>
      <c r="J956" t="s">
        <v>3081</v>
      </c>
      <c r="K956" t="s">
        <v>287</v>
      </c>
      <c r="L956">
        <v>78664</v>
      </c>
      <c r="M956" t="s">
        <v>288</v>
      </c>
      <c r="N956" t="s">
        <v>1262</v>
      </c>
      <c r="O956" t="s">
        <v>215</v>
      </c>
      <c r="P956" t="s">
        <v>216</v>
      </c>
      <c r="Q956" t="s">
        <v>1263</v>
      </c>
      <c r="R956" s="13">
        <v>78.852800000000002</v>
      </c>
      <c r="S956">
        <v>2</v>
      </c>
      <c r="T956" s="14">
        <v>0.32</v>
      </c>
      <c r="U956" s="13">
        <v>-11.596</v>
      </c>
      <c r="V956">
        <f t="shared" si="196"/>
        <v>2017</v>
      </c>
      <c r="W956" t="str">
        <f t="shared" si="197"/>
        <v>Dec</v>
      </c>
      <c r="X956" t="str">
        <f t="shared" si="198"/>
        <v>Q4</v>
      </c>
      <c r="Y956" t="str">
        <f t="shared" si="199"/>
        <v>Thu</v>
      </c>
      <c r="Z956" s="16">
        <f t="shared" si="200"/>
        <v>4</v>
      </c>
      <c r="AA956" s="13">
        <f t="shared" si="201"/>
        <v>39.426400000000001</v>
      </c>
      <c r="AB956" s="14">
        <f t="shared" si="202"/>
        <v>-0.14705882352941177</v>
      </c>
      <c r="AC956" t="str">
        <f t="shared" si="203"/>
        <v>Medium (21-40%)</v>
      </c>
      <c r="AD956" t="str">
        <f t="shared" si="204"/>
        <v>Medium ($50-$200)</v>
      </c>
      <c r="AE956" t="str">
        <f t="shared" si="205"/>
        <v>Small (1-2 units)</v>
      </c>
      <c r="AF956" t="str">
        <f t="shared" si="206"/>
        <v>Loss-Making</v>
      </c>
      <c r="AG956" t="str">
        <f t="shared" si="207"/>
        <v>Underperforming</v>
      </c>
      <c r="AH956" t="str">
        <f t="shared" si="208"/>
        <v>Repeat Customer</v>
      </c>
      <c r="AI956" t="str">
        <f t="shared" si="209"/>
        <v>Standard (3-5 days)</v>
      </c>
    </row>
    <row r="957" spans="1:35" ht="15" customHeight="1" x14ac:dyDescent="0.3">
      <c r="A957">
        <v>956</v>
      </c>
      <c r="B957" t="s">
        <v>3082</v>
      </c>
      <c r="C957" s="12">
        <v>43069</v>
      </c>
      <c r="D957" s="12">
        <v>43073</v>
      </c>
      <c r="E957" t="s">
        <v>233</v>
      </c>
      <c r="F957" t="s">
        <v>3083</v>
      </c>
      <c r="G957" t="s">
        <v>3084</v>
      </c>
      <c r="H957" t="s">
        <v>209</v>
      </c>
      <c r="I957" t="s">
        <v>210</v>
      </c>
      <c r="J957" t="s">
        <v>511</v>
      </c>
      <c r="K957" t="s">
        <v>1675</v>
      </c>
      <c r="L957">
        <v>39212</v>
      </c>
      <c r="M957" t="s">
        <v>213</v>
      </c>
      <c r="N957" t="s">
        <v>460</v>
      </c>
      <c r="O957" t="s">
        <v>229</v>
      </c>
      <c r="P957" t="s">
        <v>242</v>
      </c>
      <c r="Q957" t="s">
        <v>461</v>
      </c>
      <c r="R957" s="13">
        <v>173.8</v>
      </c>
      <c r="S957">
        <v>5</v>
      </c>
      <c r="T957" s="14">
        <v>0</v>
      </c>
      <c r="U957" s="13">
        <v>43.45</v>
      </c>
      <c r="V957">
        <f t="shared" si="196"/>
        <v>2017</v>
      </c>
      <c r="W957" t="str">
        <f t="shared" si="197"/>
        <v>Nov</v>
      </c>
      <c r="X957" t="str">
        <f t="shared" si="198"/>
        <v>Q4</v>
      </c>
      <c r="Y957" t="str">
        <f t="shared" si="199"/>
        <v>Thu</v>
      </c>
      <c r="Z957" s="16">
        <f t="shared" si="200"/>
        <v>4</v>
      </c>
      <c r="AA957" s="13">
        <f t="shared" si="201"/>
        <v>34.760000000000005</v>
      </c>
      <c r="AB957" s="14">
        <f t="shared" si="202"/>
        <v>0.25</v>
      </c>
      <c r="AC957" t="str">
        <f t="shared" si="203"/>
        <v>No Discount</v>
      </c>
      <c r="AD957" t="str">
        <f t="shared" si="204"/>
        <v>Medium ($50-$200)</v>
      </c>
      <c r="AE957" t="str">
        <f t="shared" si="205"/>
        <v>Medium (3-5 units)</v>
      </c>
      <c r="AF957" t="str">
        <f t="shared" si="206"/>
        <v>Profitable</v>
      </c>
      <c r="AG957" t="str">
        <f t="shared" si="207"/>
        <v>High Margin</v>
      </c>
      <c r="AH957" t="str">
        <f t="shared" si="208"/>
        <v>Single Purchase</v>
      </c>
      <c r="AI957" t="str">
        <f t="shared" si="209"/>
        <v>Standard (3-5 days)</v>
      </c>
    </row>
    <row r="958" spans="1:35" ht="15" customHeight="1" x14ac:dyDescent="0.3">
      <c r="A958">
        <v>957</v>
      </c>
      <c r="B958" t="s">
        <v>3085</v>
      </c>
      <c r="C958" s="12">
        <v>42870</v>
      </c>
      <c r="D958" s="12">
        <v>42873</v>
      </c>
      <c r="E958" t="s">
        <v>206</v>
      </c>
      <c r="F958" t="s">
        <v>3086</v>
      </c>
      <c r="G958" t="s">
        <v>3087</v>
      </c>
      <c r="H958" t="s">
        <v>209</v>
      </c>
      <c r="I958" t="s">
        <v>210</v>
      </c>
      <c r="J958" t="s">
        <v>727</v>
      </c>
      <c r="K958" t="s">
        <v>493</v>
      </c>
      <c r="L958">
        <v>85023</v>
      </c>
      <c r="M958" t="s">
        <v>227</v>
      </c>
      <c r="N958" t="s">
        <v>2859</v>
      </c>
      <c r="O958" t="s">
        <v>254</v>
      </c>
      <c r="P958" t="s">
        <v>255</v>
      </c>
      <c r="Q958" t="s">
        <v>2860</v>
      </c>
      <c r="R958" s="13">
        <v>29.591999999999999</v>
      </c>
      <c r="S958">
        <v>1</v>
      </c>
      <c r="T958" s="14">
        <v>0.2</v>
      </c>
      <c r="U958" s="13">
        <v>2.5893000000000002</v>
      </c>
      <c r="V958">
        <f t="shared" si="196"/>
        <v>2017</v>
      </c>
      <c r="W958" t="str">
        <f t="shared" si="197"/>
        <v>May</v>
      </c>
      <c r="X958" t="str">
        <f t="shared" si="198"/>
        <v>Q2</v>
      </c>
      <c r="Y958" t="str">
        <f t="shared" si="199"/>
        <v>Mon</v>
      </c>
      <c r="Z958" s="16">
        <f t="shared" si="200"/>
        <v>3</v>
      </c>
      <c r="AA958" s="13">
        <f t="shared" si="201"/>
        <v>29.591999999999999</v>
      </c>
      <c r="AB958" s="14">
        <f t="shared" si="202"/>
        <v>8.7500000000000008E-2</v>
      </c>
      <c r="AC958" t="str">
        <f t="shared" si="203"/>
        <v>Low (1-20%)</v>
      </c>
      <c r="AD958" t="str">
        <f t="shared" si="204"/>
        <v>Low (&lt;$50)</v>
      </c>
      <c r="AE958" t="str">
        <f t="shared" si="205"/>
        <v>Small (1-2 units)</v>
      </c>
      <c r="AF958" t="str">
        <f t="shared" si="206"/>
        <v>Profitable</v>
      </c>
      <c r="AG958" t="str">
        <f t="shared" si="207"/>
        <v>Low Margin</v>
      </c>
      <c r="AH958" t="str">
        <f t="shared" si="208"/>
        <v>Repeat Customer</v>
      </c>
      <c r="AI958" t="str">
        <f t="shared" si="209"/>
        <v>Standard (3-5 days)</v>
      </c>
    </row>
    <row r="959" spans="1:35" ht="15" customHeight="1" x14ac:dyDescent="0.3">
      <c r="A959">
        <v>958</v>
      </c>
      <c r="B959" t="s">
        <v>3085</v>
      </c>
      <c r="C959" s="12">
        <v>42870</v>
      </c>
      <c r="D959" s="12">
        <v>42873</v>
      </c>
      <c r="E959" t="s">
        <v>206</v>
      </c>
      <c r="F959" t="s">
        <v>3086</v>
      </c>
      <c r="G959" t="s">
        <v>3087</v>
      </c>
      <c r="H959" t="s">
        <v>209</v>
      </c>
      <c r="I959" t="s">
        <v>210</v>
      </c>
      <c r="J959" t="s">
        <v>727</v>
      </c>
      <c r="K959" t="s">
        <v>493</v>
      </c>
      <c r="L959">
        <v>85023</v>
      </c>
      <c r="M959" t="s">
        <v>227</v>
      </c>
      <c r="N959" t="s">
        <v>3088</v>
      </c>
      <c r="O959" t="s">
        <v>229</v>
      </c>
      <c r="P959" t="s">
        <v>258</v>
      </c>
      <c r="Q959" t="s">
        <v>3089</v>
      </c>
      <c r="R959" s="13">
        <v>4.7519999999999998</v>
      </c>
      <c r="S959">
        <v>2</v>
      </c>
      <c r="T959" s="14">
        <v>0.7</v>
      </c>
      <c r="U959" s="13">
        <v>-3.1680000000000001</v>
      </c>
      <c r="V959">
        <f t="shared" si="196"/>
        <v>2017</v>
      </c>
      <c r="W959" t="str">
        <f t="shared" si="197"/>
        <v>May</v>
      </c>
      <c r="X959" t="str">
        <f t="shared" si="198"/>
        <v>Q2</v>
      </c>
      <c r="Y959" t="str">
        <f t="shared" si="199"/>
        <v>Mon</v>
      </c>
      <c r="Z959" s="16">
        <f t="shared" si="200"/>
        <v>3</v>
      </c>
      <c r="AA959" s="13">
        <f t="shared" si="201"/>
        <v>2.3759999999999999</v>
      </c>
      <c r="AB959" s="14">
        <f t="shared" si="202"/>
        <v>-0.66666666666666674</v>
      </c>
      <c r="AC959" t="str">
        <f t="shared" si="203"/>
        <v>High (40%+)</v>
      </c>
      <c r="AD959" t="str">
        <f t="shared" si="204"/>
        <v>Low (&lt;$50)</v>
      </c>
      <c r="AE959" t="str">
        <f t="shared" si="205"/>
        <v>Small (1-2 units)</v>
      </c>
      <c r="AF959" t="str">
        <f t="shared" si="206"/>
        <v>Loss-Making</v>
      </c>
      <c r="AG959" t="str">
        <f t="shared" si="207"/>
        <v>Underperforming</v>
      </c>
      <c r="AH959" t="str">
        <f t="shared" si="208"/>
        <v>Repeat Customer</v>
      </c>
      <c r="AI959" t="str">
        <f t="shared" si="209"/>
        <v>Standard (3-5 days)</v>
      </c>
    </row>
    <row r="960" spans="1:35" ht="15" customHeight="1" x14ac:dyDescent="0.3">
      <c r="A960">
        <v>959</v>
      </c>
      <c r="B960" t="s">
        <v>3085</v>
      </c>
      <c r="C960" s="12">
        <v>42870</v>
      </c>
      <c r="D960" s="12">
        <v>42873</v>
      </c>
      <c r="E960" t="s">
        <v>206</v>
      </c>
      <c r="F960" t="s">
        <v>3086</v>
      </c>
      <c r="G960" t="s">
        <v>3087</v>
      </c>
      <c r="H960" t="s">
        <v>209</v>
      </c>
      <c r="I960" t="s">
        <v>210</v>
      </c>
      <c r="J960" t="s">
        <v>727</v>
      </c>
      <c r="K960" t="s">
        <v>493</v>
      </c>
      <c r="L960">
        <v>85023</v>
      </c>
      <c r="M960" t="s">
        <v>227</v>
      </c>
      <c r="N960" t="s">
        <v>3090</v>
      </c>
      <c r="O960" t="s">
        <v>229</v>
      </c>
      <c r="P960" t="s">
        <v>273</v>
      </c>
      <c r="Q960" t="s">
        <v>3091</v>
      </c>
      <c r="R960" s="13">
        <v>15.552</v>
      </c>
      <c r="S960">
        <v>3</v>
      </c>
      <c r="T960" s="14">
        <v>0.2</v>
      </c>
      <c r="U960" s="13">
        <v>5.6375999999999999</v>
      </c>
      <c r="V960">
        <f t="shared" si="196"/>
        <v>2017</v>
      </c>
      <c r="W960" t="str">
        <f t="shared" si="197"/>
        <v>May</v>
      </c>
      <c r="X960" t="str">
        <f t="shared" si="198"/>
        <v>Q2</v>
      </c>
      <c r="Y960" t="str">
        <f t="shared" si="199"/>
        <v>Mon</v>
      </c>
      <c r="Z960" s="16">
        <f t="shared" si="200"/>
        <v>3</v>
      </c>
      <c r="AA960" s="13">
        <f t="shared" si="201"/>
        <v>5.1840000000000002</v>
      </c>
      <c r="AB960" s="14">
        <f t="shared" si="202"/>
        <v>0.36249999999999999</v>
      </c>
      <c r="AC960" t="str">
        <f t="shared" si="203"/>
        <v>Low (1-20%)</v>
      </c>
      <c r="AD960" t="str">
        <f t="shared" si="204"/>
        <v>Low (&lt;$50)</v>
      </c>
      <c r="AE960" t="str">
        <f t="shared" si="205"/>
        <v>Medium (3-5 units)</v>
      </c>
      <c r="AF960" t="str">
        <f t="shared" si="206"/>
        <v>Profitable</v>
      </c>
      <c r="AG960" t="str">
        <f t="shared" si="207"/>
        <v>High Margin</v>
      </c>
      <c r="AH960" t="str">
        <f t="shared" si="208"/>
        <v>Repeat Customer</v>
      </c>
      <c r="AI960" t="str">
        <f t="shared" si="209"/>
        <v>Standard (3-5 days)</v>
      </c>
    </row>
    <row r="961" spans="1:35" ht="15" customHeight="1" x14ac:dyDescent="0.3">
      <c r="A961">
        <v>960</v>
      </c>
      <c r="B961" t="s">
        <v>3092</v>
      </c>
      <c r="C961" s="12">
        <v>42269</v>
      </c>
      <c r="D961" s="12">
        <v>42269</v>
      </c>
      <c r="E961" t="s">
        <v>1476</v>
      </c>
      <c r="F961" t="s">
        <v>3093</v>
      </c>
      <c r="G961" t="s">
        <v>3094</v>
      </c>
      <c r="H961" t="s">
        <v>209</v>
      </c>
      <c r="I961" t="s">
        <v>210</v>
      </c>
      <c r="J961" t="s">
        <v>2531</v>
      </c>
      <c r="K961" t="s">
        <v>226</v>
      </c>
      <c r="L961">
        <v>92054</v>
      </c>
      <c r="M961" t="s">
        <v>227</v>
      </c>
      <c r="N961" t="s">
        <v>3095</v>
      </c>
      <c r="O961" t="s">
        <v>215</v>
      </c>
      <c r="P961" t="s">
        <v>248</v>
      </c>
      <c r="Q961" t="s">
        <v>3096</v>
      </c>
      <c r="R961" s="13">
        <v>204.6</v>
      </c>
      <c r="S961">
        <v>2</v>
      </c>
      <c r="T961" s="14">
        <v>0</v>
      </c>
      <c r="U961" s="13">
        <v>53.195999999999998</v>
      </c>
      <c r="V961">
        <f t="shared" si="196"/>
        <v>2015</v>
      </c>
      <c r="W961" t="str">
        <f t="shared" si="197"/>
        <v>Sep</v>
      </c>
      <c r="X961" t="str">
        <f t="shared" si="198"/>
        <v>Q3</v>
      </c>
      <c r="Y961" t="str">
        <f t="shared" si="199"/>
        <v>Tue</v>
      </c>
      <c r="Z961" s="16">
        <f t="shared" si="200"/>
        <v>0</v>
      </c>
      <c r="AA961" s="13">
        <f t="shared" si="201"/>
        <v>102.3</v>
      </c>
      <c r="AB961" s="14">
        <f t="shared" si="202"/>
        <v>0.26</v>
      </c>
      <c r="AC961" t="str">
        <f t="shared" si="203"/>
        <v>No Discount</v>
      </c>
      <c r="AD961" t="str">
        <f t="shared" si="204"/>
        <v>High ($200-$500)</v>
      </c>
      <c r="AE961" t="str">
        <f t="shared" si="205"/>
        <v>Small (1-2 units)</v>
      </c>
      <c r="AF961" t="str">
        <f t="shared" si="206"/>
        <v>Profitable</v>
      </c>
      <c r="AG961" t="str">
        <f t="shared" si="207"/>
        <v>High Margin</v>
      </c>
      <c r="AH961" t="str">
        <f t="shared" si="208"/>
        <v>Single Purchase</v>
      </c>
      <c r="AI961" t="str">
        <f t="shared" si="209"/>
        <v>Fast (&lt;=2 days)</v>
      </c>
    </row>
    <row r="962" spans="1:35" ht="15" customHeight="1" x14ac:dyDescent="0.3">
      <c r="A962">
        <v>961</v>
      </c>
      <c r="B962" t="s">
        <v>3097</v>
      </c>
      <c r="C962" s="12">
        <v>43053</v>
      </c>
      <c r="D962" s="12">
        <v>43058</v>
      </c>
      <c r="E962" t="s">
        <v>233</v>
      </c>
      <c r="F962" t="s">
        <v>3098</v>
      </c>
      <c r="G962" t="s">
        <v>3099</v>
      </c>
      <c r="H962" t="s">
        <v>224</v>
      </c>
      <c r="I962" t="s">
        <v>210</v>
      </c>
      <c r="J962" t="s">
        <v>310</v>
      </c>
      <c r="K962" t="s">
        <v>226</v>
      </c>
      <c r="L962">
        <v>94110</v>
      </c>
      <c r="M962" t="s">
        <v>227</v>
      </c>
      <c r="N962" t="s">
        <v>1128</v>
      </c>
      <c r="O962" t="s">
        <v>215</v>
      </c>
      <c r="P962" t="s">
        <v>219</v>
      </c>
      <c r="Q962" t="s">
        <v>1129</v>
      </c>
      <c r="R962" s="13">
        <v>321.56799999999998</v>
      </c>
      <c r="S962">
        <v>2</v>
      </c>
      <c r="T962" s="14">
        <v>0.2</v>
      </c>
      <c r="U962" s="13">
        <v>28.1372</v>
      </c>
      <c r="V962">
        <f t="shared" ref="V962:V1001" si="210">YEAR(C962)</f>
        <v>2017</v>
      </c>
      <c r="W962" t="str">
        <f t="shared" ref="W962:W1001" si="211">TEXT(C962,"mmm")</f>
        <v>Nov</v>
      </c>
      <c r="X962" t="str">
        <f t="shared" ref="X962:X1001" si="212">"Q"&amp;ROUNDUP(MONTH(C962)/3,0)</f>
        <v>Q4</v>
      </c>
      <c r="Y962" t="str">
        <f t="shared" ref="Y962:Y1001" si="213">TEXT(C962,"ddd")</f>
        <v>Tue</v>
      </c>
      <c r="Z962" s="16">
        <f t="shared" ref="Z962:Z1001" si="214">D962-C962</f>
        <v>5</v>
      </c>
      <c r="AA962" s="13">
        <f t="shared" ref="AA962:AA1001" si="215">IFERROR(R962/S962,0)</f>
        <v>160.78399999999999</v>
      </c>
      <c r="AB962" s="14">
        <f t="shared" ref="AB962:AB1001" si="216">IFERROR(U962/R962,0)</f>
        <v>8.7500000000000008E-2</v>
      </c>
      <c r="AC962" t="str">
        <f t="shared" ref="AC962:AC1001" si="217">IF(T962=0,"No Discount",IF(T962&lt;=0.2,"Low (1-20%)",IF(T962&lt;=0.4,"Medium (21-40%)","High (40%+)")))</f>
        <v>Low (1-20%)</v>
      </c>
      <c r="AD962" t="str">
        <f t="shared" ref="AD962:AD1001" si="218">IF(R962&lt;50,"Low (&lt;$50)",IF(R962&lt;200,"Medium ($50-$200)",IF(R962&lt;500,"High ($200-$500)","Premium ($500+)")))</f>
        <v>High ($200-$500)</v>
      </c>
      <c r="AE962" t="str">
        <f t="shared" ref="AE962:AE1001" si="219">IF(S962&lt;=2,"Small (1-2 units)",IF(S962&lt;=5,"Medium (3-5 units)","Large (6+ units)"))</f>
        <v>Small (1-2 units)</v>
      </c>
      <c r="AF962" t="str">
        <f t="shared" ref="AF962:AF1001" si="220">IF(U962&lt;0,"Loss-Making","Profitable")</f>
        <v>Profitable</v>
      </c>
      <c r="AG962" t="str">
        <f t="shared" ref="AG962:AG1001" si="221">IF(AB962&lt;0,"Underperforming",IF(AB962&lt;0.1,"Low Margin",IF(AB962&lt;0.25,"Healthy Margin","High Margin")))</f>
        <v>Low Margin</v>
      </c>
      <c r="AH962" t="str">
        <f t="shared" ref="AH962:AH1001" si="222">IF(COUNTIF($F$2:$F$1001,F962)&gt;1,"Repeat Customer","Single Purchase")</f>
        <v>Single Purchase</v>
      </c>
      <c r="AI962" t="str">
        <f t="shared" ref="AI962:AI1001" si="223">IF(Z962&lt;=2,"Fast (&lt;=2 days)",IF(Z962&lt;=5,"Standard (3-5 days)","Slow (6+ days)"))</f>
        <v>Standard (3-5 days)</v>
      </c>
    </row>
    <row r="963" spans="1:35" ht="15" customHeight="1" x14ac:dyDescent="0.3">
      <c r="A963">
        <v>962</v>
      </c>
      <c r="B963" t="s">
        <v>3100</v>
      </c>
      <c r="C963" s="12">
        <v>42335</v>
      </c>
      <c r="D963" s="12">
        <v>42339</v>
      </c>
      <c r="E963" t="s">
        <v>233</v>
      </c>
      <c r="F963" t="s">
        <v>3101</v>
      </c>
      <c r="G963" t="s">
        <v>3102</v>
      </c>
      <c r="H963" t="s">
        <v>285</v>
      </c>
      <c r="I963" t="s">
        <v>210</v>
      </c>
      <c r="J963" t="s">
        <v>1894</v>
      </c>
      <c r="K963" t="s">
        <v>1895</v>
      </c>
      <c r="L963">
        <v>72701</v>
      </c>
      <c r="M963" t="s">
        <v>213</v>
      </c>
      <c r="N963" t="s">
        <v>3103</v>
      </c>
      <c r="O963" t="s">
        <v>229</v>
      </c>
      <c r="P963" t="s">
        <v>258</v>
      </c>
      <c r="Q963" t="s">
        <v>3104</v>
      </c>
      <c r="R963" s="13">
        <v>6.24</v>
      </c>
      <c r="S963">
        <v>2</v>
      </c>
      <c r="T963" s="14">
        <v>0</v>
      </c>
      <c r="U963" s="13">
        <v>3.0575999999999999</v>
      </c>
      <c r="V963">
        <f t="shared" si="210"/>
        <v>2015</v>
      </c>
      <c r="W963" t="str">
        <f t="shared" si="211"/>
        <v>Nov</v>
      </c>
      <c r="X963" t="str">
        <f t="shared" si="212"/>
        <v>Q4</v>
      </c>
      <c r="Y963" t="str">
        <f t="shared" si="213"/>
        <v>Fri</v>
      </c>
      <c r="Z963" s="16">
        <f t="shared" si="214"/>
        <v>4</v>
      </c>
      <c r="AA963" s="13">
        <f t="shared" si="215"/>
        <v>3.12</v>
      </c>
      <c r="AB963" s="14">
        <f t="shared" si="216"/>
        <v>0.48999999999999994</v>
      </c>
      <c r="AC963" t="str">
        <f t="shared" si="217"/>
        <v>No Discount</v>
      </c>
      <c r="AD963" t="str">
        <f t="shared" si="218"/>
        <v>Low (&lt;$50)</v>
      </c>
      <c r="AE963" t="str">
        <f t="shared" si="219"/>
        <v>Small (1-2 units)</v>
      </c>
      <c r="AF963" t="str">
        <f t="shared" si="220"/>
        <v>Profitable</v>
      </c>
      <c r="AG963" t="str">
        <f t="shared" si="221"/>
        <v>High Margin</v>
      </c>
      <c r="AH963" t="str">
        <f t="shared" si="222"/>
        <v>Single Purchase</v>
      </c>
      <c r="AI963" t="str">
        <f t="shared" si="223"/>
        <v>Standard (3-5 days)</v>
      </c>
    </row>
    <row r="964" spans="1:35" ht="15" customHeight="1" x14ac:dyDescent="0.3">
      <c r="A964">
        <v>963</v>
      </c>
      <c r="B964" t="s">
        <v>3105</v>
      </c>
      <c r="C964" s="12">
        <v>42614</v>
      </c>
      <c r="D964" s="12">
        <v>42617</v>
      </c>
      <c r="E964" t="s">
        <v>371</v>
      </c>
      <c r="F964" t="s">
        <v>664</v>
      </c>
      <c r="G964" t="s">
        <v>665</v>
      </c>
      <c r="H964" t="s">
        <v>224</v>
      </c>
      <c r="I964" t="s">
        <v>210</v>
      </c>
      <c r="J964" t="s">
        <v>310</v>
      </c>
      <c r="K964" t="s">
        <v>226</v>
      </c>
      <c r="L964">
        <v>94110</v>
      </c>
      <c r="M964" t="s">
        <v>227</v>
      </c>
      <c r="N964" t="s">
        <v>1990</v>
      </c>
      <c r="O964" t="s">
        <v>229</v>
      </c>
      <c r="P964" t="s">
        <v>356</v>
      </c>
      <c r="Q964" t="s">
        <v>1991</v>
      </c>
      <c r="R964" s="13">
        <v>21.88</v>
      </c>
      <c r="S964">
        <v>2</v>
      </c>
      <c r="T964" s="14">
        <v>0</v>
      </c>
      <c r="U964" s="13">
        <v>10.94</v>
      </c>
      <c r="V964">
        <f t="shared" si="210"/>
        <v>2016</v>
      </c>
      <c r="W964" t="str">
        <f t="shared" si="211"/>
        <v>Sep</v>
      </c>
      <c r="X964" t="str">
        <f t="shared" si="212"/>
        <v>Q3</v>
      </c>
      <c r="Y964" t="str">
        <f t="shared" si="213"/>
        <v>Thu</v>
      </c>
      <c r="Z964" s="16">
        <f t="shared" si="214"/>
        <v>3</v>
      </c>
      <c r="AA964" s="13">
        <f t="shared" si="215"/>
        <v>10.94</v>
      </c>
      <c r="AB964" s="14">
        <f t="shared" si="216"/>
        <v>0.5</v>
      </c>
      <c r="AC964" t="str">
        <f t="shared" si="217"/>
        <v>No Discount</v>
      </c>
      <c r="AD964" t="str">
        <f t="shared" si="218"/>
        <v>Low (&lt;$50)</v>
      </c>
      <c r="AE964" t="str">
        <f t="shared" si="219"/>
        <v>Small (1-2 units)</v>
      </c>
      <c r="AF964" t="str">
        <f t="shared" si="220"/>
        <v>Profitable</v>
      </c>
      <c r="AG964" t="str">
        <f t="shared" si="221"/>
        <v>High Margin</v>
      </c>
      <c r="AH964" t="str">
        <f t="shared" si="222"/>
        <v>Repeat Customer</v>
      </c>
      <c r="AI964" t="str">
        <f t="shared" si="223"/>
        <v>Standard (3-5 days)</v>
      </c>
    </row>
    <row r="965" spans="1:35" ht="15" customHeight="1" x14ac:dyDescent="0.3">
      <c r="A965">
        <v>964</v>
      </c>
      <c r="B965" t="s">
        <v>3106</v>
      </c>
      <c r="C965" s="12">
        <v>41904</v>
      </c>
      <c r="D965" s="12">
        <v>41906</v>
      </c>
      <c r="E965" t="s">
        <v>206</v>
      </c>
      <c r="F965" t="s">
        <v>2947</v>
      </c>
      <c r="G965" t="s">
        <v>2948</v>
      </c>
      <c r="H965" t="s">
        <v>209</v>
      </c>
      <c r="I965" t="s">
        <v>210</v>
      </c>
      <c r="J965" t="s">
        <v>3107</v>
      </c>
      <c r="K965" t="s">
        <v>237</v>
      </c>
      <c r="L965">
        <v>33433</v>
      </c>
      <c r="M965" t="s">
        <v>213</v>
      </c>
      <c r="N965" t="s">
        <v>3108</v>
      </c>
      <c r="O965" t="s">
        <v>229</v>
      </c>
      <c r="P965" t="s">
        <v>230</v>
      </c>
      <c r="Q965" t="s">
        <v>3109</v>
      </c>
      <c r="R965" s="13">
        <v>4.6079999999999997</v>
      </c>
      <c r="S965">
        <v>2</v>
      </c>
      <c r="T965" s="14">
        <v>0.2</v>
      </c>
      <c r="U965" s="13">
        <v>1.6704000000000001</v>
      </c>
      <c r="V965">
        <f t="shared" si="210"/>
        <v>2014</v>
      </c>
      <c r="W965" t="str">
        <f t="shared" si="211"/>
        <v>Sep</v>
      </c>
      <c r="X965" t="str">
        <f t="shared" si="212"/>
        <v>Q3</v>
      </c>
      <c r="Y965" t="str">
        <f t="shared" si="213"/>
        <v>Mon</v>
      </c>
      <c r="Z965" s="16">
        <f t="shared" si="214"/>
        <v>2</v>
      </c>
      <c r="AA965" s="13">
        <f t="shared" si="215"/>
        <v>2.3039999999999998</v>
      </c>
      <c r="AB965" s="14">
        <f t="shared" si="216"/>
        <v>0.36250000000000004</v>
      </c>
      <c r="AC965" t="str">
        <f t="shared" si="217"/>
        <v>Low (1-20%)</v>
      </c>
      <c r="AD965" t="str">
        <f t="shared" si="218"/>
        <v>Low (&lt;$50)</v>
      </c>
      <c r="AE965" t="str">
        <f t="shared" si="219"/>
        <v>Small (1-2 units)</v>
      </c>
      <c r="AF965" t="str">
        <f t="shared" si="220"/>
        <v>Profitable</v>
      </c>
      <c r="AG965" t="str">
        <f t="shared" si="221"/>
        <v>High Margin</v>
      </c>
      <c r="AH965" t="str">
        <f t="shared" si="222"/>
        <v>Repeat Customer</v>
      </c>
      <c r="AI965" t="str">
        <f t="shared" si="223"/>
        <v>Fast (&lt;=2 days)</v>
      </c>
    </row>
    <row r="966" spans="1:35" ht="15" customHeight="1" x14ac:dyDescent="0.3">
      <c r="A966">
        <v>965</v>
      </c>
      <c r="B966" t="s">
        <v>3110</v>
      </c>
      <c r="C966" s="12">
        <v>42834</v>
      </c>
      <c r="D966" s="12">
        <v>42836</v>
      </c>
      <c r="E966" t="s">
        <v>371</v>
      </c>
      <c r="F966" t="s">
        <v>3111</v>
      </c>
      <c r="G966" t="s">
        <v>3112</v>
      </c>
      <c r="H966" t="s">
        <v>285</v>
      </c>
      <c r="I966" t="s">
        <v>210</v>
      </c>
      <c r="J966" t="s">
        <v>449</v>
      </c>
      <c r="K966" t="s">
        <v>450</v>
      </c>
      <c r="L966">
        <v>10011</v>
      </c>
      <c r="M966" t="s">
        <v>331</v>
      </c>
      <c r="N966" t="s">
        <v>3113</v>
      </c>
      <c r="O966" t="s">
        <v>229</v>
      </c>
      <c r="P966" t="s">
        <v>230</v>
      </c>
      <c r="Q966" t="s">
        <v>3114</v>
      </c>
      <c r="R966" s="13">
        <v>9.82</v>
      </c>
      <c r="S966">
        <v>2</v>
      </c>
      <c r="T966" s="14">
        <v>0</v>
      </c>
      <c r="U966" s="13">
        <v>4.8117999999999999</v>
      </c>
      <c r="V966">
        <f t="shared" si="210"/>
        <v>2017</v>
      </c>
      <c r="W966" t="str">
        <f t="shared" si="211"/>
        <v>Apr</v>
      </c>
      <c r="X966" t="str">
        <f t="shared" si="212"/>
        <v>Q2</v>
      </c>
      <c r="Y966" t="str">
        <f t="shared" si="213"/>
        <v>Sun</v>
      </c>
      <c r="Z966" s="16">
        <f t="shared" si="214"/>
        <v>2</v>
      </c>
      <c r="AA966" s="13">
        <f t="shared" si="215"/>
        <v>4.91</v>
      </c>
      <c r="AB966" s="14">
        <f t="shared" si="216"/>
        <v>0.49</v>
      </c>
      <c r="AC966" t="str">
        <f t="shared" si="217"/>
        <v>No Discount</v>
      </c>
      <c r="AD966" t="str">
        <f t="shared" si="218"/>
        <v>Low (&lt;$50)</v>
      </c>
      <c r="AE966" t="str">
        <f t="shared" si="219"/>
        <v>Small (1-2 units)</v>
      </c>
      <c r="AF966" t="str">
        <f t="shared" si="220"/>
        <v>Profitable</v>
      </c>
      <c r="AG966" t="str">
        <f t="shared" si="221"/>
        <v>High Margin</v>
      </c>
      <c r="AH966" t="str">
        <f t="shared" si="222"/>
        <v>Repeat Customer</v>
      </c>
      <c r="AI966" t="str">
        <f t="shared" si="223"/>
        <v>Fast (&lt;=2 days)</v>
      </c>
    </row>
    <row r="967" spans="1:35" ht="15" customHeight="1" x14ac:dyDescent="0.3">
      <c r="A967">
        <v>966</v>
      </c>
      <c r="B967" t="s">
        <v>3110</v>
      </c>
      <c r="C967" s="12">
        <v>42834</v>
      </c>
      <c r="D967" s="12">
        <v>42836</v>
      </c>
      <c r="E967" t="s">
        <v>371</v>
      </c>
      <c r="F967" t="s">
        <v>3111</v>
      </c>
      <c r="G967" t="s">
        <v>3112</v>
      </c>
      <c r="H967" t="s">
        <v>285</v>
      </c>
      <c r="I967" t="s">
        <v>210</v>
      </c>
      <c r="J967" t="s">
        <v>449</v>
      </c>
      <c r="K967" t="s">
        <v>450</v>
      </c>
      <c r="L967">
        <v>10011</v>
      </c>
      <c r="M967" t="s">
        <v>331</v>
      </c>
      <c r="N967" t="s">
        <v>1644</v>
      </c>
      <c r="O967" t="s">
        <v>229</v>
      </c>
      <c r="P967" t="s">
        <v>251</v>
      </c>
      <c r="Q967" t="s">
        <v>1645</v>
      </c>
      <c r="R967" s="13">
        <v>35.97</v>
      </c>
      <c r="S967">
        <v>3</v>
      </c>
      <c r="T967" s="14">
        <v>0</v>
      </c>
      <c r="U967" s="13">
        <v>9.7119</v>
      </c>
      <c r="V967">
        <f t="shared" si="210"/>
        <v>2017</v>
      </c>
      <c r="W967" t="str">
        <f t="shared" si="211"/>
        <v>Apr</v>
      </c>
      <c r="X967" t="str">
        <f t="shared" si="212"/>
        <v>Q2</v>
      </c>
      <c r="Y967" t="str">
        <f t="shared" si="213"/>
        <v>Sun</v>
      </c>
      <c r="Z967" s="16">
        <f t="shared" si="214"/>
        <v>2</v>
      </c>
      <c r="AA967" s="13">
        <f t="shared" si="215"/>
        <v>11.99</v>
      </c>
      <c r="AB967" s="14">
        <f t="shared" si="216"/>
        <v>0.27</v>
      </c>
      <c r="AC967" t="str">
        <f t="shared" si="217"/>
        <v>No Discount</v>
      </c>
      <c r="AD967" t="str">
        <f t="shared" si="218"/>
        <v>Low (&lt;$50)</v>
      </c>
      <c r="AE967" t="str">
        <f t="shared" si="219"/>
        <v>Medium (3-5 units)</v>
      </c>
      <c r="AF967" t="str">
        <f t="shared" si="220"/>
        <v>Profitable</v>
      </c>
      <c r="AG967" t="str">
        <f t="shared" si="221"/>
        <v>High Margin</v>
      </c>
      <c r="AH967" t="str">
        <f t="shared" si="222"/>
        <v>Repeat Customer</v>
      </c>
      <c r="AI967" t="str">
        <f t="shared" si="223"/>
        <v>Fast (&lt;=2 days)</v>
      </c>
    </row>
    <row r="968" spans="1:35" ht="15" customHeight="1" x14ac:dyDescent="0.3">
      <c r="A968">
        <v>967</v>
      </c>
      <c r="B968" t="s">
        <v>3110</v>
      </c>
      <c r="C968" s="12">
        <v>42834</v>
      </c>
      <c r="D968" s="12">
        <v>42836</v>
      </c>
      <c r="E968" t="s">
        <v>371</v>
      </c>
      <c r="F968" t="s">
        <v>3111</v>
      </c>
      <c r="G968" t="s">
        <v>3112</v>
      </c>
      <c r="H968" t="s">
        <v>285</v>
      </c>
      <c r="I968" t="s">
        <v>210</v>
      </c>
      <c r="J968" t="s">
        <v>449</v>
      </c>
      <c r="K968" t="s">
        <v>450</v>
      </c>
      <c r="L968">
        <v>10011</v>
      </c>
      <c r="M968" t="s">
        <v>331</v>
      </c>
      <c r="N968" t="s">
        <v>3115</v>
      </c>
      <c r="O968" t="s">
        <v>229</v>
      </c>
      <c r="P968" t="s">
        <v>273</v>
      </c>
      <c r="Q968" t="s">
        <v>3116</v>
      </c>
      <c r="R968" s="13">
        <v>12.96</v>
      </c>
      <c r="S968">
        <v>2</v>
      </c>
      <c r="T968" s="14">
        <v>0</v>
      </c>
      <c r="U968" s="13">
        <v>6.2207999999999997</v>
      </c>
      <c r="V968">
        <f t="shared" si="210"/>
        <v>2017</v>
      </c>
      <c r="W968" t="str">
        <f t="shared" si="211"/>
        <v>Apr</v>
      </c>
      <c r="X968" t="str">
        <f t="shared" si="212"/>
        <v>Q2</v>
      </c>
      <c r="Y968" t="str">
        <f t="shared" si="213"/>
        <v>Sun</v>
      </c>
      <c r="Z968" s="16">
        <f t="shared" si="214"/>
        <v>2</v>
      </c>
      <c r="AA968" s="13">
        <f t="shared" si="215"/>
        <v>6.48</v>
      </c>
      <c r="AB968" s="14">
        <f t="shared" si="216"/>
        <v>0.47999999999999993</v>
      </c>
      <c r="AC968" t="str">
        <f t="shared" si="217"/>
        <v>No Discount</v>
      </c>
      <c r="AD968" t="str">
        <f t="shared" si="218"/>
        <v>Low (&lt;$50)</v>
      </c>
      <c r="AE968" t="str">
        <f t="shared" si="219"/>
        <v>Small (1-2 units)</v>
      </c>
      <c r="AF968" t="str">
        <f t="shared" si="220"/>
        <v>Profitable</v>
      </c>
      <c r="AG968" t="str">
        <f t="shared" si="221"/>
        <v>High Margin</v>
      </c>
      <c r="AH968" t="str">
        <f t="shared" si="222"/>
        <v>Repeat Customer</v>
      </c>
      <c r="AI968" t="str">
        <f t="shared" si="223"/>
        <v>Fast (&lt;=2 days)</v>
      </c>
    </row>
    <row r="969" spans="1:35" ht="15" customHeight="1" x14ac:dyDescent="0.3">
      <c r="A969">
        <v>968</v>
      </c>
      <c r="B969" t="s">
        <v>3110</v>
      </c>
      <c r="C969" s="12">
        <v>42834</v>
      </c>
      <c r="D969" s="12">
        <v>42836</v>
      </c>
      <c r="E969" t="s">
        <v>371</v>
      </c>
      <c r="F969" t="s">
        <v>3111</v>
      </c>
      <c r="G969" t="s">
        <v>3112</v>
      </c>
      <c r="H969" t="s">
        <v>285</v>
      </c>
      <c r="I969" t="s">
        <v>210</v>
      </c>
      <c r="J969" t="s">
        <v>449</v>
      </c>
      <c r="K969" t="s">
        <v>450</v>
      </c>
      <c r="L969">
        <v>10011</v>
      </c>
      <c r="M969" t="s">
        <v>331</v>
      </c>
      <c r="N969" t="s">
        <v>3117</v>
      </c>
      <c r="O969" t="s">
        <v>229</v>
      </c>
      <c r="P969" t="s">
        <v>273</v>
      </c>
      <c r="Q969" t="s">
        <v>3118</v>
      </c>
      <c r="R969" s="13">
        <v>191.6</v>
      </c>
      <c r="S969">
        <v>4</v>
      </c>
      <c r="T969" s="14">
        <v>0</v>
      </c>
      <c r="U969" s="13">
        <v>91.968000000000004</v>
      </c>
      <c r="V969">
        <f t="shared" si="210"/>
        <v>2017</v>
      </c>
      <c r="W969" t="str">
        <f t="shared" si="211"/>
        <v>Apr</v>
      </c>
      <c r="X969" t="str">
        <f t="shared" si="212"/>
        <v>Q2</v>
      </c>
      <c r="Y969" t="str">
        <f t="shared" si="213"/>
        <v>Sun</v>
      </c>
      <c r="Z969" s="16">
        <f t="shared" si="214"/>
        <v>2</v>
      </c>
      <c r="AA969" s="13">
        <f t="shared" si="215"/>
        <v>47.9</v>
      </c>
      <c r="AB969" s="14">
        <f t="shared" si="216"/>
        <v>0.48000000000000004</v>
      </c>
      <c r="AC969" t="str">
        <f t="shared" si="217"/>
        <v>No Discount</v>
      </c>
      <c r="AD969" t="str">
        <f t="shared" si="218"/>
        <v>Medium ($50-$200)</v>
      </c>
      <c r="AE969" t="str">
        <f t="shared" si="219"/>
        <v>Medium (3-5 units)</v>
      </c>
      <c r="AF969" t="str">
        <f t="shared" si="220"/>
        <v>Profitable</v>
      </c>
      <c r="AG969" t="str">
        <f t="shared" si="221"/>
        <v>High Margin</v>
      </c>
      <c r="AH969" t="str">
        <f t="shared" si="222"/>
        <v>Repeat Customer</v>
      </c>
      <c r="AI969" t="str">
        <f t="shared" si="223"/>
        <v>Fast (&lt;=2 days)</v>
      </c>
    </row>
    <row r="970" spans="1:35" ht="15" customHeight="1" x14ac:dyDescent="0.3">
      <c r="A970">
        <v>969</v>
      </c>
      <c r="B970" t="s">
        <v>3110</v>
      </c>
      <c r="C970" s="12">
        <v>42834</v>
      </c>
      <c r="D970" s="12">
        <v>42836</v>
      </c>
      <c r="E970" t="s">
        <v>371</v>
      </c>
      <c r="F970" t="s">
        <v>3111</v>
      </c>
      <c r="G970" t="s">
        <v>3112</v>
      </c>
      <c r="H970" t="s">
        <v>285</v>
      </c>
      <c r="I970" t="s">
        <v>210</v>
      </c>
      <c r="J970" t="s">
        <v>449</v>
      </c>
      <c r="K970" t="s">
        <v>450</v>
      </c>
      <c r="L970">
        <v>10011</v>
      </c>
      <c r="M970" t="s">
        <v>331</v>
      </c>
      <c r="N970" t="s">
        <v>3108</v>
      </c>
      <c r="O970" t="s">
        <v>229</v>
      </c>
      <c r="P970" t="s">
        <v>230</v>
      </c>
      <c r="Q970" t="s">
        <v>3109</v>
      </c>
      <c r="R970" s="13">
        <v>8.64</v>
      </c>
      <c r="S970">
        <v>3</v>
      </c>
      <c r="T970" s="14">
        <v>0</v>
      </c>
      <c r="U970" s="13">
        <v>4.2336</v>
      </c>
      <c r="V970">
        <f t="shared" si="210"/>
        <v>2017</v>
      </c>
      <c r="W970" t="str">
        <f t="shared" si="211"/>
        <v>Apr</v>
      </c>
      <c r="X970" t="str">
        <f t="shared" si="212"/>
        <v>Q2</v>
      </c>
      <c r="Y970" t="str">
        <f t="shared" si="213"/>
        <v>Sun</v>
      </c>
      <c r="Z970" s="16">
        <f t="shared" si="214"/>
        <v>2</v>
      </c>
      <c r="AA970" s="13">
        <f t="shared" si="215"/>
        <v>2.8800000000000003</v>
      </c>
      <c r="AB970" s="14">
        <f t="shared" si="216"/>
        <v>0.49</v>
      </c>
      <c r="AC970" t="str">
        <f t="shared" si="217"/>
        <v>No Discount</v>
      </c>
      <c r="AD970" t="str">
        <f t="shared" si="218"/>
        <v>Low (&lt;$50)</v>
      </c>
      <c r="AE970" t="str">
        <f t="shared" si="219"/>
        <v>Medium (3-5 units)</v>
      </c>
      <c r="AF970" t="str">
        <f t="shared" si="220"/>
        <v>Profitable</v>
      </c>
      <c r="AG970" t="str">
        <f t="shared" si="221"/>
        <v>High Margin</v>
      </c>
      <c r="AH970" t="str">
        <f t="shared" si="222"/>
        <v>Repeat Customer</v>
      </c>
      <c r="AI970" t="str">
        <f t="shared" si="223"/>
        <v>Fast (&lt;=2 days)</v>
      </c>
    </row>
    <row r="971" spans="1:35" ht="15" customHeight="1" x14ac:dyDescent="0.3">
      <c r="A971">
        <v>970</v>
      </c>
      <c r="B971" t="s">
        <v>3110</v>
      </c>
      <c r="C971" s="12">
        <v>42834</v>
      </c>
      <c r="D971" s="12">
        <v>42836</v>
      </c>
      <c r="E971" t="s">
        <v>371</v>
      </c>
      <c r="F971" t="s">
        <v>3111</v>
      </c>
      <c r="G971" t="s">
        <v>3112</v>
      </c>
      <c r="H971" t="s">
        <v>285</v>
      </c>
      <c r="I971" t="s">
        <v>210</v>
      </c>
      <c r="J971" t="s">
        <v>449</v>
      </c>
      <c r="K971" t="s">
        <v>450</v>
      </c>
      <c r="L971">
        <v>10011</v>
      </c>
      <c r="M971" t="s">
        <v>331</v>
      </c>
      <c r="N971" t="s">
        <v>3119</v>
      </c>
      <c r="O971" t="s">
        <v>229</v>
      </c>
      <c r="P971" t="s">
        <v>242</v>
      </c>
      <c r="Q971" t="s">
        <v>3120</v>
      </c>
      <c r="R971" s="13">
        <v>501.81</v>
      </c>
      <c r="S971">
        <v>3</v>
      </c>
      <c r="T971" s="14">
        <v>0</v>
      </c>
      <c r="U971" s="13">
        <v>0</v>
      </c>
      <c r="V971">
        <f t="shared" si="210"/>
        <v>2017</v>
      </c>
      <c r="W971" t="str">
        <f t="shared" si="211"/>
        <v>Apr</v>
      </c>
      <c r="X971" t="str">
        <f t="shared" si="212"/>
        <v>Q2</v>
      </c>
      <c r="Y971" t="str">
        <f t="shared" si="213"/>
        <v>Sun</v>
      </c>
      <c r="Z971" s="16">
        <f t="shared" si="214"/>
        <v>2</v>
      </c>
      <c r="AA971" s="13">
        <f t="shared" si="215"/>
        <v>167.27</v>
      </c>
      <c r="AB971" s="14">
        <f t="shared" si="216"/>
        <v>0</v>
      </c>
      <c r="AC971" t="str">
        <f t="shared" si="217"/>
        <v>No Discount</v>
      </c>
      <c r="AD971" t="str">
        <f t="shared" si="218"/>
        <v>Premium ($500+)</v>
      </c>
      <c r="AE971" t="str">
        <f t="shared" si="219"/>
        <v>Medium (3-5 units)</v>
      </c>
      <c r="AF971" t="str">
        <f t="shared" si="220"/>
        <v>Profitable</v>
      </c>
      <c r="AG971" t="str">
        <f t="shared" si="221"/>
        <v>Low Margin</v>
      </c>
      <c r="AH971" t="str">
        <f t="shared" si="222"/>
        <v>Repeat Customer</v>
      </c>
      <c r="AI971" t="str">
        <f t="shared" si="223"/>
        <v>Fast (&lt;=2 days)</v>
      </c>
    </row>
    <row r="972" spans="1:35" ht="15" customHeight="1" x14ac:dyDescent="0.3">
      <c r="A972">
        <v>971</v>
      </c>
      <c r="B972" t="s">
        <v>3121</v>
      </c>
      <c r="C972" s="12">
        <v>41655</v>
      </c>
      <c r="D972" s="12">
        <v>41657</v>
      </c>
      <c r="E972" t="s">
        <v>206</v>
      </c>
      <c r="F972" t="s">
        <v>1137</v>
      </c>
      <c r="G972" t="s">
        <v>1138</v>
      </c>
      <c r="H972" t="s">
        <v>209</v>
      </c>
      <c r="I972" t="s">
        <v>210</v>
      </c>
      <c r="J972" t="s">
        <v>329</v>
      </c>
      <c r="K972" t="s">
        <v>330</v>
      </c>
      <c r="L972">
        <v>19134</v>
      </c>
      <c r="M972" t="s">
        <v>331</v>
      </c>
      <c r="N972" t="s">
        <v>3122</v>
      </c>
      <c r="O972" t="s">
        <v>215</v>
      </c>
      <c r="P972" t="s">
        <v>248</v>
      </c>
      <c r="Q972" t="s">
        <v>3123</v>
      </c>
      <c r="R972" s="13">
        <v>127.104</v>
      </c>
      <c r="S972">
        <v>6</v>
      </c>
      <c r="T972" s="14">
        <v>0.2</v>
      </c>
      <c r="U972" s="13">
        <v>28.598400000000002</v>
      </c>
      <c r="V972">
        <f t="shared" si="210"/>
        <v>2014</v>
      </c>
      <c r="W972" t="str">
        <f t="shared" si="211"/>
        <v>Jan</v>
      </c>
      <c r="X972" t="str">
        <f t="shared" si="212"/>
        <v>Q1</v>
      </c>
      <c r="Y972" t="str">
        <f t="shared" si="213"/>
        <v>Thu</v>
      </c>
      <c r="Z972" s="16">
        <f t="shared" si="214"/>
        <v>2</v>
      </c>
      <c r="AA972" s="13">
        <f t="shared" si="215"/>
        <v>21.184000000000001</v>
      </c>
      <c r="AB972" s="14">
        <f t="shared" si="216"/>
        <v>0.22500000000000001</v>
      </c>
      <c r="AC972" t="str">
        <f t="shared" si="217"/>
        <v>Low (1-20%)</v>
      </c>
      <c r="AD972" t="str">
        <f t="shared" si="218"/>
        <v>Medium ($50-$200)</v>
      </c>
      <c r="AE972" t="str">
        <f t="shared" si="219"/>
        <v>Large (6+ units)</v>
      </c>
      <c r="AF972" t="str">
        <f t="shared" si="220"/>
        <v>Profitable</v>
      </c>
      <c r="AG972" t="str">
        <f t="shared" si="221"/>
        <v>Healthy Margin</v>
      </c>
      <c r="AH972" t="str">
        <f t="shared" si="222"/>
        <v>Repeat Customer</v>
      </c>
      <c r="AI972" t="str">
        <f t="shared" si="223"/>
        <v>Fast (&lt;=2 days)</v>
      </c>
    </row>
    <row r="973" spans="1:35" ht="15" customHeight="1" x14ac:dyDescent="0.3">
      <c r="A973">
        <v>972</v>
      </c>
      <c r="B973" t="s">
        <v>3121</v>
      </c>
      <c r="C973" s="12">
        <v>41655</v>
      </c>
      <c r="D973" s="12">
        <v>41657</v>
      </c>
      <c r="E973" t="s">
        <v>206</v>
      </c>
      <c r="F973" t="s">
        <v>1137</v>
      </c>
      <c r="G973" t="s">
        <v>1138</v>
      </c>
      <c r="H973" t="s">
        <v>209</v>
      </c>
      <c r="I973" t="s">
        <v>210</v>
      </c>
      <c r="J973" t="s">
        <v>329</v>
      </c>
      <c r="K973" t="s">
        <v>330</v>
      </c>
      <c r="L973">
        <v>19134</v>
      </c>
      <c r="M973" t="s">
        <v>331</v>
      </c>
      <c r="N973" t="s">
        <v>1390</v>
      </c>
      <c r="O973" t="s">
        <v>254</v>
      </c>
      <c r="P973" t="s">
        <v>255</v>
      </c>
      <c r="Q973" t="s">
        <v>1391</v>
      </c>
      <c r="R973" s="13">
        <v>124.2</v>
      </c>
      <c r="S973">
        <v>3</v>
      </c>
      <c r="T973" s="14">
        <v>0.4</v>
      </c>
      <c r="U973" s="13">
        <v>-31.05</v>
      </c>
      <c r="V973">
        <f t="shared" si="210"/>
        <v>2014</v>
      </c>
      <c r="W973" t="str">
        <f t="shared" si="211"/>
        <v>Jan</v>
      </c>
      <c r="X973" t="str">
        <f t="shared" si="212"/>
        <v>Q1</v>
      </c>
      <c r="Y973" t="str">
        <f t="shared" si="213"/>
        <v>Thu</v>
      </c>
      <c r="Z973" s="16">
        <f t="shared" si="214"/>
        <v>2</v>
      </c>
      <c r="AA973" s="13">
        <f t="shared" si="215"/>
        <v>41.4</v>
      </c>
      <c r="AB973" s="14">
        <f t="shared" si="216"/>
        <v>-0.25</v>
      </c>
      <c r="AC973" t="str">
        <f t="shared" si="217"/>
        <v>Medium (21-40%)</v>
      </c>
      <c r="AD973" t="str">
        <f t="shared" si="218"/>
        <v>Medium ($50-$200)</v>
      </c>
      <c r="AE973" t="str">
        <f t="shared" si="219"/>
        <v>Medium (3-5 units)</v>
      </c>
      <c r="AF973" t="str">
        <f t="shared" si="220"/>
        <v>Loss-Making</v>
      </c>
      <c r="AG973" t="str">
        <f t="shared" si="221"/>
        <v>Underperforming</v>
      </c>
      <c r="AH973" t="str">
        <f t="shared" si="222"/>
        <v>Repeat Customer</v>
      </c>
      <c r="AI973" t="str">
        <f t="shared" si="223"/>
        <v>Fast (&lt;=2 days)</v>
      </c>
    </row>
    <row r="974" spans="1:35" ht="15" customHeight="1" x14ac:dyDescent="0.3">
      <c r="A974">
        <v>973</v>
      </c>
      <c r="B974" t="s">
        <v>3121</v>
      </c>
      <c r="C974" s="12">
        <v>41655</v>
      </c>
      <c r="D974" s="12">
        <v>41657</v>
      </c>
      <c r="E974" t="s">
        <v>206</v>
      </c>
      <c r="F974" t="s">
        <v>1137</v>
      </c>
      <c r="G974" t="s">
        <v>1138</v>
      </c>
      <c r="H974" t="s">
        <v>209</v>
      </c>
      <c r="I974" t="s">
        <v>210</v>
      </c>
      <c r="J974" t="s">
        <v>329</v>
      </c>
      <c r="K974" t="s">
        <v>330</v>
      </c>
      <c r="L974">
        <v>19134</v>
      </c>
      <c r="M974" t="s">
        <v>331</v>
      </c>
      <c r="N974" t="s">
        <v>2447</v>
      </c>
      <c r="O974" t="s">
        <v>229</v>
      </c>
      <c r="P974" t="s">
        <v>258</v>
      </c>
      <c r="Q974" t="s">
        <v>2448</v>
      </c>
      <c r="R974" s="13">
        <v>18.588000000000001</v>
      </c>
      <c r="S974">
        <v>2</v>
      </c>
      <c r="T974" s="14">
        <v>0.7</v>
      </c>
      <c r="U974" s="13">
        <v>-13.6312</v>
      </c>
      <c r="V974">
        <f t="shared" si="210"/>
        <v>2014</v>
      </c>
      <c r="W974" t="str">
        <f t="shared" si="211"/>
        <v>Jan</v>
      </c>
      <c r="X974" t="str">
        <f t="shared" si="212"/>
        <v>Q1</v>
      </c>
      <c r="Y974" t="str">
        <f t="shared" si="213"/>
        <v>Thu</v>
      </c>
      <c r="Z974" s="16">
        <f t="shared" si="214"/>
        <v>2</v>
      </c>
      <c r="AA974" s="13">
        <f t="shared" si="215"/>
        <v>9.2940000000000005</v>
      </c>
      <c r="AB974" s="14">
        <f t="shared" si="216"/>
        <v>-0.73333333333333328</v>
      </c>
      <c r="AC974" t="str">
        <f t="shared" si="217"/>
        <v>High (40%+)</v>
      </c>
      <c r="AD974" t="str">
        <f t="shared" si="218"/>
        <v>Low (&lt;$50)</v>
      </c>
      <c r="AE974" t="str">
        <f t="shared" si="219"/>
        <v>Small (1-2 units)</v>
      </c>
      <c r="AF974" t="str">
        <f t="shared" si="220"/>
        <v>Loss-Making</v>
      </c>
      <c r="AG974" t="str">
        <f t="shared" si="221"/>
        <v>Underperforming</v>
      </c>
      <c r="AH974" t="str">
        <f t="shared" si="222"/>
        <v>Repeat Customer</v>
      </c>
      <c r="AI974" t="str">
        <f t="shared" si="223"/>
        <v>Fast (&lt;=2 days)</v>
      </c>
    </row>
    <row r="975" spans="1:35" ht="15" customHeight="1" x14ac:dyDescent="0.3">
      <c r="A975">
        <v>974</v>
      </c>
      <c r="B975" t="s">
        <v>3121</v>
      </c>
      <c r="C975" s="12">
        <v>41655</v>
      </c>
      <c r="D975" s="12">
        <v>41657</v>
      </c>
      <c r="E975" t="s">
        <v>206</v>
      </c>
      <c r="F975" t="s">
        <v>1137</v>
      </c>
      <c r="G975" t="s">
        <v>1138</v>
      </c>
      <c r="H975" t="s">
        <v>209</v>
      </c>
      <c r="I975" t="s">
        <v>210</v>
      </c>
      <c r="J975" t="s">
        <v>329</v>
      </c>
      <c r="K975" t="s">
        <v>330</v>
      </c>
      <c r="L975">
        <v>19134</v>
      </c>
      <c r="M975" t="s">
        <v>331</v>
      </c>
      <c r="N975" t="s">
        <v>1383</v>
      </c>
      <c r="O975" t="s">
        <v>229</v>
      </c>
      <c r="P975" t="s">
        <v>230</v>
      </c>
      <c r="Q975" t="s">
        <v>1384</v>
      </c>
      <c r="R975" s="13">
        <v>30.071999999999999</v>
      </c>
      <c r="S975">
        <v>3</v>
      </c>
      <c r="T975" s="14">
        <v>0.2</v>
      </c>
      <c r="U975" s="13">
        <v>10.1493</v>
      </c>
      <c r="V975">
        <f t="shared" si="210"/>
        <v>2014</v>
      </c>
      <c r="W975" t="str">
        <f t="shared" si="211"/>
        <v>Jan</v>
      </c>
      <c r="X975" t="str">
        <f t="shared" si="212"/>
        <v>Q1</v>
      </c>
      <c r="Y975" t="str">
        <f t="shared" si="213"/>
        <v>Thu</v>
      </c>
      <c r="Z975" s="16">
        <f t="shared" si="214"/>
        <v>2</v>
      </c>
      <c r="AA975" s="13">
        <f t="shared" si="215"/>
        <v>10.023999999999999</v>
      </c>
      <c r="AB975" s="14">
        <f t="shared" si="216"/>
        <v>0.33750000000000002</v>
      </c>
      <c r="AC975" t="str">
        <f t="shared" si="217"/>
        <v>Low (1-20%)</v>
      </c>
      <c r="AD975" t="str">
        <f t="shared" si="218"/>
        <v>Low (&lt;$50)</v>
      </c>
      <c r="AE975" t="str">
        <f t="shared" si="219"/>
        <v>Medium (3-5 units)</v>
      </c>
      <c r="AF975" t="str">
        <f t="shared" si="220"/>
        <v>Profitable</v>
      </c>
      <c r="AG975" t="str">
        <f t="shared" si="221"/>
        <v>High Margin</v>
      </c>
      <c r="AH975" t="str">
        <f t="shared" si="222"/>
        <v>Repeat Customer</v>
      </c>
      <c r="AI975" t="str">
        <f t="shared" si="223"/>
        <v>Fast (&lt;=2 days)</v>
      </c>
    </row>
    <row r="976" spans="1:35" ht="15" customHeight="1" x14ac:dyDescent="0.3">
      <c r="A976">
        <v>975</v>
      </c>
      <c r="B976" t="s">
        <v>3124</v>
      </c>
      <c r="C976" s="12">
        <v>43013</v>
      </c>
      <c r="D976" s="12">
        <v>43016</v>
      </c>
      <c r="E976" t="s">
        <v>206</v>
      </c>
      <c r="F976" t="s">
        <v>2551</v>
      </c>
      <c r="G976" t="s">
        <v>2552</v>
      </c>
      <c r="H976" t="s">
        <v>285</v>
      </c>
      <c r="I976" t="s">
        <v>210</v>
      </c>
      <c r="J976" t="s">
        <v>449</v>
      </c>
      <c r="K976" t="s">
        <v>450</v>
      </c>
      <c r="L976">
        <v>10011</v>
      </c>
      <c r="M976" t="s">
        <v>331</v>
      </c>
      <c r="N976" t="s">
        <v>1970</v>
      </c>
      <c r="O976" t="s">
        <v>254</v>
      </c>
      <c r="P976" t="s">
        <v>255</v>
      </c>
      <c r="Q976" t="s">
        <v>1971</v>
      </c>
      <c r="R976" s="13">
        <v>160.93</v>
      </c>
      <c r="S976">
        <v>7</v>
      </c>
      <c r="T976" s="14">
        <v>0</v>
      </c>
      <c r="U976" s="13">
        <v>3.2186000000000101</v>
      </c>
      <c r="V976">
        <f t="shared" si="210"/>
        <v>2017</v>
      </c>
      <c r="W976" t="str">
        <f t="shared" si="211"/>
        <v>Oct</v>
      </c>
      <c r="X976" t="str">
        <f t="shared" si="212"/>
        <v>Q4</v>
      </c>
      <c r="Y976" t="str">
        <f t="shared" si="213"/>
        <v>Thu</v>
      </c>
      <c r="Z976" s="16">
        <f t="shared" si="214"/>
        <v>3</v>
      </c>
      <c r="AA976" s="13">
        <f t="shared" si="215"/>
        <v>22.990000000000002</v>
      </c>
      <c r="AB976" s="14">
        <f t="shared" si="216"/>
        <v>2.0000000000000063E-2</v>
      </c>
      <c r="AC976" t="str">
        <f t="shared" si="217"/>
        <v>No Discount</v>
      </c>
      <c r="AD976" t="str">
        <f t="shared" si="218"/>
        <v>Medium ($50-$200)</v>
      </c>
      <c r="AE976" t="str">
        <f t="shared" si="219"/>
        <v>Large (6+ units)</v>
      </c>
      <c r="AF976" t="str">
        <f t="shared" si="220"/>
        <v>Profitable</v>
      </c>
      <c r="AG976" t="str">
        <f t="shared" si="221"/>
        <v>Low Margin</v>
      </c>
      <c r="AH976" t="str">
        <f t="shared" si="222"/>
        <v>Repeat Customer</v>
      </c>
      <c r="AI976" t="str">
        <f t="shared" si="223"/>
        <v>Standard (3-5 days)</v>
      </c>
    </row>
    <row r="977" spans="1:35" ht="15" customHeight="1" x14ac:dyDescent="0.3">
      <c r="A977">
        <v>976</v>
      </c>
      <c r="B977" t="s">
        <v>3124</v>
      </c>
      <c r="C977" s="12">
        <v>43013</v>
      </c>
      <c r="D977" s="12">
        <v>43016</v>
      </c>
      <c r="E977" t="s">
        <v>206</v>
      </c>
      <c r="F977" t="s">
        <v>2551</v>
      </c>
      <c r="G977" t="s">
        <v>2552</v>
      </c>
      <c r="H977" t="s">
        <v>285</v>
      </c>
      <c r="I977" t="s">
        <v>210</v>
      </c>
      <c r="J977" t="s">
        <v>449</v>
      </c>
      <c r="K977" t="s">
        <v>450</v>
      </c>
      <c r="L977">
        <v>10011</v>
      </c>
      <c r="M977" t="s">
        <v>331</v>
      </c>
      <c r="N977" t="s">
        <v>1580</v>
      </c>
      <c r="O977" t="s">
        <v>229</v>
      </c>
      <c r="P977" t="s">
        <v>258</v>
      </c>
      <c r="Q977" t="s">
        <v>1581</v>
      </c>
      <c r="R977" s="13">
        <v>75.792000000000002</v>
      </c>
      <c r="S977">
        <v>3</v>
      </c>
      <c r="T977" s="14">
        <v>0.2</v>
      </c>
      <c r="U977" s="13">
        <v>25.579799999999999</v>
      </c>
      <c r="V977">
        <f t="shared" si="210"/>
        <v>2017</v>
      </c>
      <c r="W977" t="str">
        <f t="shared" si="211"/>
        <v>Oct</v>
      </c>
      <c r="X977" t="str">
        <f t="shared" si="212"/>
        <v>Q4</v>
      </c>
      <c r="Y977" t="str">
        <f t="shared" si="213"/>
        <v>Thu</v>
      </c>
      <c r="Z977" s="16">
        <f t="shared" si="214"/>
        <v>3</v>
      </c>
      <c r="AA977" s="13">
        <f t="shared" si="215"/>
        <v>25.263999999999999</v>
      </c>
      <c r="AB977" s="14">
        <f t="shared" si="216"/>
        <v>0.33749999999999997</v>
      </c>
      <c r="AC977" t="str">
        <f t="shared" si="217"/>
        <v>Low (1-20%)</v>
      </c>
      <c r="AD977" t="str">
        <f t="shared" si="218"/>
        <v>Medium ($50-$200)</v>
      </c>
      <c r="AE977" t="str">
        <f t="shared" si="219"/>
        <v>Medium (3-5 units)</v>
      </c>
      <c r="AF977" t="str">
        <f t="shared" si="220"/>
        <v>Profitable</v>
      </c>
      <c r="AG977" t="str">
        <f t="shared" si="221"/>
        <v>High Margin</v>
      </c>
      <c r="AH977" t="str">
        <f t="shared" si="222"/>
        <v>Repeat Customer</v>
      </c>
      <c r="AI977" t="str">
        <f t="shared" si="223"/>
        <v>Standard (3-5 days)</v>
      </c>
    </row>
    <row r="978" spans="1:35" ht="15" customHeight="1" x14ac:dyDescent="0.3">
      <c r="A978">
        <v>977</v>
      </c>
      <c r="B978" t="s">
        <v>3125</v>
      </c>
      <c r="C978" s="12">
        <v>42925</v>
      </c>
      <c r="D978" s="12">
        <v>42931</v>
      </c>
      <c r="E978" t="s">
        <v>233</v>
      </c>
      <c r="F978" t="s">
        <v>1428</v>
      </c>
      <c r="G978" t="s">
        <v>1429</v>
      </c>
      <c r="H978" t="s">
        <v>209</v>
      </c>
      <c r="I978" t="s">
        <v>210</v>
      </c>
      <c r="J978" t="s">
        <v>602</v>
      </c>
      <c r="K978" t="s">
        <v>603</v>
      </c>
      <c r="L978">
        <v>97206</v>
      </c>
      <c r="M978" t="s">
        <v>227</v>
      </c>
      <c r="N978" t="s">
        <v>3126</v>
      </c>
      <c r="O978" t="s">
        <v>229</v>
      </c>
      <c r="P978" t="s">
        <v>258</v>
      </c>
      <c r="Q978" t="s">
        <v>3127</v>
      </c>
      <c r="R978" s="13">
        <v>1.08</v>
      </c>
      <c r="S978">
        <v>2</v>
      </c>
      <c r="T978" s="14">
        <v>0.7</v>
      </c>
      <c r="U978" s="13">
        <v>-0.79200000000000004</v>
      </c>
      <c r="V978">
        <f t="shared" si="210"/>
        <v>2017</v>
      </c>
      <c r="W978" t="str">
        <f t="shared" si="211"/>
        <v>Jul</v>
      </c>
      <c r="X978" t="str">
        <f t="shared" si="212"/>
        <v>Q3</v>
      </c>
      <c r="Y978" t="str">
        <f t="shared" si="213"/>
        <v>Sun</v>
      </c>
      <c r="Z978" s="16">
        <f t="shared" si="214"/>
        <v>6</v>
      </c>
      <c r="AA978" s="13">
        <f t="shared" si="215"/>
        <v>0.54</v>
      </c>
      <c r="AB978" s="14">
        <f t="shared" si="216"/>
        <v>-0.73333333333333328</v>
      </c>
      <c r="AC978" t="str">
        <f t="shared" si="217"/>
        <v>High (40%+)</v>
      </c>
      <c r="AD978" t="str">
        <f t="shared" si="218"/>
        <v>Low (&lt;$50)</v>
      </c>
      <c r="AE978" t="str">
        <f t="shared" si="219"/>
        <v>Small (1-2 units)</v>
      </c>
      <c r="AF978" t="str">
        <f t="shared" si="220"/>
        <v>Loss-Making</v>
      </c>
      <c r="AG978" t="str">
        <f t="shared" si="221"/>
        <v>Underperforming</v>
      </c>
      <c r="AH978" t="str">
        <f t="shared" si="222"/>
        <v>Repeat Customer</v>
      </c>
      <c r="AI978" t="str">
        <f t="shared" si="223"/>
        <v>Slow (6+ days)</v>
      </c>
    </row>
    <row r="979" spans="1:35" ht="15" customHeight="1" x14ac:dyDescent="0.3">
      <c r="A979">
        <v>978</v>
      </c>
      <c r="B979" t="s">
        <v>3128</v>
      </c>
      <c r="C979" s="12">
        <v>42742</v>
      </c>
      <c r="D979" s="12">
        <v>42745</v>
      </c>
      <c r="E979" t="s">
        <v>371</v>
      </c>
      <c r="F979" t="s">
        <v>2735</v>
      </c>
      <c r="G979" t="s">
        <v>2736</v>
      </c>
      <c r="H979" t="s">
        <v>224</v>
      </c>
      <c r="I979" t="s">
        <v>210</v>
      </c>
      <c r="J979" t="s">
        <v>1065</v>
      </c>
      <c r="K979" t="s">
        <v>421</v>
      </c>
      <c r="L979">
        <v>48205</v>
      </c>
      <c r="M979" t="s">
        <v>288</v>
      </c>
      <c r="N979" t="s">
        <v>866</v>
      </c>
      <c r="O979" t="s">
        <v>254</v>
      </c>
      <c r="P979" t="s">
        <v>867</v>
      </c>
      <c r="Q979" t="s">
        <v>868</v>
      </c>
      <c r="R979" s="13">
        <v>3059.982</v>
      </c>
      <c r="S979">
        <v>2</v>
      </c>
      <c r="T979" s="14">
        <v>0.1</v>
      </c>
      <c r="U979" s="13">
        <v>679.99599999999998</v>
      </c>
      <c r="V979">
        <f t="shared" si="210"/>
        <v>2017</v>
      </c>
      <c r="W979" t="str">
        <f t="shared" si="211"/>
        <v>Jan</v>
      </c>
      <c r="X979" t="str">
        <f t="shared" si="212"/>
        <v>Q1</v>
      </c>
      <c r="Y979" t="str">
        <f t="shared" si="213"/>
        <v>Sat</v>
      </c>
      <c r="Z979" s="16">
        <f t="shared" si="214"/>
        <v>3</v>
      </c>
      <c r="AA979" s="13">
        <f t="shared" si="215"/>
        <v>1529.991</v>
      </c>
      <c r="AB979" s="14">
        <f t="shared" si="216"/>
        <v>0.22222222222222221</v>
      </c>
      <c r="AC979" t="str">
        <f t="shared" si="217"/>
        <v>Low (1-20%)</v>
      </c>
      <c r="AD979" t="str">
        <f t="shared" si="218"/>
        <v>Premium ($500+)</v>
      </c>
      <c r="AE979" t="str">
        <f t="shared" si="219"/>
        <v>Small (1-2 units)</v>
      </c>
      <c r="AF979" t="str">
        <f t="shared" si="220"/>
        <v>Profitable</v>
      </c>
      <c r="AG979" t="str">
        <f t="shared" si="221"/>
        <v>Healthy Margin</v>
      </c>
      <c r="AH979" t="str">
        <f t="shared" si="222"/>
        <v>Repeat Customer</v>
      </c>
      <c r="AI979" t="str">
        <f t="shared" si="223"/>
        <v>Standard (3-5 days)</v>
      </c>
    </row>
    <row r="980" spans="1:35" ht="15" customHeight="1" x14ac:dyDescent="0.3">
      <c r="A980">
        <v>979</v>
      </c>
      <c r="B980" t="s">
        <v>3129</v>
      </c>
      <c r="C980" s="12">
        <v>42520</v>
      </c>
      <c r="D980" s="12">
        <v>42521</v>
      </c>
      <c r="E980" t="s">
        <v>371</v>
      </c>
      <c r="F980" t="s">
        <v>3130</v>
      </c>
      <c r="G980" t="s">
        <v>3131</v>
      </c>
      <c r="H980" t="s">
        <v>209</v>
      </c>
      <c r="I980" t="s">
        <v>210</v>
      </c>
      <c r="J980" t="s">
        <v>704</v>
      </c>
      <c r="K980" t="s">
        <v>271</v>
      </c>
      <c r="L980">
        <v>28403</v>
      </c>
      <c r="M980" t="s">
        <v>213</v>
      </c>
      <c r="N980" t="s">
        <v>2206</v>
      </c>
      <c r="O980" t="s">
        <v>229</v>
      </c>
      <c r="P980" t="s">
        <v>258</v>
      </c>
      <c r="Q980" t="s">
        <v>2207</v>
      </c>
      <c r="R980" s="13">
        <v>3.282</v>
      </c>
      <c r="S980">
        <v>2</v>
      </c>
      <c r="T980" s="14">
        <v>0.7</v>
      </c>
      <c r="U980" s="13">
        <v>-2.6255999999999999</v>
      </c>
      <c r="V980">
        <f t="shared" si="210"/>
        <v>2016</v>
      </c>
      <c r="W980" t="str">
        <f t="shared" si="211"/>
        <v>May</v>
      </c>
      <c r="X980" t="str">
        <f t="shared" si="212"/>
        <v>Q2</v>
      </c>
      <c r="Y980" t="str">
        <f t="shared" si="213"/>
        <v>Mon</v>
      </c>
      <c r="Z980" s="16">
        <f t="shared" si="214"/>
        <v>1</v>
      </c>
      <c r="AA980" s="13">
        <f t="shared" si="215"/>
        <v>1.641</v>
      </c>
      <c r="AB980" s="14">
        <f t="shared" si="216"/>
        <v>-0.79999999999999993</v>
      </c>
      <c r="AC980" t="str">
        <f t="shared" si="217"/>
        <v>High (40%+)</v>
      </c>
      <c r="AD980" t="str">
        <f t="shared" si="218"/>
        <v>Low (&lt;$50)</v>
      </c>
      <c r="AE980" t="str">
        <f t="shared" si="219"/>
        <v>Small (1-2 units)</v>
      </c>
      <c r="AF980" t="str">
        <f t="shared" si="220"/>
        <v>Loss-Making</v>
      </c>
      <c r="AG980" t="str">
        <f t="shared" si="221"/>
        <v>Underperforming</v>
      </c>
      <c r="AH980" t="str">
        <f t="shared" si="222"/>
        <v>Single Purchase</v>
      </c>
      <c r="AI980" t="str">
        <f t="shared" si="223"/>
        <v>Fast (&lt;=2 days)</v>
      </c>
    </row>
    <row r="981" spans="1:35" ht="15" customHeight="1" x14ac:dyDescent="0.3">
      <c r="A981">
        <v>980</v>
      </c>
      <c r="B981" t="s">
        <v>3132</v>
      </c>
      <c r="C981" s="12">
        <v>42347</v>
      </c>
      <c r="D981" s="12">
        <v>42350</v>
      </c>
      <c r="E981" t="s">
        <v>371</v>
      </c>
      <c r="F981" t="s">
        <v>526</v>
      </c>
      <c r="G981" t="s">
        <v>527</v>
      </c>
      <c r="H981" t="s">
        <v>224</v>
      </c>
      <c r="I981" t="s">
        <v>210</v>
      </c>
      <c r="J981" t="s">
        <v>680</v>
      </c>
      <c r="K981" t="s">
        <v>437</v>
      </c>
      <c r="L981">
        <v>47201</v>
      </c>
      <c r="M981" t="s">
        <v>288</v>
      </c>
      <c r="N981" t="s">
        <v>3133</v>
      </c>
      <c r="O981" t="s">
        <v>229</v>
      </c>
      <c r="P981" t="s">
        <v>273</v>
      </c>
      <c r="Q981" t="s">
        <v>3134</v>
      </c>
      <c r="R981" s="13">
        <v>34.020000000000003</v>
      </c>
      <c r="S981">
        <v>3</v>
      </c>
      <c r="T981" s="14">
        <v>0</v>
      </c>
      <c r="U981" s="13">
        <v>16.669799999999999</v>
      </c>
      <c r="V981">
        <f t="shared" si="210"/>
        <v>2015</v>
      </c>
      <c r="W981" t="str">
        <f t="shared" si="211"/>
        <v>Dec</v>
      </c>
      <c r="X981" t="str">
        <f t="shared" si="212"/>
        <v>Q4</v>
      </c>
      <c r="Y981" t="str">
        <f t="shared" si="213"/>
        <v>Wed</v>
      </c>
      <c r="Z981" s="16">
        <f t="shared" si="214"/>
        <v>3</v>
      </c>
      <c r="AA981" s="13">
        <f t="shared" si="215"/>
        <v>11.340000000000002</v>
      </c>
      <c r="AB981" s="14">
        <f t="shared" si="216"/>
        <v>0.48999999999999994</v>
      </c>
      <c r="AC981" t="str">
        <f t="shared" si="217"/>
        <v>No Discount</v>
      </c>
      <c r="AD981" t="str">
        <f t="shared" si="218"/>
        <v>Low (&lt;$50)</v>
      </c>
      <c r="AE981" t="str">
        <f t="shared" si="219"/>
        <v>Medium (3-5 units)</v>
      </c>
      <c r="AF981" t="str">
        <f t="shared" si="220"/>
        <v>Profitable</v>
      </c>
      <c r="AG981" t="str">
        <f t="shared" si="221"/>
        <v>High Margin</v>
      </c>
      <c r="AH981" t="str">
        <f t="shared" si="222"/>
        <v>Repeat Customer</v>
      </c>
      <c r="AI981" t="str">
        <f t="shared" si="223"/>
        <v>Standard (3-5 days)</v>
      </c>
    </row>
    <row r="982" spans="1:35" ht="15" customHeight="1" x14ac:dyDescent="0.3">
      <c r="A982">
        <v>981</v>
      </c>
      <c r="B982" t="s">
        <v>3135</v>
      </c>
      <c r="C982" s="12">
        <v>42646</v>
      </c>
      <c r="D982" s="12">
        <v>42651</v>
      </c>
      <c r="E982" t="s">
        <v>233</v>
      </c>
      <c r="F982" t="s">
        <v>335</v>
      </c>
      <c r="G982" t="s">
        <v>336</v>
      </c>
      <c r="H982" t="s">
        <v>209</v>
      </c>
      <c r="I982" t="s">
        <v>210</v>
      </c>
      <c r="J982" t="s">
        <v>449</v>
      </c>
      <c r="K982" t="s">
        <v>450</v>
      </c>
      <c r="L982">
        <v>10035</v>
      </c>
      <c r="M982" t="s">
        <v>331</v>
      </c>
      <c r="N982" t="s">
        <v>2670</v>
      </c>
      <c r="O982" t="s">
        <v>215</v>
      </c>
      <c r="P982" t="s">
        <v>219</v>
      </c>
      <c r="Q982" t="s">
        <v>2671</v>
      </c>
      <c r="R982" s="13">
        <v>599.29200000000003</v>
      </c>
      <c r="S982">
        <v>6</v>
      </c>
      <c r="T982" s="14">
        <v>0.1</v>
      </c>
      <c r="U982" s="13">
        <v>93.223200000000006</v>
      </c>
      <c r="V982">
        <f t="shared" si="210"/>
        <v>2016</v>
      </c>
      <c r="W982" t="str">
        <f t="shared" si="211"/>
        <v>Oct</v>
      </c>
      <c r="X982" t="str">
        <f t="shared" si="212"/>
        <v>Q4</v>
      </c>
      <c r="Y982" t="str">
        <f t="shared" si="213"/>
        <v>Mon</v>
      </c>
      <c r="Z982" s="16">
        <f t="shared" si="214"/>
        <v>5</v>
      </c>
      <c r="AA982" s="13">
        <f t="shared" si="215"/>
        <v>99.882000000000005</v>
      </c>
      <c r="AB982" s="14">
        <f t="shared" si="216"/>
        <v>0.15555555555555556</v>
      </c>
      <c r="AC982" t="str">
        <f t="shared" si="217"/>
        <v>Low (1-20%)</v>
      </c>
      <c r="AD982" t="str">
        <f t="shared" si="218"/>
        <v>Premium ($500+)</v>
      </c>
      <c r="AE982" t="str">
        <f t="shared" si="219"/>
        <v>Large (6+ units)</v>
      </c>
      <c r="AF982" t="str">
        <f t="shared" si="220"/>
        <v>Profitable</v>
      </c>
      <c r="AG982" t="str">
        <f t="shared" si="221"/>
        <v>Healthy Margin</v>
      </c>
      <c r="AH982" t="str">
        <f t="shared" si="222"/>
        <v>Repeat Customer</v>
      </c>
      <c r="AI982" t="str">
        <f t="shared" si="223"/>
        <v>Standard (3-5 days)</v>
      </c>
    </row>
    <row r="983" spans="1:35" ht="15" customHeight="1" x14ac:dyDescent="0.3">
      <c r="A983">
        <v>982</v>
      </c>
      <c r="B983" t="s">
        <v>3136</v>
      </c>
      <c r="C983" s="12">
        <v>41954</v>
      </c>
      <c r="D983" s="12">
        <v>41957</v>
      </c>
      <c r="E983" t="s">
        <v>206</v>
      </c>
      <c r="F983" t="s">
        <v>3137</v>
      </c>
      <c r="G983" t="s">
        <v>3138</v>
      </c>
      <c r="H983" t="s">
        <v>209</v>
      </c>
      <c r="I983" t="s">
        <v>210</v>
      </c>
      <c r="J983" t="s">
        <v>1661</v>
      </c>
      <c r="K983" t="s">
        <v>640</v>
      </c>
      <c r="L983">
        <v>80027</v>
      </c>
      <c r="M983" t="s">
        <v>227</v>
      </c>
      <c r="N983" t="s">
        <v>3139</v>
      </c>
      <c r="O983" t="s">
        <v>229</v>
      </c>
      <c r="P983" t="s">
        <v>251</v>
      </c>
      <c r="Q983" t="s">
        <v>3140</v>
      </c>
      <c r="R983" s="13">
        <v>3.3919999999999999</v>
      </c>
      <c r="S983">
        <v>1</v>
      </c>
      <c r="T983" s="14">
        <v>0.2</v>
      </c>
      <c r="U983" s="13">
        <v>0.80559999999999998</v>
      </c>
      <c r="V983">
        <f t="shared" si="210"/>
        <v>2014</v>
      </c>
      <c r="W983" t="str">
        <f t="shared" si="211"/>
        <v>Nov</v>
      </c>
      <c r="X983" t="str">
        <f t="shared" si="212"/>
        <v>Q4</v>
      </c>
      <c r="Y983" t="str">
        <f t="shared" si="213"/>
        <v>Tue</v>
      </c>
      <c r="Z983" s="16">
        <f t="shared" si="214"/>
        <v>3</v>
      </c>
      <c r="AA983" s="13">
        <f t="shared" si="215"/>
        <v>3.3919999999999999</v>
      </c>
      <c r="AB983" s="14">
        <f t="shared" si="216"/>
        <v>0.23749999999999999</v>
      </c>
      <c r="AC983" t="str">
        <f t="shared" si="217"/>
        <v>Low (1-20%)</v>
      </c>
      <c r="AD983" t="str">
        <f t="shared" si="218"/>
        <v>Low (&lt;$50)</v>
      </c>
      <c r="AE983" t="str">
        <f t="shared" si="219"/>
        <v>Small (1-2 units)</v>
      </c>
      <c r="AF983" t="str">
        <f t="shared" si="220"/>
        <v>Profitable</v>
      </c>
      <c r="AG983" t="str">
        <f t="shared" si="221"/>
        <v>Healthy Margin</v>
      </c>
      <c r="AH983" t="str">
        <f t="shared" si="222"/>
        <v>Repeat Customer</v>
      </c>
      <c r="AI983" t="str">
        <f t="shared" si="223"/>
        <v>Standard (3-5 days)</v>
      </c>
    </row>
    <row r="984" spans="1:35" ht="15" customHeight="1" x14ac:dyDescent="0.3">
      <c r="A984">
        <v>983</v>
      </c>
      <c r="B984" t="s">
        <v>3136</v>
      </c>
      <c r="C984" s="12">
        <v>41954</v>
      </c>
      <c r="D984" s="12">
        <v>41957</v>
      </c>
      <c r="E984" t="s">
        <v>206</v>
      </c>
      <c r="F984" t="s">
        <v>3137</v>
      </c>
      <c r="G984" t="s">
        <v>3138</v>
      </c>
      <c r="H984" t="s">
        <v>209</v>
      </c>
      <c r="I984" t="s">
        <v>210</v>
      </c>
      <c r="J984" t="s">
        <v>1661</v>
      </c>
      <c r="K984" t="s">
        <v>640</v>
      </c>
      <c r="L984">
        <v>80027</v>
      </c>
      <c r="M984" t="s">
        <v>227</v>
      </c>
      <c r="N984" t="s">
        <v>3141</v>
      </c>
      <c r="O984" t="s">
        <v>254</v>
      </c>
      <c r="P984" t="s">
        <v>255</v>
      </c>
      <c r="Q984" t="s">
        <v>3142</v>
      </c>
      <c r="R984" s="13">
        <v>559.98400000000004</v>
      </c>
      <c r="S984">
        <v>2</v>
      </c>
      <c r="T984" s="14">
        <v>0.2</v>
      </c>
      <c r="U984" s="13">
        <v>55.998399999999997</v>
      </c>
      <c r="V984">
        <f t="shared" si="210"/>
        <v>2014</v>
      </c>
      <c r="W984" t="str">
        <f t="shared" si="211"/>
        <v>Nov</v>
      </c>
      <c r="X984" t="str">
        <f t="shared" si="212"/>
        <v>Q4</v>
      </c>
      <c r="Y984" t="str">
        <f t="shared" si="213"/>
        <v>Tue</v>
      </c>
      <c r="Z984" s="16">
        <f t="shared" si="214"/>
        <v>3</v>
      </c>
      <c r="AA984" s="13">
        <f t="shared" si="215"/>
        <v>279.99200000000002</v>
      </c>
      <c r="AB984" s="14">
        <f t="shared" si="216"/>
        <v>9.9999999999999992E-2</v>
      </c>
      <c r="AC984" t="str">
        <f t="shared" si="217"/>
        <v>Low (1-20%)</v>
      </c>
      <c r="AD984" t="str">
        <f t="shared" si="218"/>
        <v>Premium ($500+)</v>
      </c>
      <c r="AE984" t="str">
        <f t="shared" si="219"/>
        <v>Small (1-2 units)</v>
      </c>
      <c r="AF984" t="str">
        <f t="shared" si="220"/>
        <v>Profitable</v>
      </c>
      <c r="AG984" t="str">
        <f t="shared" si="221"/>
        <v>Healthy Margin</v>
      </c>
      <c r="AH984" t="str">
        <f t="shared" si="222"/>
        <v>Repeat Customer</v>
      </c>
      <c r="AI984" t="str">
        <f t="shared" si="223"/>
        <v>Standard (3-5 days)</v>
      </c>
    </row>
    <row r="985" spans="1:35" ht="15" customHeight="1" x14ac:dyDescent="0.3">
      <c r="A985">
        <v>984</v>
      </c>
      <c r="B985" t="s">
        <v>3136</v>
      </c>
      <c r="C985" s="12">
        <v>41954</v>
      </c>
      <c r="D985" s="12">
        <v>41957</v>
      </c>
      <c r="E985" t="s">
        <v>206</v>
      </c>
      <c r="F985" t="s">
        <v>3137</v>
      </c>
      <c r="G985" t="s">
        <v>3138</v>
      </c>
      <c r="H985" t="s">
        <v>209</v>
      </c>
      <c r="I985" t="s">
        <v>210</v>
      </c>
      <c r="J985" t="s">
        <v>1661</v>
      </c>
      <c r="K985" t="s">
        <v>640</v>
      </c>
      <c r="L985">
        <v>80027</v>
      </c>
      <c r="M985" t="s">
        <v>227</v>
      </c>
      <c r="N985" t="s">
        <v>2769</v>
      </c>
      <c r="O985" t="s">
        <v>215</v>
      </c>
      <c r="P985" t="s">
        <v>219</v>
      </c>
      <c r="Q985" t="s">
        <v>2770</v>
      </c>
      <c r="R985" s="13">
        <v>603.91999999999996</v>
      </c>
      <c r="S985">
        <v>5</v>
      </c>
      <c r="T985" s="14">
        <v>0.2</v>
      </c>
      <c r="U985" s="13">
        <v>75.489999999999895</v>
      </c>
      <c r="V985">
        <f t="shared" si="210"/>
        <v>2014</v>
      </c>
      <c r="W985" t="str">
        <f t="shared" si="211"/>
        <v>Nov</v>
      </c>
      <c r="X985" t="str">
        <f t="shared" si="212"/>
        <v>Q4</v>
      </c>
      <c r="Y985" t="str">
        <f t="shared" si="213"/>
        <v>Tue</v>
      </c>
      <c r="Z985" s="16">
        <f t="shared" si="214"/>
        <v>3</v>
      </c>
      <c r="AA985" s="13">
        <f t="shared" si="215"/>
        <v>120.78399999999999</v>
      </c>
      <c r="AB985" s="14">
        <f t="shared" si="216"/>
        <v>0.12499999999999983</v>
      </c>
      <c r="AC985" t="str">
        <f t="shared" si="217"/>
        <v>Low (1-20%)</v>
      </c>
      <c r="AD985" t="str">
        <f t="shared" si="218"/>
        <v>Premium ($500+)</v>
      </c>
      <c r="AE985" t="str">
        <f t="shared" si="219"/>
        <v>Medium (3-5 units)</v>
      </c>
      <c r="AF985" t="str">
        <f t="shared" si="220"/>
        <v>Profitable</v>
      </c>
      <c r="AG985" t="str">
        <f t="shared" si="221"/>
        <v>Healthy Margin</v>
      </c>
      <c r="AH985" t="str">
        <f t="shared" si="222"/>
        <v>Repeat Customer</v>
      </c>
      <c r="AI985" t="str">
        <f t="shared" si="223"/>
        <v>Standard (3-5 days)</v>
      </c>
    </row>
    <row r="986" spans="1:35" ht="15" customHeight="1" x14ac:dyDescent="0.3">
      <c r="A986">
        <v>985</v>
      </c>
      <c r="B986" t="s">
        <v>3143</v>
      </c>
      <c r="C986" s="12">
        <v>43007</v>
      </c>
      <c r="D986" s="12">
        <v>43013</v>
      </c>
      <c r="E986" t="s">
        <v>233</v>
      </c>
      <c r="F986" t="s">
        <v>3144</v>
      </c>
      <c r="G986" t="s">
        <v>3145</v>
      </c>
      <c r="H986" t="s">
        <v>285</v>
      </c>
      <c r="I986" t="s">
        <v>210</v>
      </c>
      <c r="J986" t="s">
        <v>786</v>
      </c>
      <c r="K986" t="s">
        <v>287</v>
      </c>
      <c r="L986">
        <v>77506</v>
      </c>
      <c r="M986" t="s">
        <v>288</v>
      </c>
      <c r="N986" t="s">
        <v>2681</v>
      </c>
      <c r="O986" t="s">
        <v>229</v>
      </c>
      <c r="P986" t="s">
        <v>230</v>
      </c>
      <c r="Q986" t="s">
        <v>2682</v>
      </c>
      <c r="R986" s="13">
        <v>7.968</v>
      </c>
      <c r="S986">
        <v>2</v>
      </c>
      <c r="T986" s="14">
        <v>0.2</v>
      </c>
      <c r="U986" s="13">
        <v>2.5895999999999999</v>
      </c>
      <c r="V986">
        <f t="shared" si="210"/>
        <v>2017</v>
      </c>
      <c r="W986" t="str">
        <f t="shared" si="211"/>
        <v>Sep</v>
      </c>
      <c r="X986" t="str">
        <f t="shared" si="212"/>
        <v>Q3</v>
      </c>
      <c r="Y986" t="str">
        <f t="shared" si="213"/>
        <v>Fri</v>
      </c>
      <c r="Z986" s="16">
        <f t="shared" si="214"/>
        <v>6</v>
      </c>
      <c r="AA986" s="13">
        <f t="shared" si="215"/>
        <v>3.984</v>
      </c>
      <c r="AB986" s="14">
        <f t="shared" si="216"/>
        <v>0.32500000000000001</v>
      </c>
      <c r="AC986" t="str">
        <f t="shared" si="217"/>
        <v>Low (1-20%)</v>
      </c>
      <c r="AD986" t="str">
        <f t="shared" si="218"/>
        <v>Low (&lt;$50)</v>
      </c>
      <c r="AE986" t="str">
        <f t="shared" si="219"/>
        <v>Small (1-2 units)</v>
      </c>
      <c r="AF986" t="str">
        <f t="shared" si="220"/>
        <v>Profitable</v>
      </c>
      <c r="AG986" t="str">
        <f t="shared" si="221"/>
        <v>High Margin</v>
      </c>
      <c r="AH986" t="str">
        <f t="shared" si="222"/>
        <v>Repeat Customer</v>
      </c>
      <c r="AI986" t="str">
        <f t="shared" si="223"/>
        <v>Slow (6+ days)</v>
      </c>
    </row>
    <row r="987" spans="1:35" ht="15" customHeight="1" x14ac:dyDescent="0.3">
      <c r="A987">
        <v>986</v>
      </c>
      <c r="B987" t="s">
        <v>3143</v>
      </c>
      <c r="C987" s="12">
        <v>43007</v>
      </c>
      <c r="D987" s="12">
        <v>43013</v>
      </c>
      <c r="E987" t="s">
        <v>233</v>
      </c>
      <c r="F987" t="s">
        <v>3144</v>
      </c>
      <c r="G987" t="s">
        <v>3145</v>
      </c>
      <c r="H987" t="s">
        <v>285</v>
      </c>
      <c r="I987" t="s">
        <v>210</v>
      </c>
      <c r="J987" t="s">
        <v>786</v>
      </c>
      <c r="K987" t="s">
        <v>287</v>
      </c>
      <c r="L987">
        <v>77506</v>
      </c>
      <c r="M987" t="s">
        <v>288</v>
      </c>
      <c r="N987" t="s">
        <v>3146</v>
      </c>
      <c r="O987" t="s">
        <v>229</v>
      </c>
      <c r="P987" t="s">
        <v>356</v>
      </c>
      <c r="Q987" t="s">
        <v>3147</v>
      </c>
      <c r="R987" s="13">
        <v>27.968</v>
      </c>
      <c r="S987">
        <v>4</v>
      </c>
      <c r="T987" s="14">
        <v>0.2</v>
      </c>
      <c r="U987" s="13">
        <v>9.4391999999999996</v>
      </c>
      <c r="V987">
        <f t="shared" si="210"/>
        <v>2017</v>
      </c>
      <c r="W987" t="str">
        <f t="shared" si="211"/>
        <v>Sep</v>
      </c>
      <c r="X987" t="str">
        <f t="shared" si="212"/>
        <v>Q3</v>
      </c>
      <c r="Y987" t="str">
        <f t="shared" si="213"/>
        <v>Fri</v>
      </c>
      <c r="Z987" s="16">
        <f t="shared" si="214"/>
        <v>6</v>
      </c>
      <c r="AA987" s="13">
        <f t="shared" si="215"/>
        <v>6.992</v>
      </c>
      <c r="AB987" s="14">
        <f t="shared" si="216"/>
        <v>0.33749999999999997</v>
      </c>
      <c r="AC987" t="str">
        <f t="shared" si="217"/>
        <v>Low (1-20%)</v>
      </c>
      <c r="AD987" t="str">
        <f t="shared" si="218"/>
        <v>Low (&lt;$50)</v>
      </c>
      <c r="AE987" t="str">
        <f t="shared" si="219"/>
        <v>Medium (3-5 units)</v>
      </c>
      <c r="AF987" t="str">
        <f t="shared" si="220"/>
        <v>Profitable</v>
      </c>
      <c r="AG987" t="str">
        <f t="shared" si="221"/>
        <v>High Margin</v>
      </c>
      <c r="AH987" t="str">
        <f t="shared" si="222"/>
        <v>Repeat Customer</v>
      </c>
      <c r="AI987" t="str">
        <f t="shared" si="223"/>
        <v>Slow (6+ days)</v>
      </c>
    </row>
    <row r="988" spans="1:35" ht="15" customHeight="1" x14ac:dyDescent="0.3">
      <c r="A988">
        <v>987</v>
      </c>
      <c r="B988" t="s">
        <v>3143</v>
      </c>
      <c r="C988" s="12">
        <v>43007</v>
      </c>
      <c r="D988" s="12">
        <v>43013</v>
      </c>
      <c r="E988" t="s">
        <v>233</v>
      </c>
      <c r="F988" t="s">
        <v>3144</v>
      </c>
      <c r="G988" t="s">
        <v>3145</v>
      </c>
      <c r="H988" t="s">
        <v>285</v>
      </c>
      <c r="I988" t="s">
        <v>210</v>
      </c>
      <c r="J988" t="s">
        <v>786</v>
      </c>
      <c r="K988" t="s">
        <v>287</v>
      </c>
      <c r="L988">
        <v>77506</v>
      </c>
      <c r="M988" t="s">
        <v>288</v>
      </c>
      <c r="N988" t="s">
        <v>3148</v>
      </c>
      <c r="O988" t="s">
        <v>254</v>
      </c>
      <c r="P988" t="s">
        <v>867</v>
      </c>
      <c r="Q988" t="s">
        <v>3149</v>
      </c>
      <c r="R988" s="13">
        <v>336.51</v>
      </c>
      <c r="S988">
        <v>3</v>
      </c>
      <c r="T988" s="14">
        <v>0.4</v>
      </c>
      <c r="U988" s="13">
        <v>44.868000000000002</v>
      </c>
      <c r="V988">
        <f t="shared" si="210"/>
        <v>2017</v>
      </c>
      <c r="W988" t="str">
        <f t="shared" si="211"/>
        <v>Sep</v>
      </c>
      <c r="X988" t="str">
        <f t="shared" si="212"/>
        <v>Q3</v>
      </c>
      <c r="Y988" t="str">
        <f t="shared" si="213"/>
        <v>Fri</v>
      </c>
      <c r="Z988" s="16">
        <f t="shared" si="214"/>
        <v>6</v>
      </c>
      <c r="AA988" s="13">
        <f t="shared" si="215"/>
        <v>112.17</v>
      </c>
      <c r="AB988" s="14">
        <f t="shared" si="216"/>
        <v>0.13333333333333333</v>
      </c>
      <c r="AC988" t="str">
        <f t="shared" si="217"/>
        <v>Medium (21-40%)</v>
      </c>
      <c r="AD988" t="str">
        <f t="shared" si="218"/>
        <v>High ($200-$500)</v>
      </c>
      <c r="AE988" t="str">
        <f t="shared" si="219"/>
        <v>Medium (3-5 units)</v>
      </c>
      <c r="AF988" t="str">
        <f t="shared" si="220"/>
        <v>Profitable</v>
      </c>
      <c r="AG988" t="str">
        <f t="shared" si="221"/>
        <v>Healthy Margin</v>
      </c>
      <c r="AH988" t="str">
        <f t="shared" si="222"/>
        <v>Repeat Customer</v>
      </c>
      <c r="AI988" t="str">
        <f t="shared" si="223"/>
        <v>Slow (6+ days)</v>
      </c>
    </row>
    <row r="989" spans="1:35" ht="15" customHeight="1" x14ac:dyDescent="0.3">
      <c r="A989">
        <v>988</v>
      </c>
      <c r="B989" t="s">
        <v>3150</v>
      </c>
      <c r="C989" s="12">
        <v>42073</v>
      </c>
      <c r="D989" s="12">
        <v>42073</v>
      </c>
      <c r="E989" t="s">
        <v>1476</v>
      </c>
      <c r="F989" t="s">
        <v>3151</v>
      </c>
      <c r="G989" t="s">
        <v>3152</v>
      </c>
      <c r="H989" t="s">
        <v>209</v>
      </c>
      <c r="I989" t="s">
        <v>210</v>
      </c>
      <c r="J989" t="s">
        <v>367</v>
      </c>
      <c r="K989" t="s">
        <v>287</v>
      </c>
      <c r="L989">
        <v>77041</v>
      </c>
      <c r="M989" t="s">
        <v>288</v>
      </c>
      <c r="N989" t="s">
        <v>3153</v>
      </c>
      <c r="O989" t="s">
        <v>229</v>
      </c>
      <c r="P989" t="s">
        <v>258</v>
      </c>
      <c r="Q989" t="s">
        <v>3154</v>
      </c>
      <c r="R989" s="13">
        <v>1.1120000000000001</v>
      </c>
      <c r="S989">
        <v>2</v>
      </c>
      <c r="T989" s="14">
        <v>0.8</v>
      </c>
      <c r="U989" s="13">
        <v>-1.8904000000000001</v>
      </c>
      <c r="V989">
        <f t="shared" si="210"/>
        <v>2015</v>
      </c>
      <c r="W989" t="str">
        <f t="shared" si="211"/>
        <v>Mar</v>
      </c>
      <c r="X989" t="str">
        <f t="shared" si="212"/>
        <v>Q1</v>
      </c>
      <c r="Y989" t="str">
        <f t="shared" si="213"/>
        <v>Tue</v>
      </c>
      <c r="Z989" s="16">
        <f t="shared" si="214"/>
        <v>0</v>
      </c>
      <c r="AA989" s="13">
        <f t="shared" si="215"/>
        <v>0.55600000000000005</v>
      </c>
      <c r="AB989" s="14">
        <f t="shared" si="216"/>
        <v>-1.7</v>
      </c>
      <c r="AC989" t="str">
        <f t="shared" si="217"/>
        <v>High (40%+)</v>
      </c>
      <c r="AD989" t="str">
        <f t="shared" si="218"/>
        <v>Low (&lt;$50)</v>
      </c>
      <c r="AE989" t="str">
        <f t="shared" si="219"/>
        <v>Small (1-2 units)</v>
      </c>
      <c r="AF989" t="str">
        <f t="shared" si="220"/>
        <v>Loss-Making</v>
      </c>
      <c r="AG989" t="str">
        <f t="shared" si="221"/>
        <v>Underperforming</v>
      </c>
      <c r="AH989" t="str">
        <f t="shared" si="222"/>
        <v>Single Purchase</v>
      </c>
      <c r="AI989" t="str">
        <f t="shared" si="223"/>
        <v>Fast (&lt;=2 days)</v>
      </c>
    </row>
    <row r="990" spans="1:35" ht="15" customHeight="1" x14ac:dyDescent="0.3">
      <c r="A990">
        <v>989</v>
      </c>
      <c r="B990" t="s">
        <v>3155</v>
      </c>
      <c r="C990" s="12">
        <v>42876</v>
      </c>
      <c r="D990" s="12">
        <v>42881</v>
      </c>
      <c r="E990" t="s">
        <v>233</v>
      </c>
      <c r="F990" t="s">
        <v>1836</v>
      </c>
      <c r="G990" t="s">
        <v>1837</v>
      </c>
      <c r="H990" t="s">
        <v>224</v>
      </c>
      <c r="I990" t="s">
        <v>210</v>
      </c>
      <c r="J990" t="s">
        <v>1748</v>
      </c>
      <c r="K990" t="s">
        <v>450</v>
      </c>
      <c r="L990">
        <v>13021</v>
      </c>
      <c r="M990" t="s">
        <v>331</v>
      </c>
      <c r="N990" t="s">
        <v>2426</v>
      </c>
      <c r="O990" t="s">
        <v>215</v>
      </c>
      <c r="P990" t="s">
        <v>248</v>
      </c>
      <c r="Q990" t="s">
        <v>2427</v>
      </c>
      <c r="R990" s="13">
        <v>520.04999999999995</v>
      </c>
      <c r="S990">
        <v>5</v>
      </c>
      <c r="T990" s="14">
        <v>0</v>
      </c>
      <c r="U990" s="13">
        <v>72.807000000000002</v>
      </c>
      <c r="V990">
        <f t="shared" si="210"/>
        <v>2017</v>
      </c>
      <c r="W990" t="str">
        <f t="shared" si="211"/>
        <v>May</v>
      </c>
      <c r="X990" t="str">
        <f t="shared" si="212"/>
        <v>Q2</v>
      </c>
      <c r="Y990" t="str">
        <f t="shared" si="213"/>
        <v>Sun</v>
      </c>
      <c r="Z990" s="16">
        <f t="shared" si="214"/>
        <v>5</v>
      </c>
      <c r="AA990" s="13">
        <f t="shared" si="215"/>
        <v>104.00999999999999</v>
      </c>
      <c r="AB990" s="14">
        <f t="shared" si="216"/>
        <v>0.14000000000000001</v>
      </c>
      <c r="AC990" t="str">
        <f t="shared" si="217"/>
        <v>No Discount</v>
      </c>
      <c r="AD990" t="str">
        <f t="shared" si="218"/>
        <v>Premium ($500+)</v>
      </c>
      <c r="AE990" t="str">
        <f t="shared" si="219"/>
        <v>Medium (3-5 units)</v>
      </c>
      <c r="AF990" t="str">
        <f t="shared" si="220"/>
        <v>Profitable</v>
      </c>
      <c r="AG990" t="str">
        <f t="shared" si="221"/>
        <v>Healthy Margin</v>
      </c>
      <c r="AH990" t="str">
        <f t="shared" si="222"/>
        <v>Repeat Customer</v>
      </c>
      <c r="AI990" t="str">
        <f t="shared" si="223"/>
        <v>Standard (3-5 days)</v>
      </c>
    </row>
    <row r="991" spans="1:35" ht="15" customHeight="1" x14ac:dyDescent="0.3">
      <c r="A991">
        <v>990</v>
      </c>
      <c r="B991" t="s">
        <v>3155</v>
      </c>
      <c r="C991" s="12">
        <v>42876</v>
      </c>
      <c r="D991" s="12">
        <v>42881</v>
      </c>
      <c r="E991" t="s">
        <v>233</v>
      </c>
      <c r="F991" t="s">
        <v>1836</v>
      </c>
      <c r="G991" t="s">
        <v>1837</v>
      </c>
      <c r="H991" t="s">
        <v>224</v>
      </c>
      <c r="I991" t="s">
        <v>210</v>
      </c>
      <c r="J991" t="s">
        <v>1748</v>
      </c>
      <c r="K991" t="s">
        <v>450</v>
      </c>
      <c r="L991">
        <v>13021</v>
      </c>
      <c r="M991" t="s">
        <v>331</v>
      </c>
      <c r="N991" t="s">
        <v>3156</v>
      </c>
      <c r="O991" t="s">
        <v>229</v>
      </c>
      <c r="P991" t="s">
        <v>251</v>
      </c>
      <c r="Q991" t="s">
        <v>3157</v>
      </c>
      <c r="R991" s="13">
        <v>17.97</v>
      </c>
      <c r="S991">
        <v>3</v>
      </c>
      <c r="T991" s="14">
        <v>0</v>
      </c>
      <c r="U991" s="13">
        <v>5.2112999999999996</v>
      </c>
      <c r="V991">
        <f t="shared" si="210"/>
        <v>2017</v>
      </c>
      <c r="W991" t="str">
        <f t="shared" si="211"/>
        <v>May</v>
      </c>
      <c r="X991" t="str">
        <f t="shared" si="212"/>
        <v>Q2</v>
      </c>
      <c r="Y991" t="str">
        <f t="shared" si="213"/>
        <v>Sun</v>
      </c>
      <c r="Z991" s="16">
        <f t="shared" si="214"/>
        <v>5</v>
      </c>
      <c r="AA991" s="13">
        <f t="shared" si="215"/>
        <v>5.9899999999999993</v>
      </c>
      <c r="AB991" s="14">
        <f t="shared" si="216"/>
        <v>0.28999999999999998</v>
      </c>
      <c r="AC991" t="str">
        <f t="shared" si="217"/>
        <v>No Discount</v>
      </c>
      <c r="AD991" t="str">
        <f t="shared" si="218"/>
        <v>Low (&lt;$50)</v>
      </c>
      <c r="AE991" t="str">
        <f t="shared" si="219"/>
        <v>Medium (3-5 units)</v>
      </c>
      <c r="AF991" t="str">
        <f t="shared" si="220"/>
        <v>Profitable</v>
      </c>
      <c r="AG991" t="str">
        <f t="shared" si="221"/>
        <v>High Margin</v>
      </c>
      <c r="AH991" t="str">
        <f t="shared" si="222"/>
        <v>Repeat Customer</v>
      </c>
      <c r="AI991" t="str">
        <f t="shared" si="223"/>
        <v>Standard (3-5 days)</v>
      </c>
    </row>
    <row r="992" spans="1:35" ht="15" customHeight="1" x14ac:dyDescent="0.3">
      <c r="A992">
        <v>991</v>
      </c>
      <c r="B992" t="s">
        <v>3158</v>
      </c>
      <c r="C992" s="12">
        <v>42092</v>
      </c>
      <c r="D992" s="12">
        <v>42094</v>
      </c>
      <c r="E992" t="s">
        <v>206</v>
      </c>
      <c r="F992" t="s">
        <v>3159</v>
      </c>
      <c r="G992" t="s">
        <v>3160</v>
      </c>
      <c r="H992" t="s">
        <v>285</v>
      </c>
      <c r="I992" t="s">
        <v>210</v>
      </c>
      <c r="J992" t="s">
        <v>1709</v>
      </c>
      <c r="K992" t="s">
        <v>237</v>
      </c>
      <c r="L992">
        <v>32216</v>
      </c>
      <c r="M992" t="s">
        <v>213</v>
      </c>
      <c r="N992" t="s">
        <v>1322</v>
      </c>
      <c r="O992" t="s">
        <v>215</v>
      </c>
      <c r="P992" t="s">
        <v>219</v>
      </c>
      <c r="Q992" t="s">
        <v>1323</v>
      </c>
      <c r="R992" s="13">
        <v>1166.92</v>
      </c>
      <c r="S992">
        <v>5</v>
      </c>
      <c r="T992" s="14">
        <v>0.2</v>
      </c>
      <c r="U992" s="13">
        <v>131.27850000000001</v>
      </c>
      <c r="V992">
        <f t="shared" si="210"/>
        <v>2015</v>
      </c>
      <c r="W992" t="str">
        <f t="shared" si="211"/>
        <v>Mar</v>
      </c>
      <c r="X992" t="str">
        <f t="shared" si="212"/>
        <v>Q1</v>
      </c>
      <c r="Y992" t="str">
        <f t="shared" si="213"/>
        <v>Sun</v>
      </c>
      <c r="Z992" s="16">
        <f t="shared" si="214"/>
        <v>2</v>
      </c>
      <c r="AA992" s="13">
        <f t="shared" si="215"/>
        <v>233.38400000000001</v>
      </c>
      <c r="AB992" s="14">
        <f t="shared" si="216"/>
        <v>0.1125</v>
      </c>
      <c r="AC992" t="str">
        <f t="shared" si="217"/>
        <v>Low (1-20%)</v>
      </c>
      <c r="AD992" t="str">
        <f t="shared" si="218"/>
        <v>Premium ($500+)</v>
      </c>
      <c r="AE992" t="str">
        <f t="shared" si="219"/>
        <v>Medium (3-5 units)</v>
      </c>
      <c r="AF992" t="str">
        <f t="shared" si="220"/>
        <v>Profitable</v>
      </c>
      <c r="AG992" t="str">
        <f t="shared" si="221"/>
        <v>Healthy Margin</v>
      </c>
      <c r="AH992" t="str">
        <f t="shared" si="222"/>
        <v>Single Purchase</v>
      </c>
      <c r="AI992" t="str">
        <f t="shared" si="223"/>
        <v>Fast (&lt;=2 days)</v>
      </c>
    </row>
    <row r="993" spans="1:35" ht="15" customHeight="1" x14ac:dyDescent="0.3">
      <c r="A993">
        <v>992</v>
      </c>
      <c r="B993" t="s">
        <v>3161</v>
      </c>
      <c r="C993" s="12">
        <v>42622</v>
      </c>
      <c r="D993" s="12">
        <v>42624</v>
      </c>
      <c r="E993" t="s">
        <v>371</v>
      </c>
      <c r="F993" t="s">
        <v>725</v>
      </c>
      <c r="G993" t="s">
        <v>726</v>
      </c>
      <c r="H993" t="s">
        <v>209</v>
      </c>
      <c r="I993" t="s">
        <v>210</v>
      </c>
      <c r="J993" t="s">
        <v>449</v>
      </c>
      <c r="K993" t="s">
        <v>450</v>
      </c>
      <c r="L993">
        <v>10024</v>
      </c>
      <c r="M993" t="s">
        <v>331</v>
      </c>
      <c r="N993" t="s">
        <v>2630</v>
      </c>
      <c r="O993" t="s">
        <v>229</v>
      </c>
      <c r="P993" t="s">
        <v>258</v>
      </c>
      <c r="Q993" t="s">
        <v>2631</v>
      </c>
      <c r="R993" s="13">
        <v>14.624000000000001</v>
      </c>
      <c r="S993">
        <v>2</v>
      </c>
      <c r="T993" s="14">
        <v>0.2</v>
      </c>
      <c r="U993" s="13">
        <v>5.484</v>
      </c>
      <c r="V993">
        <f t="shared" si="210"/>
        <v>2016</v>
      </c>
      <c r="W993" t="str">
        <f t="shared" si="211"/>
        <v>Sep</v>
      </c>
      <c r="X993" t="str">
        <f t="shared" si="212"/>
        <v>Q3</v>
      </c>
      <c r="Y993" t="str">
        <f t="shared" si="213"/>
        <v>Fri</v>
      </c>
      <c r="Z993" s="16">
        <f t="shared" si="214"/>
        <v>2</v>
      </c>
      <c r="AA993" s="13">
        <f t="shared" si="215"/>
        <v>7.3120000000000003</v>
      </c>
      <c r="AB993" s="14">
        <f t="shared" si="216"/>
        <v>0.375</v>
      </c>
      <c r="AC993" t="str">
        <f t="shared" si="217"/>
        <v>Low (1-20%)</v>
      </c>
      <c r="AD993" t="str">
        <f t="shared" si="218"/>
        <v>Low (&lt;$50)</v>
      </c>
      <c r="AE993" t="str">
        <f t="shared" si="219"/>
        <v>Small (1-2 units)</v>
      </c>
      <c r="AF993" t="str">
        <f t="shared" si="220"/>
        <v>Profitable</v>
      </c>
      <c r="AG993" t="str">
        <f t="shared" si="221"/>
        <v>High Margin</v>
      </c>
      <c r="AH993" t="str">
        <f t="shared" si="222"/>
        <v>Repeat Customer</v>
      </c>
      <c r="AI993" t="str">
        <f t="shared" si="223"/>
        <v>Fast (&lt;=2 days)</v>
      </c>
    </row>
    <row r="994" spans="1:35" ht="15" customHeight="1" x14ac:dyDescent="0.3">
      <c r="A994">
        <v>993</v>
      </c>
      <c r="B994" t="s">
        <v>3162</v>
      </c>
      <c r="C994" s="12">
        <v>42608</v>
      </c>
      <c r="D994" s="12">
        <v>42609</v>
      </c>
      <c r="E994" t="s">
        <v>371</v>
      </c>
      <c r="F994" t="s">
        <v>2572</v>
      </c>
      <c r="G994" t="s">
        <v>2573</v>
      </c>
      <c r="H994" t="s">
        <v>209</v>
      </c>
      <c r="I994" t="s">
        <v>210</v>
      </c>
      <c r="J994" t="s">
        <v>814</v>
      </c>
      <c r="K994" t="s">
        <v>226</v>
      </c>
      <c r="L994">
        <v>95123</v>
      </c>
      <c r="M994" t="s">
        <v>227</v>
      </c>
      <c r="N994" t="s">
        <v>1256</v>
      </c>
      <c r="O994" t="s">
        <v>229</v>
      </c>
      <c r="P994" t="s">
        <v>452</v>
      </c>
      <c r="Q994" t="s">
        <v>1257</v>
      </c>
      <c r="R994" s="13">
        <v>10.23</v>
      </c>
      <c r="S994">
        <v>3</v>
      </c>
      <c r="T994" s="14">
        <v>0</v>
      </c>
      <c r="U994" s="13">
        <v>4.9104000000000001</v>
      </c>
      <c r="V994">
        <f t="shared" si="210"/>
        <v>2016</v>
      </c>
      <c r="W994" t="str">
        <f t="shared" si="211"/>
        <v>Aug</v>
      </c>
      <c r="X994" t="str">
        <f t="shared" si="212"/>
        <v>Q3</v>
      </c>
      <c r="Y994" t="str">
        <f t="shared" si="213"/>
        <v>Fri</v>
      </c>
      <c r="Z994" s="16">
        <f t="shared" si="214"/>
        <v>1</v>
      </c>
      <c r="AA994" s="13">
        <f t="shared" si="215"/>
        <v>3.41</v>
      </c>
      <c r="AB994" s="14">
        <f t="shared" si="216"/>
        <v>0.48</v>
      </c>
      <c r="AC994" t="str">
        <f t="shared" si="217"/>
        <v>No Discount</v>
      </c>
      <c r="AD994" t="str">
        <f t="shared" si="218"/>
        <v>Low (&lt;$50)</v>
      </c>
      <c r="AE994" t="str">
        <f t="shared" si="219"/>
        <v>Medium (3-5 units)</v>
      </c>
      <c r="AF994" t="str">
        <f t="shared" si="220"/>
        <v>Profitable</v>
      </c>
      <c r="AG994" t="str">
        <f t="shared" si="221"/>
        <v>High Margin</v>
      </c>
      <c r="AH994" t="str">
        <f t="shared" si="222"/>
        <v>Repeat Customer</v>
      </c>
      <c r="AI994" t="str">
        <f t="shared" si="223"/>
        <v>Fast (&lt;=2 days)</v>
      </c>
    </row>
    <row r="995" spans="1:35" ht="15" customHeight="1" x14ac:dyDescent="0.3">
      <c r="A995">
        <v>994</v>
      </c>
      <c r="B995" t="s">
        <v>3162</v>
      </c>
      <c r="C995" s="12">
        <v>42608</v>
      </c>
      <c r="D995" s="12">
        <v>42609</v>
      </c>
      <c r="E995" t="s">
        <v>371</v>
      </c>
      <c r="F995" t="s">
        <v>2572</v>
      </c>
      <c r="G995" t="s">
        <v>2573</v>
      </c>
      <c r="H995" t="s">
        <v>209</v>
      </c>
      <c r="I995" t="s">
        <v>210</v>
      </c>
      <c r="J995" t="s">
        <v>814</v>
      </c>
      <c r="K995" t="s">
        <v>226</v>
      </c>
      <c r="L995">
        <v>95123</v>
      </c>
      <c r="M995" t="s">
        <v>227</v>
      </c>
      <c r="N995" t="s">
        <v>3163</v>
      </c>
      <c r="O995" t="s">
        <v>229</v>
      </c>
      <c r="P995" t="s">
        <v>273</v>
      </c>
      <c r="Q995" t="s">
        <v>3164</v>
      </c>
      <c r="R995" s="13">
        <v>154.9</v>
      </c>
      <c r="S995">
        <v>5</v>
      </c>
      <c r="T995" s="14">
        <v>0</v>
      </c>
      <c r="U995" s="13">
        <v>69.704999999999998</v>
      </c>
      <c r="V995">
        <f t="shared" si="210"/>
        <v>2016</v>
      </c>
      <c r="W995" t="str">
        <f t="shared" si="211"/>
        <v>Aug</v>
      </c>
      <c r="X995" t="str">
        <f t="shared" si="212"/>
        <v>Q3</v>
      </c>
      <c r="Y995" t="str">
        <f t="shared" si="213"/>
        <v>Fri</v>
      </c>
      <c r="Z995" s="16">
        <f t="shared" si="214"/>
        <v>1</v>
      </c>
      <c r="AA995" s="13">
        <f t="shared" si="215"/>
        <v>30.98</v>
      </c>
      <c r="AB995" s="14">
        <f t="shared" si="216"/>
        <v>0.44999999999999996</v>
      </c>
      <c r="AC995" t="str">
        <f t="shared" si="217"/>
        <v>No Discount</v>
      </c>
      <c r="AD995" t="str">
        <f t="shared" si="218"/>
        <v>Medium ($50-$200)</v>
      </c>
      <c r="AE995" t="str">
        <f t="shared" si="219"/>
        <v>Medium (3-5 units)</v>
      </c>
      <c r="AF995" t="str">
        <f t="shared" si="220"/>
        <v>Profitable</v>
      </c>
      <c r="AG995" t="str">
        <f t="shared" si="221"/>
        <v>High Margin</v>
      </c>
      <c r="AH995" t="str">
        <f t="shared" si="222"/>
        <v>Repeat Customer</v>
      </c>
      <c r="AI995" t="str">
        <f t="shared" si="223"/>
        <v>Fast (&lt;=2 days)</v>
      </c>
    </row>
    <row r="996" spans="1:35" ht="15" customHeight="1" x14ac:dyDescent="0.3">
      <c r="A996">
        <v>995</v>
      </c>
      <c r="B996" t="s">
        <v>3165</v>
      </c>
      <c r="C996" s="12">
        <v>41780</v>
      </c>
      <c r="D996" s="12">
        <v>41784</v>
      </c>
      <c r="E996" t="s">
        <v>233</v>
      </c>
      <c r="F996" t="s">
        <v>3166</v>
      </c>
      <c r="G996" t="s">
        <v>3167</v>
      </c>
      <c r="H996" t="s">
        <v>224</v>
      </c>
      <c r="I996" t="s">
        <v>210</v>
      </c>
      <c r="J996" t="s">
        <v>3168</v>
      </c>
      <c r="K996" t="s">
        <v>502</v>
      </c>
      <c r="L996">
        <v>23464</v>
      </c>
      <c r="M996" t="s">
        <v>213</v>
      </c>
      <c r="N996" t="s">
        <v>3169</v>
      </c>
      <c r="O996" t="s">
        <v>229</v>
      </c>
      <c r="P996" t="s">
        <v>258</v>
      </c>
      <c r="Q996" t="s">
        <v>3170</v>
      </c>
      <c r="R996" s="13">
        <v>2715.93</v>
      </c>
      <c r="S996">
        <v>7</v>
      </c>
      <c r="T996" s="14">
        <v>0</v>
      </c>
      <c r="U996" s="13">
        <v>1276.4871000000001</v>
      </c>
      <c r="V996">
        <f t="shared" si="210"/>
        <v>2014</v>
      </c>
      <c r="W996" t="str">
        <f t="shared" si="211"/>
        <v>May</v>
      </c>
      <c r="X996" t="str">
        <f t="shared" si="212"/>
        <v>Q2</v>
      </c>
      <c r="Y996" t="str">
        <f t="shared" si="213"/>
        <v>Wed</v>
      </c>
      <c r="Z996" s="16">
        <f t="shared" si="214"/>
        <v>4</v>
      </c>
      <c r="AA996" s="13">
        <f t="shared" si="215"/>
        <v>387.98999999999995</v>
      </c>
      <c r="AB996" s="14">
        <f t="shared" si="216"/>
        <v>0.47000000000000003</v>
      </c>
      <c r="AC996" t="str">
        <f t="shared" si="217"/>
        <v>No Discount</v>
      </c>
      <c r="AD996" t="str">
        <f t="shared" si="218"/>
        <v>Premium ($500+)</v>
      </c>
      <c r="AE996" t="str">
        <f t="shared" si="219"/>
        <v>Large (6+ units)</v>
      </c>
      <c r="AF996" t="str">
        <f t="shared" si="220"/>
        <v>Profitable</v>
      </c>
      <c r="AG996" t="str">
        <f t="shared" si="221"/>
        <v>High Margin</v>
      </c>
      <c r="AH996" t="str">
        <f t="shared" si="222"/>
        <v>Repeat Customer</v>
      </c>
      <c r="AI996" t="str">
        <f t="shared" si="223"/>
        <v>Standard (3-5 days)</v>
      </c>
    </row>
    <row r="997" spans="1:35" ht="15" customHeight="1" x14ac:dyDescent="0.3">
      <c r="A997">
        <v>996</v>
      </c>
      <c r="B997" t="s">
        <v>3165</v>
      </c>
      <c r="C997" s="12">
        <v>41780</v>
      </c>
      <c r="D997" s="12">
        <v>41784</v>
      </c>
      <c r="E997" t="s">
        <v>233</v>
      </c>
      <c r="F997" t="s">
        <v>3166</v>
      </c>
      <c r="G997" t="s">
        <v>3167</v>
      </c>
      <c r="H997" t="s">
        <v>224</v>
      </c>
      <c r="I997" t="s">
        <v>210</v>
      </c>
      <c r="J997" t="s">
        <v>3168</v>
      </c>
      <c r="K997" t="s">
        <v>502</v>
      </c>
      <c r="L997">
        <v>23464</v>
      </c>
      <c r="M997" t="s">
        <v>213</v>
      </c>
      <c r="N997" t="s">
        <v>2676</v>
      </c>
      <c r="O997" t="s">
        <v>254</v>
      </c>
      <c r="P997" t="s">
        <v>255</v>
      </c>
      <c r="Q997" t="s">
        <v>3171</v>
      </c>
      <c r="R997" s="13">
        <v>617.97</v>
      </c>
      <c r="S997">
        <v>3</v>
      </c>
      <c r="T997" s="14">
        <v>0</v>
      </c>
      <c r="U997" s="13">
        <v>173.0316</v>
      </c>
      <c r="V997">
        <f t="shared" si="210"/>
        <v>2014</v>
      </c>
      <c r="W997" t="str">
        <f t="shared" si="211"/>
        <v>May</v>
      </c>
      <c r="X997" t="str">
        <f t="shared" si="212"/>
        <v>Q2</v>
      </c>
      <c r="Y997" t="str">
        <f t="shared" si="213"/>
        <v>Wed</v>
      </c>
      <c r="Z997" s="16">
        <f t="shared" si="214"/>
        <v>4</v>
      </c>
      <c r="AA997" s="13">
        <f t="shared" si="215"/>
        <v>205.99</v>
      </c>
      <c r="AB997" s="14">
        <f t="shared" si="216"/>
        <v>0.27999999999999997</v>
      </c>
      <c r="AC997" t="str">
        <f t="shared" si="217"/>
        <v>No Discount</v>
      </c>
      <c r="AD997" t="str">
        <f t="shared" si="218"/>
        <v>Premium ($500+)</v>
      </c>
      <c r="AE997" t="str">
        <f t="shared" si="219"/>
        <v>Medium (3-5 units)</v>
      </c>
      <c r="AF997" t="str">
        <f t="shared" si="220"/>
        <v>Profitable</v>
      </c>
      <c r="AG997" t="str">
        <f t="shared" si="221"/>
        <v>High Margin</v>
      </c>
      <c r="AH997" t="str">
        <f t="shared" si="222"/>
        <v>Repeat Customer</v>
      </c>
      <c r="AI997" t="str">
        <f t="shared" si="223"/>
        <v>Standard (3-5 days)</v>
      </c>
    </row>
    <row r="998" spans="1:35" ht="15" customHeight="1" x14ac:dyDescent="0.3">
      <c r="A998">
        <v>997</v>
      </c>
      <c r="B998" t="s">
        <v>3172</v>
      </c>
      <c r="C998" s="12">
        <v>42305</v>
      </c>
      <c r="D998" s="12">
        <v>42311</v>
      </c>
      <c r="E998" t="s">
        <v>233</v>
      </c>
      <c r="F998" t="s">
        <v>3173</v>
      </c>
      <c r="G998" t="s">
        <v>3174</v>
      </c>
      <c r="H998" t="s">
        <v>209</v>
      </c>
      <c r="I998" t="s">
        <v>210</v>
      </c>
      <c r="J998" t="s">
        <v>211</v>
      </c>
      <c r="K998" t="s">
        <v>212</v>
      </c>
      <c r="L998">
        <v>42420</v>
      </c>
      <c r="M998" t="s">
        <v>213</v>
      </c>
      <c r="N998" t="s">
        <v>3175</v>
      </c>
      <c r="O998" t="s">
        <v>229</v>
      </c>
      <c r="P998" t="s">
        <v>356</v>
      </c>
      <c r="Q998" t="s">
        <v>3176</v>
      </c>
      <c r="R998" s="13">
        <v>10.67</v>
      </c>
      <c r="S998">
        <v>1</v>
      </c>
      <c r="T998" s="14">
        <v>0</v>
      </c>
      <c r="U998" s="13">
        <v>4.9081999999999999</v>
      </c>
      <c r="V998">
        <f t="shared" si="210"/>
        <v>2015</v>
      </c>
      <c r="W998" t="str">
        <f t="shared" si="211"/>
        <v>Oct</v>
      </c>
      <c r="X998" t="str">
        <f t="shared" si="212"/>
        <v>Q4</v>
      </c>
      <c r="Y998" t="str">
        <f t="shared" si="213"/>
        <v>Wed</v>
      </c>
      <c r="Z998" s="16">
        <f t="shared" si="214"/>
        <v>6</v>
      </c>
      <c r="AA998" s="13">
        <f t="shared" si="215"/>
        <v>10.67</v>
      </c>
      <c r="AB998" s="14">
        <f t="shared" si="216"/>
        <v>0.46</v>
      </c>
      <c r="AC998" t="str">
        <f t="shared" si="217"/>
        <v>No Discount</v>
      </c>
      <c r="AD998" t="str">
        <f t="shared" si="218"/>
        <v>Low (&lt;$50)</v>
      </c>
      <c r="AE998" t="str">
        <f t="shared" si="219"/>
        <v>Small (1-2 units)</v>
      </c>
      <c r="AF998" t="str">
        <f t="shared" si="220"/>
        <v>Profitable</v>
      </c>
      <c r="AG998" t="str">
        <f t="shared" si="221"/>
        <v>High Margin</v>
      </c>
      <c r="AH998" t="str">
        <f t="shared" si="222"/>
        <v>Repeat Customer</v>
      </c>
      <c r="AI998" t="str">
        <f t="shared" si="223"/>
        <v>Slow (6+ days)</v>
      </c>
    </row>
    <row r="999" spans="1:35" ht="15" customHeight="1" x14ac:dyDescent="0.3">
      <c r="A999">
        <v>998</v>
      </c>
      <c r="B999" t="s">
        <v>3172</v>
      </c>
      <c r="C999" s="12">
        <v>42305</v>
      </c>
      <c r="D999" s="12">
        <v>42311</v>
      </c>
      <c r="E999" t="s">
        <v>233</v>
      </c>
      <c r="F999" t="s">
        <v>3173</v>
      </c>
      <c r="G999" t="s">
        <v>3174</v>
      </c>
      <c r="H999" t="s">
        <v>209</v>
      </c>
      <c r="I999" t="s">
        <v>210</v>
      </c>
      <c r="J999" t="s">
        <v>211</v>
      </c>
      <c r="K999" t="s">
        <v>212</v>
      </c>
      <c r="L999">
        <v>42420</v>
      </c>
      <c r="M999" t="s">
        <v>213</v>
      </c>
      <c r="N999" t="s">
        <v>3177</v>
      </c>
      <c r="O999" t="s">
        <v>229</v>
      </c>
      <c r="P999" t="s">
        <v>242</v>
      </c>
      <c r="Q999" t="s">
        <v>3178</v>
      </c>
      <c r="R999" s="13">
        <v>36.630000000000003</v>
      </c>
      <c r="S999">
        <v>3</v>
      </c>
      <c r="T999" s="14">
        <v>0</v>
      </c>
      <c r="U999" s="13">
        <v>9.8901000000000003</v>
      </c>
      <c r="V999">
        <f t="shared" si="210"/>
        <v>2015</v>
      </c>
      <c r="W999" t="str">
        <f t="shared" si="211"/>
        <v>Oct</v>
      </c>
      <c r="X999" t="str">
        <f t="shared" si="212"/>
        <v>Q4</v>
      </c>
      <c r="Y999" t="str">
        <f t="shared" si="213"/>
        <v>Wed</v>
      </c>
      <c r="Z999" s="16">
        <f t="shared" si="214"/>
        <v>6</v>
      </c>
      <c r="AA999" s="13">
        <f t="shared" si="215"/>
        <v>12.21</v>
      </c>
      <c r="AB999" s="14">
        <f t="shared" si="216"/>
        <v>0.27</v>
      </c>
      <c r="AC999" t="str">
        <f t="shared" si="217"/>
        <v>No Discount</v>
      </c>
      <c r="AD999" t="str">
        <f t="shared" si="218"/>
        <v>Low (&lt;$50)</v>
      </c>
      <c r="AE999" t="str">
        <f t="shared" si="219"/>
        <v>Medium (3-5 units)</v>
      </c>
      <c r="AF999" t="str">
        <f t="shared" si="220"/>
        <v>Profitable</v>
      </c>
      <c r="AG999" t="str">
        <f t="shared" si="221"/>
        <v>High Margin</v>
      </c>
      <c r="AH999" t="str">
        <f t="shared" si="222"/>
        <v>Repeat Customer</v>
      </c>
      <c r="AI999" t="str">
        <f t="shared" si="223"/>
        <v>Slow (6+ days)</v>
      </c>
    </row>
    <row r="1000" spans="1:35" ht="15" customHeight="1" x14ac:dyDescent="0.3">
      <c r="A1000">
        <v>999</v>
      </c>
      <c r="B1000" t="s">
        <v>3172</v>
      </c>
      <c r="C1000" s="12">
        <v>42305</v>
      </c>
      <c r="D1000" s="12">
        <v>42311</v>
      </c>
      <c r="E1000" t="s">
        <v>233</v>
      </c>
      <c r="F1000" t="s">
        <v>3173</v>
      </c>
      <c r="G1000" t="s">
        <v>3174</v>
      </c>
      <c r="H1000" t="s">
        <v>209</v>
      </c>
      <c r="I1000" t="s">
        <v>210</v>
      </c>
      <c r="J1000" t="s">
        <v>211</v>
      </c>
      <c r="K1000" t="s">
        <v>212</v>
      </c>
      <c r="L1000">
        <v>42420</v>
      </c>
      <c r="M1000" t="s">
        <v>213</v>
      </c>
      <c r="N1000" t="s">
        <v>3179</v>
      </c>
      <c r="O1000" t="s">
        <v>215</v>
      </c>
      <c r="P1000" t="s">
        <v>248</v>
      </c>
      <c r="Q1000" t="s">
        <v>3180</v>
      </c>
      <c r="R1000" s="13">
        <v>24.1</v>
      </c>
      <c r="S1000">
        <v>5</v>
      </c>
      <c r="T1000" s="14">
        <v>0</v>
      </c>
      <c r="U1000" s="13">
        <v>9.1579999999999995</v>
      </c>
      <c r="V1000">
        <f t="shared" si="210"/>
        <v>2015</v>
      </c>
      <c r="W1000" t="str">
        <f t="shared" si="211"/>
        <v>Oct</v>
      </c>
      <c r="X1000" t="str">
        <f t="shared" si="212"/>
        <v>Q4</v>
      </c>
      <c r="Y1000" t="str">
        <f t="shared" si="213"/>
        <v>Wed</v>
      </c>
      <c r="Z1000" s="16">
        <f t="shared" si="214"/>
        <v>6</v>
      </c>
      <c r="AA1000" s="13">
        <f t="shared" si="215"/>
        <v>4.82</v>
      </c>
      <c r="AB1000" s="14">
        <f t="shared" si="216"/>
        <v>0.37999999999999995</v>
      </c>
      <c r="AC1000" t="str">
        <f t="shared" si="217"/>
        <v>No Discount</v>
      </c>
      <c r="AD1000" t="str">
        <f t="shared" si="218"/>
        <v>Low (&lt;$50)</v>
      </c>
      <c r="AE1000" t="str">
        <f t="shared" si="219"/>
        <v>Medium (3-5 units)</v>
      </c>
      <c r="AF1000" t="str">
        <f t="shared" si="220"/>
        <v>Profitable</v>
      </c>
      <c r="AG1000" t="str">
        <f t="shared" si="221"/>
        <v>High Margin</v>
      </c>
      <c r="AH1000" t="str">
        <f t="shared" si="222"/>
        <v>Repeat Customer</v>
      </c>
      <c r="AI1000" t="str">
        <f t="shared" si="223"/>
        <v>Slow (6+ days)</v>
      </c>
    </row>
    <row r="1001" spans="1:35" ht="15" customHeight="1" x14ac:dyDescent="0.3">
      <c r="A1001">
        <v>1000</v>
      </c>
      <c r="B1001" t="s">
        <v>3172</v>
      </c>
      <c r="C1001" s="12">
        <v>42305</v>
      </c>
      <c r="D1001" s="12">
        <v>42311</v>
      </c>
      <c r="E1001" t="s">
        <v>233</v>
      </c>
      <c r="F1001" t="s">
        <v>3173</v>
      </c>
      <c r="G1001" t="s">
        <v>3174</v>
      </c>
      <c r="H1001" t="s">
        <v>209</v>
      </c>
      <c r="I1001" t="s">
        <v>210</v>
      </c>
      <c r="J1001" t="s">
        <v>211</v>
      </c>
      <c r="K1001" t="s">
        <v>212</v>
      </c>
      <c r="L1001">
        <v>42420</v>
      </c>
      <c r="M1001" t="s">
        <v>213</v>
      </c>
      <c r="N1001" t="s">
        <v>1320</v>
      </c>
      <c r="O1001" t="s">
        <v>215</v>
      </c>
      <c r="P1001" t="s">
        <v>248</v>
      </c>
      <c r="Q1001" t="s">
        <v>1321</v>
      </c>
      <c r="R1001" s="13">
        <v>33.11</v>
      </c>
      <c r="S1001">
        <v>7</v>
      </c>
      <c r="T1001" s="14">
        <v>0</v>
      </c>
      <c r="U1001" s="13">
        <v>12.9129</v>
      </c>
      <c r="V1001">
        <f t="shared" si="210"/>
        <v>2015</v>
      </c>
      <c r="W1001" t="str">
        <f t="shared" si="211"/>
        <v>Oct</v>
      </c>
      <c r="X1001" t="str">
        <f t="shared" si="212"/>
        <v>Q4</v>
      </c>
      <c r="Y1001" t="str">
        <f t="shared" si="213"/>
        <v>Wed</v>
      </c>
      <c r="Z1001" s="16">
        <f t="shared" si="214"/>
        <v>6</v>
      </c>
      <c r="AA1001" s="13">
        <f t="shared" si="215"/>
        <v>4.7299999999999995</v>
      </c>
      <c r="AB1001" s="14">
        <f t="shared" si="216"/>
        <v>0.39</v>
      </c>
      <c r="AC1001" t="str">
        <f t="shared" si="217"/>
        <v>No Discount</v>
      </c>
      <c r="AD1001" t="str">
        <f t="shared" si="218"/>
        <v>Low (&lt;$50)</v>
      </c>
      <c r="AE1001" t="str">
        <f t="shared" si="219"/>
        <v>Large (6+ units)</v>
      </c>
      <c r="AF1001" t="str">
        <f t="shared" si="220"/>
        <v>Profitable</v>
      </c>
      <c r="AG1001" t="str">
        <f t="shared" si="221"/>
        <v>High Margin</v>
      </c>
      <c r="AH1001" t="str">
        <f t="shared" si="222"/>
        <v>Repeat Customer</v>
      </c>
      <c r="AI1001" t="str">
        <f t="shared" si="223"/>
        <v>Slow (6+ days)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5395"/>
  </sheetPr>
  <dimension ref="A1:E75"/>
  <sheetViews>
    <sheetView showGridLines="0" zoomScaleNormal="100" workbookViewId="0">
      <pane ySplit="3" topLeftCell="A43" activePane="bottomLeft" state="frozen"/>
      <selection pane="bottomLeft" activeCell="B40" sqref="B40"/>
    </sheetView>
  </sheetViews>
  <sheetFormatPr defaultColWidth="8.6640625" defaultRowHeight="14.4" x14ac:dyDescent="0.3"/>
  <cols>
    <col min="1" max="1" width="24" customWidth="1"/>
    <col min="2" max="3" width="15" customWidth="1"/>
    <col min="4" max="5" width="16" customWidth="1"/>
  </cols>
  <sheetData>
    <row r="1" spans="1:5" ht="19.5" customHeight="1" x14ac:dyDescent="0.4">
      <c r="A1" s="7" t="s">
        <v>3195</v>
      </c>
    </row>
    <row r="2" spans="1:5" ht="15" customHeight="1" x14ac:dyDescent="0.3">
      <c r="A2" s="2" t="s">
        <v>3196</v>
      </c>
    </row>
    <row r="4" spans="1:5" ht="15" customHeight="1" x14ac:dyDescent="0.3">
      <c r="A4" s="49" t="s">
        <v>3197</v>
      </c>
      <c r="B4" s="49"/>
      <c r="C4" s="49"/>
      <c r="D4" s="49"/>
      <c r="E4" s="49"/>
    </row>
    <row r="5" spans="1:5" ht="15" customHeight="1" x14ac:dyDescent="0.3">
      <c r="A5" s="17" t="s">
        <v>101</v>
      </c>
      <c r="B5" s="17" t="s">
        <v>3198</v>
      </c>
      <c r="C5" s="17" t="s">
        <v>3199</v>
      </c>
      <c r="D5" s="17" t="s">
        <v>3187</v>
      </c>
      <c r="E5" s="17" t="s">
        <v>3200</v>
      </c>
    </row>
    <row r="6" spans="1:5" ht="15" customHeight="1" x14ac:dyDescent="0.3">
      <c r="A6" s="18" t="s">
        <v>215</v>
      </c>
      <c r="B6" s="19">
        <f>SUMIF('Enriched Data'!$O$2:$O$1001,A6,'Enriched Data'!$R$2:$R$1001)</f>
        <v>79377.578900000008</v>
      </c>
      <c r="C6" s="19">
        <f>SUMIF('Enriched Data'!$O$2:$O$1001,A6,'Enriched Data'!$U$2:$U$1001)</f>
        <v>-1742.0193000000002</v>
      </c>
      <c r="D6" s="20">
        <f>IFERROR(C6/B6,0)</f>
        <v>-2.1945986815680014E-2</v>
      </c>
      <c r="E6" s="18">
        <f>COUNTIF('Enriched Data'!$O$2:$O$1001,A6)</f>
        <v>207</v>
      </c>
    </row>
    <row r="7" spans="1:5" ht="15" customHeight="1" x14ac:dyDescent="0.3">
      <c r="A7" s="21" t="s">
        <v>229</v>
      </c>
      <c r="B7" s="22">
        <f>SUMIF('Enriched Data'!$O$2:$O$1001,A7,'Enriched Data'!$R$2:$R$1001)</f>
        <v>68253.347000000009</v>
      </c>
      <c r="C7" s="22">
        <f>SUMIF('Enriched Data'!$O$2:$O$1001,A7,'Enriched Data'!$U$2:$U$1001)</f>
        <v>12470.728799999984</v>
      </c>
      <c r="D7" s="23">
        <f>IFERROR(C7/B7,0)</f>
        <v>0.18271234083216437</v>
      </c>
      <c r="E7" s="21">
        <f>COUNTIF('Enriched Data'!$O$2:$O$1001,A7)</f>
        <v>603</v>
      </c>
    </row>
    <row r="8" spans="1:5" ht="15" customHeight="1" x14ac:dyDescent="0.3">
      <c r="A8" s="18" t="s">
        <v>254</v>
      </c>
      <c r="B8" s="19">
        <f>SUMIF('Enriched Data'!$O$2:$O$1001,A8,'Enriched Data'!$R$2:$R$1001)</f>
        <v>93499.842000000004</v>
      </c>
      <c r="C8" s="19">
        <f>SUMIF('Enriched Data'!$O$2:$O$1001,A8,'Enriched Data'!$U$2:$U$1001)</f>
        <v>8017.4696999999978</v>
      </c>
      <c r="D8" s="20">
        <f>IFERROR(C8/B8,0)</f>
        <v>8.5748483938614548E-2</v>
      </c>
      <c r="E8" s="18">
        <f>COUNTIF('Enriched Data'!$O$2:$O$1001,A8)</f>
        <v>190</v>
      </c>
    </row>
    <row r="10" spans="1:5" ht="15" customHeight="1" x14ac:dyDescent="0.3">
      <c r="A10" s="49" t="s">
        <v>3201</v>
      </c>
      <c r="B10" s="49"/>
      <c r="C10" s="49"/>
      <c r="D10" s="49"/>
      <c r="E10" s="49"/>
    </row>
    <row r="11" spans="1:5" ht="15" customHeight="1" x14ac:dyDescent="0.3">
      <c r="A11" s="17" t="s">
        <v>104</v>
      </c>
      <c r="B11" s="17" t="s">
        <v>3198</v>
      </c>
      <c r="C11" s="17" t="s">
        <v>3199</v>
      </c>
      <c r="D11" s="17" t="s">
        <v>3187</v>
      </c>
      <c r="E11" s="17" t="s">
        <v>3200</v>
      </c>
    </row>
    <row r="12" spans="1:5" ht="15" customHeight="1" x14ac:dyDescent="0.3">
      <c r="A12" s="18" t="s">
        <v>344</v>
      </c>
      <c r="B12" s="19">
        <f>SUMIF('Enriched Data'!$P$2:$P$1001,A12,'Enriched Data'!$R$2:$R$1001)</f>
        <v>20481.394</v>
      </c>
      <c r="C12" s="19">
        <f>SUMIF('Enriched Data'!$P$2:$P$1001,A12,'Enriched Data'!$U$2:$U$1001)</f>
        <v>5300.3492999999989</v>
      </c>
      <c r="D12" s="20">
        <f t="shared" ref="D12:D28" si="0">IFERROR(C12/B12,0)</f>
        <v>0.25878850336065989</v>
      </c>
      <c r="E12" s="18">
        <f>COUNTIF('Enriched Data'!$P$2:$P$1001,A12)</f>
        <v>83</v>
      </c>
    </row>
    <row r="13" spans="1:5" ht="15" customHeight="1" x14ac:dyDescent="0.3">
      <c r="A13" s="21" t="s">
        <v>261</v>
      </c>
      <c r="B13" s="22">
        <f>SUMIF('Enriched Data'!$P$2:$P$1001,A13,'Enriched Data'!$R$2:$R$1001)</f>
        <v>8369.8779999999988</v>
      </c>
      <c r="C13" s="22">
        <f>SUMIF('Enriched Data'!$P$2:$P$1001,A13,'Enriched Data'!$U$2:$U$1001)</f>
        <v>868.66999999999985</v>
      </c>
      <c r="D13" s="23">
        <f t="shared" si="0"/>
        <v>0.10378526425355304</v>
      </c>
      <c r="E13" s="21">
        <f>COUNTIF('Enriched Data'!$P$2:$P$1001,A13)</f>
        <v>43</v>
      </c>
    </row>
    <row r="14" spans="1:5" ht="15" customHeight="1" x14ac:dyDescent="0.3">
      <c r="A14" s="18" t="s">
        <v>251</v>
      </c>
      <c r="B14" s="19">
        <f>SUMIF('Enriched Data'!$P$2:$P$1001,A14,'Enriched Data'!$R$2:$R$1001)</f>
        <v>3858.0840000000003</v>
      </c>
      <c r="C14" s="19">
        <f>SUMIF('Enriched Data'!$P$2:$P$1001,A14,'Enriched Data'!$U$2:$U$1001)</f>
        <v>754.86800000000005</v>
      </c>
      <c r="D14" s="20">
        <f t="shared" si="0"/>
        <v>0.19565877777674098</v>
      </c>
      <c r="E14" s="18">
        <f>COUNTIF('Enriched Data'!$P$2:$P$1001,A14)</f>
        <v>81</v>
      </c>
    </row>
    <row r="15" spans="1:5" ht="15" customHeight="1" x14ac:dyDescent="0.3">
      <c r="A15" s="21" t="s">
        <v>258</v>
      </c>
      <c r="B15" s="22">
        <f>SUMIF('Enriched Data'!$P$2:$P$1001,A15,'Enriched Data'!$R$2:$R$1001)</f>
        <v>21412.52900000001</v>
      </c>
      <c r="C15" s="22">
        <f>SUMIF('Enriched Data'!$P$2:$P$1001,A15,'Enriched Data'!$U$2:$U$1001)</f>
        <v>4913.6911999999984</v>
      </c>
      <c r="D15" s="23">
        <f t="shared" si="0"/>
        <v>0.22947738681404686</v>
      </c>
      <c r="E15" s="21">
        <f>COUNTIF('Enriched Data'!$P$2:$P$1001,A15)</f>
        <v>145</v>
      </c>
    </row>
    <row r="16" spans="1:5" ht="15" customHeight="1" x14ac:dyDescent="0.3">
      <c r="A16" s="18" t="s">
        <v>216</v>
      </c>
      <c r="B16" s="19">
        <f>SUMIF('Enriched Data'!$P$2:$P$1001,A16,'Enriched Data'!$R$2:$R$1001)</f>
        <v>13834.990399999999</v>
      </c>
      <c r="C16" s="19">
        <f>SUMIF('Enriched Data'!$P$2:$P$1001,A16,'Enriched Data'!$U$2:$U$1001)</f>
        <v>-1971.6985999999999</v>
      </c>
      <c r="D16" s="20">
        <f t="shared" si="0"/>
        <v>-0.14251535729291145</v>
      </c>
      <c r="E16" s="18">
        <f>COUNTIF('Enriched Data'!$P$2:$P$1001,A16)</f>
        <v>21</v>
      </c>
    </row>
    <row r="17" spans="1:5" ht="15" customHeight="1" x14ac:dyDescent="0.3">
      <c r="A17" s="21" t="s">
        <v>219</v>
      </c>
      <c r="B17" s="22">
        <f>SUMIF('Enriched Data'!$P$2:$P$1001,A17,'Enriched Data'!$R$2:$R$1001)</f>
        <v>30809.087999999989</v>
      </c>
      <c r="C17" s="22">
        <f>SUMIF('Enriched Data'!$P$2:$P$1001,A17,'Enriched Data'!$U$2:$U$1001)</f>
        <v>2905.0912999999996</v>
      </c>
      <c r="D17" s="23">
        <f t="shared" si="0"/>
        <v>9.4293323450535135E-2</v>
      </c>
      <c r="E17" s="21">
        <f>COUNTIF('Enriched Data'!$P$2:$P$1001,A17)</f>
        <v>58</v>
      </c>
    </row>
    <row r="18" spans="1:5" ht="15" customHeight="1" x14ac:dyDescent="0.3">
      <c r="A18" s="18" t="s">
        <v>1402</v>
      </c>
      <c r="B18" s="19">
        <f>SUMIF('Enriched Data'!$P$2:$P$1001,A18,'Enriched Data'!$R$2:$R$1001)</f>
        <v>9359.8320000000003</v>
      </c>
      <c r="C18" s="19">
        <f>SUMIF('Enriched Data'!$P$2:$P$1001,A18,'Enriched Data'!$U$2:$U$1001)</f>
        <v>3662.9348</v>
      </c>
      <c r="D18" s="20">
        <f t="shared" si="0"/>
        <v>0.39134621219697102</v>
      </c>
      <c r="E18" s="18">
        <f>COUNTIF('Enriched Data'!$P$2:$P$1001,A18)</f>
        <v>6</v>
      </c>
    </row>
    <row r="19" spans="1:5" ht="15" customHeight="1" x14ac:dyDescent="0.3">
      <c r="A19" s="21" t="s">
        <v>356</v>
      </c>
      <c r="B19" s="22">
        <f>SUMIF('Enriched Data'!$P$2:$P$1001,A19,'Enriched Data'!$R$2:$R$1001)</f>
        <v>2109.3319999999999</v>
      </c>
      <c r="C19" s="22">
        <f>SUMIF('Enriched Data'!$P$2:$P$1001,A19,'Enriched Data'!$U$2:$U$1001)</f>
        <v>827.16859999999997</v>
      </c>
      <c r="D19" s="23">
        <f t="shared" si="0"/>
        <v>0.39214718214107597</v>
      </c>
      <c r="E19" s="21">
        <f>COUNTIF('Enriched Data'!$P$2:$P$1001,A19)</f>
        <v>30</v>
      </c>
    </row>
    <row r="20" spans="1:5" ht="15" customHeight="1" x14ac:dyDescent="0.3">
      <c r="A20" s="18" t="s">
        <v>452</v>
      </c>
      <c r="B20" s="19">
        <f>SUMIF('Enriched Data'!$P$2:$P$1001,A20,'Enriched Data'!$R$2:$R$1001)</f>
        <v>381.66</v>
      </c>
      <c r="C20" s="19">
        <f>SUMIF('Enriched Data'!$P$2:$P$1001,A20,'Enriched Data'!$U$2:$U$1001)</f>
        <v>139.86930000000001</v>
      </c>
      <c r="D20" s="20">
        <f t="shared" si="0"/>
        <v>0.36647618299009588</v>
      </c>
      <c r="E20" s="18">
        <f>COUNTIF('Enriched Data'!$P$2:$P$1001,A20)</f>
        <v>21</v>
      </c>
    </row>
    <row r="21" spans="1:5" ht="15" customHeight="1" x14ac:dyDescent="0.3">
      <c r="A21" s="21" t="s">
        <v>248</v>
      </c>
      <c r="B21" s="22">
        <f>SUMIF('Enriched Data'!$P$2:$P$1001,A21,'Enriched Data'!$R$2:$R$1001)</f>
        <v>10256.893999999997</v>
      </c>
      <c r="C21" s="22">
        <f>SUMIF('Enriched Data'!$P$2:$P$1001,A21,'Enriched Data'!$U$2:$U$1001)</f>
        <v>776.56270000000006</v>
      </c>
      <c r="D21" s="23">
        <f t="shared" si="0"/>
        <v>7.5711292326897439E-2</v>
      </c>
      <c r="E21" s="21">
        <f>COUNTIF('Enriched Data'!$P$2:$P$1001,A21)</f>
        <v>95</v>
      </c>
    </row>
    <row r="22" spans="1:5" ht="15" customHeight="1" x14ac:dyDescent="0.3">
      <c r="A22" s="18" t="s">
        <v>230</v>
      </c>
      <c r="B22" s="19">
        <f>SUMIF('Enriched Data'!$P$2:$P$1001,A22,'Enriched Data'!$R$2:$R$1001)</f>
        <v>1534.3399999999997</v>
      </c>
      <c r="C22" s="19">
        <f>SUMIF('Enriched Data'!$P$2:$P$1001,A22,'Enriched Data'!$U$2:$U$1001)</f>
        <v>652.56349999999998</v>
      </c>
      <c r="D22" s="20">
        <f t="shared" si="0"/>
        <v>0.42530566888694821</v>
      </c>
      <c r="E22" s="18">
        <f>COUNTIF('Enriched Data'!$P$2:$P$1001,A22)</f>
        <v>41</v>
      </c>
    </row>
    <row r="23" spans="1:5" ht="15" customHeight="1" x14ac:dyDescent="0.3">
      <c r="A23" s="21" t="s">
        <v>867</v>
      </c>
      <c r="B23" s="22">
        <f>SUMIF('Enriched Data'!$P$2:$P$1001,A23,'Enriched Data'!$R$2:$R$1001)</f>
        <v>32622.115999999998</v>
      </c>
      <c r="C23" s="22">
        <f>SUMIF('Enriched Data'!$P$2:$P$1001,A23,'Enriched Data'!$U$2:$U$1001)</f>
        <v>-4951.3543</v>
      </c>
      <c r="D23" s="23">
        <f t="shared" si="0"/>
        <v>-0.1517790660789754</v>
      </c>
      <c r="E23" s="21">
        <f>COUNTIF('Enriched Data'!$P$2:$P$1001,A23)</f>
        <v>13</v>
      </c>
    </row>
    <row r="24" spans="1:5" ht="15" customHeight="1" x14ac:dyDescent="0.3">
      <c r="A24" s="18" t="s">
        <v>273</v>
      </c>
      <c r="B24" s="19">
        <f>SUMIF('Enriched Data'!$P$2:$P$1001,A24,'Enriched Data'!$R$2:$R$1001)</f>
        <v>6386.2399999999971</v>
      </c>
      <c r="C24" s="19">
        <f>SUMIF('Enriched Data'!$P$2:$P$1001,A24,'Enriched Data'!$U$2:$U$1001)</f>
        <v>2761.9213000000004</v>
      </c>
      <c r="D24" s="20">
        <f t="shared" si="0"/>
        <v>0.43248003520068173</v>
      </c>
      <c r="E24" s="18">
        <f>COUNTIF('Enriched Data'!$P$2:$P$1001,A24)</f>
        <v>127</v>
      </c>
    </row>
    <row r="25" spans="1:5" ht="15" customHeight="1" x14ac:dyDescent="0.3">
      <c r="A25" s="21" t="s">
        <v>255</v>
      </c>
      <c r="B25" s="22">
        <f>SUMIF('Enriched Data'!$P$2:$P$1001,A25,'Enriched Data'!$R$2:$R$1001)</f>
        <v>31036.5</v>
      </c>
      <c r="C25" s="22">
        <f>SUMIF('Enriched Data'!$P$2:$P$1001,A25,'Enriched Data'!$U$2:$U$1001)</f>
        <v>4005.5398999999993</v>
      </c>
      <c r="D25" s="23">
        <f t="shared" si="0"/>
        <v>0.12905900794226152</v>
      </c>
      <c r="E25" s="21">
        <f>COUNTIF('Enriched Data'!$P$2:$P$1001,A25)</f>
        <v>88</v>
      </c>
    </row>
    <row r="26" spans="1:5" ht="15" customHeight="1" x14ac:dyDescent="0.3">
      <c r="A26" s="18" t="s">
        <v>242</v>
      </c>
      <c r="B26" s="19">
        <f>SUMIF('Enriched Data'!$P$2:$P$1001,A26,'Enriched Data'!$R$2:$R$1001)</f>
        <v>21809.635999999999</v>
      </c>
      <c r="C26" s="19">
        <f>SUMIF('Enriched Data'!$P$2:$P$1001,A26,'Enriched Data'!$U$2:$U$1001)</f>
        <v>1858.0528999999999</v>
      </c>
      <c r="D26" s="20">
        <f t="shared" si="0"/>
        <v>8.5194127036324674E-2</v>
      </c>
      <c r="E26" s="18">
        <f>COUNTIF('Enriched Data'!$P$2:$P$1001,A26)</f>
        <v>95</v>
      </c>
    </row>
    <row r="27" spans="1:5" ht="15" customHeight="1" x14ac:dyDescent="0.3">
      <c r="A27" s="21" t="s">
        <v>762</v>
      </c>
      <c r="B27" s="22">
        <f>SUMIF('Enriched Data'!$P$2:$P$1001,A27,'Enriched Data'!$R$2:$R$1001)</f>
        <v>2391.6480000000001</v>
      </c>
      <c r="C27" s="22">
        <f>SUMIF('Enriched Data'!$P$2:$P$1001,A27,'Enriched Data'!$U$2:$U$1001)</f>
        <v>-306.07600000000002</v>
      </c>
      <c r="D27" s="23">
        <f t="shared" si="0"/>
        <v>-0.12797702671965105</v>
      </c>
      <c r="E27" s="21">
        <f>COUNTIF('Enriched Data'!$P$2:$P$1001,A27)</f>
        <v>20</v>
      </c>
    </row>
    <row r="28" spans="1:5" ht="15" customHeight="1" x14ac:dyDescent="0.3">
      <c r="A28" s="18" t="s">
        <v>239</v>
      </c>
      <c r="B28" s="19">
        <f>SUMIF('Enriched Data'!$P$2:$P$1001,A28,'Enriched Data'!$R$2:$R$1001)</f>
        <v>24476.606499999994</v>
      </c>
      <c r="C28" s="19">
        <f>SUMIF('Enriched Data'!$P$2:$P$1001,A28,'Enriched Data'!$U$2:$U$1001)</f>
        <v>-3451.9747000000016</v>
      </c>
      <c r="D28" s="20">
        <f t="shared" si="0"/>
        <v>-0.14103158867222881</v>
      </c>
      <c r="E28" s="18">
        <f>COUNTIF('Enriched Data'!$P$2:$P$1001,A28)</f>
        <v>33</v>
      </c>
    </row>
    <row r="30" spans="1:5" ht="15" customHeight="1" x14ac:dyDescent="0.3">
      <c r="A30" s="49" t="s">
        <v>3202</v>
      </c>
      <c r="B30" s="49"/>
      <c r="C30" s="49"/>
      <c r="D30" s="49"/>
      <c r="E30" s="49"/>
    </row>
    <row r="31" spans="1:5" ht="15" customHeight="1" x14ac:dyDescent="0.3">
      <c r="A31" s="17" t="s">
        <v>93</v>
      </c>
      <c r="B31" s="17" t="s">
        <v>3198</v>
      </c>
      <c r="C31" s="17" t="s">
        <v>3199</v>
      </c>
      <c r="D31" s="17" t="s">
        <v>3187</v>
      </c>
      <c r="E31" s="17" t="s">
        <v>3203</v>
      </c>
    </row>
    <row r="32" spans="1:5" ht="15" customHeight="1" x14ac:dyDescent="0.3">
      <c r="A32" s="18" t="s">
        <v>288</v>
      </c>
      <c r="B32" s="19">
        <f>SUMIF('Enriched Data'!$M$2:$M$1001,A32,'Enriched Data'!$R$2:$R$1001)</f>
        <v>67009.848399999988</v>
      </c>
      <c r="C32" s="19">
        <f>SUMIF('Enriched Data'!$M$2:$M$1001,A32,'Enriched Data'!$U$2:$U$1001)</f>
        <v>2169.6441999999984</v>
      </c>
      <c r="D32" s="20">
        <f>IFERROR(C32/B32,0)</f>
        <v>3.2377989979156536E-2</v>
      </c>
      <c r="E32" s="19">
        <f>IFERROR(B32/COUNTIF('Enriched Data'!$M$2:$M$1001,A32),0)</f>
        <v>273.5095853061224</v>
      </c>
    </row>
    <row r="33" spans="1:5" ht="15" customHeight="1" x14ac:dyDescent="0.3">
      <c r="A33" s="21" t="s">
        <v>331</v>
      </c>
      <c r="B33" s="22">
        <f>SUMIF('Enriched Data'!$M$2:$M$1001,A33,'Enriched Data'!$R$2:$R$1001)</f>
        <v>59491.641000000025</v>
      </c>
      <c r="C33" s="22">
        <f>SUMIF('Enriched Data'!$M$2:$M$1001,A33,'Enriched Data'!$U$2:$U$1001)</f>
        <v>2790.3042999999993</v>
      </c>
      <c r="D33" s="23">
        <f>IFERROR(C33/B33,0)</f>
        <v>4.6902459792628651E-2</v>
      </c>
      <c r="E33" s="22">
        <f>IFERROR(B33/COUNTIF('Enriched Data'!$M$2:$M$1001,A33),0)</f>
        <v>190.06914057507996</v>
      </c>
    </row>
    <row r="34" spans="1:5" ht="15" customHeight="1" x14ac:dyDescent="0.3">
      <c r="A34" s="18" t="s">
        <v>213</v>
      </c>
      <c r="B34" s="19">
        <f>SUMIF('Enriched Data'!$M$2:$M$1001,A34,'Enriched Data'!$R$2:$R$1001)</f>
        <v>43563.958499999979</v>
      </c>
      <c r="C34" s="19">
        <f>SUMIF('Enriched Data'!$M$2:$M$1001,A34,'Enriched Data'!$U$2:$U$1001)</f>
        <v>2860.7752</v>
      </c>
      <c r="D34" s="20">
        <f>IFERROR(C34/B34,0)</f>
        <v>6.5668394207105893E-2</v>
      </c>
      <c r="E34" s="19">
        <f>IFERROR(B34/COUNTIF('Enriched Data'!$M$2:$M$1001,A34),0)</f>
        <v>308.96424468085092</v>
      </c>
    </row>
    <row r="35" spans="1:5" ht="15" customHeight="1" x14ac:dyDescent="0.3">
      <c r="A35" s="21" t="s">
        <v>227</v>
      </c>
      <c r="B35" s="22">
        <f>SUMIF('Enriched Data'!$M$2:$M$1001,A35,'Enriched Data'!$R$2:$R$1001)</f>
        <v>71065.319999999963</v>
      </c>
      <c r="C35" s="22">
        <f>SUMIF('Enriched Data'!$M$2:$M$1001,A35,'Enriched Data'!$U$2:$U$1001)</f>
        <v>10925.455499999998</v>
      </c>
      <c r="D35" s="23">
        <f>IFERROR(C35/B35,0)</f>
        <v>0.15373821577106814</v>
      </c>
      <c r="E35" s="22">
        <f>IFERROR(B35/COUNTIF('Enriched Data'!$M$2:$M$1001,A35),0)</f>
        <v>236.09740863787363</v>
      </c>
    </row>
    <row r="37" spans="1:5" ht="15" customHeight="1" x14ac:dyDescent="0.3">
      <c r="A37" s="49" t="s">
        <v>3204</v>
      </c>
      <c r="B37" s="49"/>
      <c r="C37" s="49"/>
      <c r="D37" s="49"/>
      <c r="E37" s="49"/>
    </row>
    <row r="38" spans="1:5" ht="15" customHeight="1" x14ac:dyDescent="0.3">
      <c r="A38" s="17" t="s">
        <v>72</v>
      </c>
      <c r="B38" s="17" t="s">
        <v>3198</v>
      </c>
      <c r="C38" s="17" t="s">
        <v>3199</v>
      </c>
      <c r="D38" s="17" t="s">
        <v>3187</v>
      </c>
      <c r="E38" s="17" t="s">
        <v>3200</v>
      </c>
    </row>
    <row r="39" spans="1:5" ht="15" customHeight="1" x14ac:dyDescent="0.3">
      <c r="A39" s="21" t="s">
        <v>209</v>
      </c>
      <c r="B39" s="22">
        <f>SUMIF('Enriched Data'!$H$2:$H$1001,A39,'Enriched Data'!$R$2:$R$1001)</f>
        <v>118554.30340000006</v>
      </c>
      <c r="C39" s="22">
        <f>SUMIF('Enriched Data'!$H$2:$H$1001,A39,'Enriched Data'!$U$2:$U$1001)</f>
        <v>9367.7051999999985</v>
      </c>
      <c r="D39" s="23">
        <f>IFERROR(C39/B39,0)</f>
        <v>7.9016154887212586E-2</v>
      </c>
      <c r="E39" s="21">
        <f>COUNTIF('Enriched Data'!$H$2:$H$1001,A39)</f>
        <v>547</v>
      </c>
    </row>
    <row r="40" spans="1:5" ht="15" customHeight="1" x14ac:dyDescent="0.3">
      <c r="A40" s="18" t="s">
        <v>224</v>
      </c>
      <c r="B40" s="19">
        <f>SUMIF('Enriched Data'!$H$2:$H$1001,A40,'Enriched Data'!$R$2:$R$1001)</f>
        <v>70821.30180000003</v>
      </c>
      <c r="C40" s="19">
        <f>SUMIF('Enriched Data'!$H$2:$H$1001,A40,'Enriched Data'!$U$2:$U$1001)</f>
        <v>1976.6128999999994</v>
      </c>
      <c r="D40" s="20">
        <f>IFERROR(C40/B40,0)</f>
        <v>2.7909863978241623E-2</v>
      </c>
      <c r="E40" s="18">
        <f>COUNTIF('Enriched Data'!$H$2:$H$1001,A40)</f>
        <v>283</v>
      </c>
    </row>
    <row r="41" spans="1:5" ht="15" customHeight="1" x14ac:dyDescent="0.3">
      <c r="A41" s="21" t="s">
        <v>285</v>
      </c>
      <c r="B41" s="22">
        <f>SUMIF('Enriched Data'!$H$2:$H$1001,A41,'Enriched Data'!$R$2:$R$1001)</f>
        <v>51755.162700000015</v>
      </c>
      <c r="C41" s="22">
        <f>SUMIF('Enriched Data'!$H$2:$H$1001,A41,'Enriched Data'!$U$2:$U$1001)</f>
        <v>7401.8611000000001</v>
      </c>
      <c r="D41" s="23">
        <f>IFERROR(C41/B41,0)</f>
        <v>0.14301686467309663</v>
      </c>
      <c r="E41" s="21">
        <f>COUNTIF('Enriched Data'!$H$2:$H$1001,A41)</f>
        <v>170</v>
      </c>
    </row>
    <row r="43" spans="1:5" ht="15" customHeight="1" x14ac:dyDescent="0.3">
      <c r="A43" s="49" t="s">
        <v>3205</v>
      </c>
      <c r="B43" s="49"/>
      <c r="C43" s="49"/>
      <c r="D43" s="49"/>
      <c r="E43" s="49"/>
    </row>
    <row r="44" spans="1:5" ht="15" customHeight="1" x14ac:dyDescent="0.3">
      <c r="A44" s="17" t="s">
        <v>57</v>
      </c>
      <c r="B44" s="17" t="s">
        <v>3198</v>
      </c>
      <c r="C44" s="17" t="s">
        <v>3199</v>
      </c>
      <c r="D44" s="17" t="s">
        <v>3187</v>
      </c>
      <c r="E44" s="17" t="s">
        <v>3200</v>
      </c>
    </row>
    <row r="45" spans="1:5" ht="15" customHeight="1" x14ac:dyDescent="0.3">
      <c r="A45" s="21" t="s">
        <v>371</v>
      </c>
      <c r="B45" s="22">
        <f>SUMIF('Enriched Data'!$E$2:$E$1001,A45,'Enriched Data'!$R$2:$R$1001)</f>
        <v>36982.73799999999</v>
      </c>
      <c r="C45" s="22">
        <f>SUMIF('Enriched Data'!$E$2:$E$1001,A45,'Enriched Data'!$U$2:$U$1001)</f>
        <v>4804.9781000000003</v>
      </c>
      <c r="D45" s="23">
        <f>IFERROR(C45/B45,0)</f>
        <v>0.12992488820054376</v>
      </c>
      <c r="E45" s="21">
        <f>COUNTIF('Enriched Data'!$E$2:$E$1001,A45)</f>
        <v>184</v>
      </c>
    </row>
    <row r="46" spans="1:5" ht="15" customHeight="1" x14ac:dyDescent="0.3">
      <c r="A46" s="18" t="s">
        <v>1476</v>
      </c>
      <c r="B46" s="19">
        <f>SUMIF('Enriched Data'!$E$2:$E$1001,A46,'Enriched Data'!$R$2:$R$1001)</f>
        <v>13988.912000000002</v>
      </c>
      <c r="C46" s="19">
        <f>SUMIF('Enriched Data'!$E$2:$E$1001,A46,'Enriched Data'!$U$2:$U$1001)</f>
        <v>-2832.7894000000006</v>
      </c>
      <c r="D46" s="20">
        <f>IFERROR(C46/B46,0)</f>
        <v>-0.20250248196571685</v>
      </c>
      <c r="E46" s="18">
        <f>COUNTIF('Enriched Data'!$E$2:$E$1001,A46)</f>
        <v>17</v>
      </c>
    </row>
    <row r="47" spans="1:5" ht="15" customHeight="1" x14ac:dyDescent="0.3">
      <c r="A47" s="21" t="s">
        <v>206</v>
      </c>
      <c r="B47" s="22">
        <f>SUMIF('Enriched Data'!$E$2:$E$1001,A47,'Enriched Data'!$R$2:$R$1001)</f>
        <v>49014.085599999984</v>
      </c>
      <c r="C47" s="22">
        <f>SUMIF('Enriched Data'!$E$2:$E$1001,A47,'Enriched Data'!$U$2:$U$1001)</f>
        <v>4278.3373000000011</v>
      </c>
      <c r="D47" s="23">
        <f>IFERROR(C47/B47,0)</f>
        <v>8.7287914231740815E-2</v>
      </c>
      <c r="E47" s="21">
        <f>COUNTIF('Enriched Data'!$E$2:$E$1001,A47)</f>
        <v>213</v>
      </c>
    </row>
    <row r="48" spans="1:5" ht="15" customHeight="1" x14ac:dyDescent="0.3">
      <c r="A48" s="18" t="s">
        <v>233</v>
      </c>
      <c r="B48" s="19">
        <f>SUMIF('Enriched Data'!$E$2:$E$1001,A48,'Enriched Data'!$R$2:$R$1001)</f>
        <v>141145.03230000014</v>
      </c>
      <c r="C48" s="19">
        <f>SUMIF('Enriched Data'!$E$2:$E$1001,A48,'Enriched Data'!$U$2:$U$1001)</f>
        <v>12495.653200000001</v>
      </c>
      <c r="D48" s="20">
        <f>IFERROR(C48/B48,0)</f>
        <v>8.8530591522631916E-2</v>
      </c>
      <c r="E48" s="18">
        <f>COUNTIF('Enriched Data'!$E$2:$E$1001,A48)</f>
        <v>586</v>
      </c>
    </row>
    <row r="50" spans="1:5" ht="15" customHeight="1" x14ac:dyDescent="0.3">
      <c r="A50" s="49" t="s">
        <v>3206</v>
      </c>
      <c r="B50" s="49"/>
      <c r="C50" s="49"/>
      <c r="D50" s="49"/>
      <c r="E50" s="49"/>
    </row>
    <row r="51" spans="1:5" ht="15" customHeight="1" x14ac:dyDescent="0.3">
      <c r="A51" s="17" t="s">
        <v>3207</v>
      </c>
      <c r="B51" s="17" t="s">
        <v>3198</v>
      </c>
      <c r="C51" s="17" t="s">
        <v>3199</v>
      </c>
      <c r="D51" s="17" t="s">
        <v>3187</v>
      </c>
      <c r="E51" s="17" t="s">
        <v>3208</v>
      </c>
    </row>
    <row r="52" spans="1:5" ht="15" customHeight="1" x14ac:dyDescent="0.3">
      <c r="A52" s="18">
        <v>2014</v>
      </c>
      <c r="B52" s="19">
        <f>SUMIF('Enriched Data'!$V$2:$V$1001,A52,'Enriched Data'!$R$2:$R$1001)</f>
        <v>68527.268999999986</v>
      </c>
      <c r="C52" s="19">
        <f>SUMIF('Enriched Data'!$V$2:$V$1001,A52,'Enriched Data'!$U$2:$U$1001)</f>
        <v>6376.2009999999982</v>
      </c>
      <c r="D52" s="20">
        <f>IFERROR(C52/B52,0)</f>
        <v>9.304618574541472E-2</v>
      </c>
      <c r="E52" s="20" t="str">
        <f>"n/a"</f>
        <v>n/a</v>
      </c>
    </row>
    <row r="53" spans="1:5" ht="15" customHeight="1" x14ac:dyDescent="0.3">
      <c r="A53" s="21">
        <v>2015</v>
      </c>
      <c r="B53" s="22">
        <f>SUMIF('Enriched Data'!$V$2:$V$1001,A53,'Enriched Data'!$R$2:$R$1001)</f>
        <v>46520.129199999974</v>
      </c>
      <c r="C53" s="22">
        <f>SUMIF('Enriched Data'!$V$2:$V$1001,A53,'Enriched Data'!$U$2:$U$1001)</f>
        <v>2907.364599999999</v>
      </c>
      <c r="D53" s="23">
        <f>IFERROR(C53/B53,0)</f>
        <v>6.249691585121394E-2</v>
      </c>
      <c r="E53" s="23">
        <f>IFERROR(B53/B52-1,0)</f>
        <v>-0.32114427031960102</v>
      </c>
    </row>
    <row r="54" spans="1:5" ht="15" customHeight="1" x14ac:dyDescent="0.3">
      <c r="A54" s="18">
        <v>2016</v>
      </c>
      <c r="B54" s="19">
        <f>SUMIF('Enriched Data'!$V$2:$V$1001,A54,'Enriched Data'!$R$2:$R$1001)</f>
        <v>65677.208599999969</v>
      </c>
      <c r="C54" s="19">
        <f>SUMIF('Enriched Data'!$V$2:$V$1001,A54,'Enriched Data'!$U$2:$U$1001)</f>
        <v>5611.4359999999997</v>
      </c>
      <c r="D54" s="20">
        <f>IFERROR(C54/B54,0)</f>
        <v>8.5439623875853979E-2</v>
      </c>
      <c r="E54" s="20">
        <f>IFERROR(B54/B53-1,0)</f>
        <v>0.41180193884758176</v>
      </c>
    </row>
    <row r="55" spans="1:5" ht="15" customHeight="1" x14ac:dyDescent="0.3">
      <c r="A55" s="21">
        <v>2017</v>
      </c>
      <c r="B55" s="22">
        <f>SUMIF('Enriched Data'!$V$2:$V$1001,A55,'Enriched Data'!$R$2:$R$1001)</f>
        <v>60406.161100000019</v>
      </c>
      <c r="C55" s="22">
        <f>SUMIF('Enriched Data'!$V$2:$V$1001,A55,'Enriched Data'!$U$2:$U$1001)</f>
        <v>3851.1776000000004</v>
      </c>
      <c r="D55" s="23">
        <f>IFERROR(C55/B55,0)</f>
        <v>6.375471524542882E-2</v>
      </c>
      <c r="E55" s="23">
        <f>IFERROR(B55/B54-1,0)</f>
        <v>-8.0256874680876056E-2</v>
      </c>
    </row>
    <row r="57" spans="1:5" ht="15" customHeight="1" x14ac:dyDescent="0.3">
      <c r="A57" s="49" t="s">
        <v>3209</v>
      </c>
      <c r="B57" s="49"/>
      <c r="C57" s="49"/>
      <c r="D57" s="49"/>
      <c r="E57" s="49"/>
    </row>
    <row r="58" spans="1:5" ht="15" customHeight="1" x14ac:dyDescent="0.3">
      <c r="A58" s="17" t="s">
        <v>84</v>
      </c>
      <c r="B58" s="17" t="s">
        <v>3198</v>
      </c>
      <c r="C58" s="17" t="s">
        <v>3199</v>
      </c>
      <c r="D58" s="17" t="s">
        <v>3187</v>
      </c>
    </row>
    <row r="59" spans="1:5" ht="15" customHeight="1" x14ac:dyDescent="0.3">
      <c r="A59" s="21" t="s">
        <v>226</v>
      </c>
      <c r="B59" s="22">
        <f>SUMIF('Enriched Data'!$K$2:$K$1001,A59,'Enriched Data'!$R$2:$R$1001)</f>
        <v>40979.104000000021</v>
      </c>
      <c r="C59" s="22">
        <f>SUMIF('Enriched Data'!$K$2:$K$1001,A59,'Enriched Data'!$U$2:$U$1001)</f>
        <v>6582.6881000000003</v>
      </c>
      <c r="D59" s="23">
        <f t="shared" ref="D59:D68" si="1">IFERROR(C59/B59,0)</f>
        <v>0.16063523741270666</v>
      </c>
    </row>
    <row r="60" spans="1:5" ht="15" customHeight="1" x14ac:dyDescent="0.3">
      <c r="A60" s="18" t="s">
        <v>287</v>
      </c>
      <c r="B60" s="19">
        <f>SUMIF('Enriched Data'!$K$2:$K$1001,A60,'Enriched Data'!$R$2:$R$1001)</f>
        <v>30242.76739999999</v>
      </c>
      <c r="C60" s="19">
        <f>SUMIF('Enriched Data'!$K$2:$K$1001,A60,'Enriched Data'!$U$2:$U$1001)</f>
        <v>-3772.5734000000007</v>
      </c>
      <c r="D60" s="20">
        <f t="shared" si="1"/>
        <v>-0.1247429955765226</v>
      </c>
    </row>
    <row r="61" spans="1:5" ht="15" customHeight="1" x14ac:dyDescent="0.3">
      <c r="A61" s="21" t="s">
        <v>450</v>
      </c>
      <c r="B61" s="22">
        <f>SUMIF('Enriched Data'!$K$2:$K$1001,A61,'Enriched Data'!$R$2:$R$1001)</f>
        <v>28866.764000000003</v>
      </c>
      <c r="C61" s="22">
        <f>SUMIF('Enriched Data'!$K$2:$K$1001,A61,'Enriched Data'!$U$2:$U$1001)</f>
        <v>7423.5410999999986</v>
      </c>
      <c r="D61" s="23">
        <f t="shared" si="1"/>
        <v>0.25716568369076626</v>
      </c>
    </row>
    <row r="62" spans="1:5" ht="15" customHeight="1" x14ac:dyDescent="0.3">
      <c r="A62" s="18" t="s">
        <v>330</v>
      </c>
      <c r="B62" s="19">
        <f>SUMIF('Enriched Data'!$K$2:$K$1001,A62,'Enriched Data'!$R$2:$R$1001)</f>
        <v>17100.393</v>
      </c>
      <c r="C62" s="19">
        <f>SUMIF('Enriched Data'!$K$2:$K$1001,A62,'Enriched Data'!$U$2:$U$1001)</f>
        <v>-4171.84</v>
      </c>
      <c r="D62" s="20">
        <f t="shared" si="1"/>
        <v>-0.24396164462419082</v>
      </c>
    </row>
    <row r="63" spans="1:5" ht="15" customHeight="1" x14ac:dyDescent="0.3">
      <c r="A63" s="21" t="s">
        <v>421</v>
      </c>
      <c r="B63" s="22">
        <f>SUMIF('Enriched Data'!$K$2:$K$1001,A63,'Enriched Data'!$R$2:$R$1001)</f>
        <v>13677.632</v>
      </c>
      <c r="C63" s="22">
        <f>SUMIF('Enriched Data'!$K$2:$K$1001,A63,'Enriched Data'!$U$2:$U$1001)</f>
        <v>3594.0830999999994</v>
      </c>
      <c r="D63" s="23">
        <f t="shared" si="1"/>
        <v>0.26277085828892016</v>
      </c>
    </row>
    <row r="64" spans="1:5" ht="15" customHeight="1" x14ac:dyDescent="0.3">
      <c r="A64" s="18" t="s">
        <v>394</v>
      </c>
      <c r="B64" s="19">
        <f>SUMIF('Enriched Data'!$K$2:$K$1001,A64,'Enriched Data'!$R$2:$R$1001)</f>
        <v>11340.169000000002</v>
      </c>
      <c r="C64" s="19">
        <f>SUMIF('Enriched Data'!$K$2:$K$1001,A64,'Enriched Data'!$U$2:$U$1001)</f>
        <v>-1115.7864000000004</v>
      </c>
      <c r="D64" s="20">
        <f t="shared" si="1"/>
        <v>-9.8392396092157025E-2</v>
      </c>
    </row>
    <row r="65" spans="1:5" ht="15" customHeight="1" x14ac:dyDescent="0.3">
      <c r="A65" s="21" t="s">
        <v>271</v>
      </c>
      <c r="B65" s="22">
        <f>SUMIF('Enriched Data'!$K$2:$K$1001,A65,'Enriched Data'!$R$2:$R$1001)</f>
        <v>11263.682000000001</v>
      </c>
      <c r="C65" s="22">
        <f>SUMIF('Enriched Data'!$K$2:$K$1001,A65,'Enriched Data'!$U$2:$U$1001)</f>
        <v>-3559.7027000000003</v>
      </c>
      <c r="D65" s="23">
        <f t="shared" si="1"/>
        <v>-0.31603366465779131</v>
      </c>
    </row>
    <row r="66" spans="1:5" ht="15" customHeight="1" x14ac:dyDescent="0.3">
      <c r="A66" s="18" t="s">
        <v>279</v>
      </c>
      <c r="B66" s="19">
        <f>SUMIF('Enriched Data'!$K$2:$K$1001,A66,'Enriched Data'!$R$2:$R$1001)</f>
        <v>9893.6439999999984</v>
      </c>
      <c r="C66" s="19">
        <f>SUMIF('Enriched Data'!$K$2:$K$1001,A66,'Enriched Data'!$U$2:$U$1001)</f>
        <v>2608.7204999999999</v>
      </c>
      <c r="D66" s="20">
        <f t="shared" si="1"/>
        <v>0.26367640679207788</v>
      </c>
    </row>
    <row r="67" spans="1:5" ht="15" customHeight="1" x14ac:dyDescent="0.3">
      <c r="A67" s="21" t="s">
        <v>237</v>
      </c>
      <c r="B67" s="22">
        <f>SUMIF('Enriched Data'!$K$2:$K$1001,A67,'Enriched Data'!$R$2:$R$1001)</f>
        <v>9068.0825000000004</v>
      </c>
      <c r="C67" s="22">
        <f>SUMIF('Enriched Data'!$K$2:$K$1001,A67,'Enriched Data'!$U$2:$U$1001)</f>
        <v>-1103.3793000000001</v>
      </c>
      <c r="D67" s="23">
        <f t="shared" si="1"/>
        <v>-0.12167724543750015</v>
      </c>
    </row>
    <row r="68" spans="1:5" ht="15" customHeight="1" x14ac:dyDescent="0.3">
      <c r="A68" s="18" t="s">
        <v>640</v>
      </c>
      <c r="B68" s="19">
        <f>SUMIF('Enriched Data'!$K$2:$K$1001,A68,'Enriched Data'!$R$2:$R$1001)</f>
        <v>8049.085</v>
      </c>
      <c r="C68" s="19">
        <f>SUMIF('Enriched Data'!$K$2:$K$1001,A68,'Enriched Data'!$U$2:$U$1001)</f>
        <v>434.91079999999994</v>
      </c>
      <c r="D68" s="20">
        <f t="shared" si="1"/>
        <v>5.403232789813997E-2</v>
      </c>
    </row>
    <row r="70" spans="1:5" ht="15" customHeight="1" x14ac:dyDescent="0.3">
      <c r="A70" s="49" t="s">
        <v>3210</v>
      </c>
      <c r="B70" s="49"/>
      <c r="C70" s="49"/>
      <c r="D70" s="49"/>
      <c r="E70" s="49"/>
    </row>
    <row r="71" spans="1:5" ht="15" customHeight="1" x14ac:dyDescent="0.3">
      <c r="A71" s="17" t="s">
        <v>3211</v>
      </c>
      <c r="B71" s="17" t="s">
        <v>3198</v>
      </c>
      <c r="C71" s="17" t="s">
        <v>3199</v>
      </c>
      <c r="D71" s="17" t="s">
        <v>3200</v>
      </c>
    </row>
    <row r="72" spans="1:5" ht="15" customHeight="1" x14ac:dyDescent="0.3">
      <c r="A72" s="18" t="s">
        <v>3212</v>
      </c>
      <c r="B72" s="19">
        <f>SUMIF('Enriched Data'!$X$2:$X$1001,A72,'Enriched Data'!$R$2:$R$1001)</f>
        <v>28630.897799999999</v>
      </c>
      <c r="C72" s="19">
        <f>SUMIF('Enriched Data'!$X$2:$X$1001,A72,'Enriched Data'!$U$2:$U$1001)</f>
        <v>5322.0193999999992</v>
      </c>
      <c r="D72" s="18">
        <f>COUNTIF('Enriched Data'!$X$2:$X$1001,A72)</f>
        <v>120</v>
      </c>
    </row>
    <row r="73" spans="1:5" ht="15" customHeight="1" x14ac:dyDescent="0.3">
      <c r="A73" s="21" t="s">
        <v>3213</v>
      </c>
      <c r="B73" s="22">
        <f>SUMIF('Enriched Data'!$X$2:$X$1001,A73,'Enriched Data'!$R$2:$R$1001)</f>
        <v>53692.789500000006</v>
      </c>
      <c r="C73" s="22">
        <f>SUMIF('Enriched Data'!$X$2:$X$1001,A73,'Enriched Data'!$U$2:$U$1001)</f>
        <v>6165.6673999999994</v>
      </c>
      <c r="D73" s="21">
        <f>COUNTIF('Enriched Data'!$X$2:$X$1001,A73)</f>
        <v>261</v>
      </c>
    </row>
    <row r="74" spans="1:5" ht="15" customHeight="1" x14ac:dyDescent="0.3">
      <c r="A74" s="18" t="s">
        <v>3214</v>
      </c>
      <c r="B74" s="19">
        <f>SUMIF('Enriched Data'!$X$2:$X$1001,A74,'Enriched Data'!$R$2:$R$1001)</f>
        <v>72041.336599999995</v>
      </c>
      <c r="C74" s="19">
        <f>SUMIF('Enriched Data'!$X$2:$X$1001,A74,'Enriched Data'!$U$2:$U$1001)</f>
        <v>1365.548699999998</v>
      </c>
      <c r="D74" s="18">
        <f>COUNTIF('Enriched Data'!$X$2:$X$1001,A74)</f>
        <v>251</v>
      </c>
    </row>
    <row r="75" spans="1:5" ht="15" customHeight="1" x14ac:dyDescent="0.3">
      <c r="A75" s="21" t="s">
        <v>3215</v>
      </c>
      <c r="B75" s="22">
        <f>SUMIF('Enriched Data'!$X$2:$X$1001,A75,'Enriched Data'!$R$2:$R$1001)</f>
        <v>86765.744000000006</v>
      </c>
      <c r="C75" s="22">
        <f>SUMIF('Enriched Data'!$X$2:$X$1001,A75,'Enriched Data'!$U$2:$U$1001)</f>
        <v>5892.9437000000016</v>
      </c>
      <c r="D75" s="21">
        <f>COUNTIF('Enriched Data'!$X$2:$X$1001,A75)</f>
        <v>368</v>
      </c>
    </row>
  </sheetData>
  <mergeCells count="8">
    <mergeCell ref="A50:E50"/>
    <mergeCell ref="A57:E57"/>
    <mergeCell ref="A70:E70"/>
    <mergeCell ref="A4:E4"/>
    <mergeCell ref="A10:E10"/>
    <mergeCell ref="A30:E30"/>
    <mergeCell ref="A37:E37"/>
    <mergeCell ref="A43:E4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B1:P10"/>
  <sheetViews>
    <sheetView showGridLines="0" tabSelected="1" topLeftCell="A18" zoomScaleNormal="100" workbookViewId="0">
      <selection activeCell="W41" sqref="W41"/>
    </sheetView>
  </sheetViews>
  <sheetFormatPr defaultColWidth="8.6640625" defaultRowHeight="14.4" x14ac:dyDescent="0.3"/>
  <cols>
    <col min="1" max="17" width="9" customWidth="1"/>
  </cols>
  <sheetData>
    <row r="1" spans="2:16" ht="21.75" customHeight="1" x14ac:dyDescent="0.45">
      <c r="B1" s="24" t="s">
        <v>3216</v>
      </c>
    </row>
    <row r="2" spans="2:16" ht="15" customHeight="1" x14ac:dyDescent="0.3">
      <c r="B2" s="25" t="s">
        <v>3217</v>
      </c>
    </row>
    <row r="4" spans="2:16" ht="27.75" customHeight="1" x14ac:dyDescent="0.3">
      <c r="B4" s="41" t="s">
        <v>3218</v>
      </c>
      <c r="C4" s="41"/>
      <c r="D4" s="41"/>
      <c r="F4" s="43" t="s">
        <v>3219</v>
      </c>
      <c r="G4" s="43"/>
      <c r="H4" s="43"/>
      <c r="J4" s="41" t="s">
        <v>3220</v>
      </c>
      <c r="K4" s="41"/>
      <c r="L4" s="41"/>
      <c r="N4" s="41" t="s">
        <v>3221</v>
      </c>
      <c r="O4" s="41"/>
      <c r="P4" s="41"/>
    </row>
    <row r="5" spans="2:16" ht="30" customHeight="1" x14ac:dyDescent="0.3">
      <c r="B5" s="47">
        <f>SUM('Enriched Data'!$R$2:$R$1001)</f>
        <v>241130.76789999995</v>
      </c>
      <c r="C5" s="47"/>
      <c r="D5" s="47"/>
      <c r="F5" s="47">
        <f>SUM('Enriched Data'!$U$2:$U$1001)</f>
        <v>18746.179199999984</v>
      </c>
      <c r="G5" s="47"/>
      <c r="H5" s="47"/>
      <c r="J5" s="45">
        <f>F5/B5</f>
        <v>7.774279227516194E-2</v>
      </c>
      <c r="K5" s="45"/>
      <c r="L5" s="45"/>
      <c r="N5" s="46">
        <f>SUMPRODUCT(1/COUNTIF('Enriched Data'!$B$2:$B$1001,'Enriched Data'!$B$2:$B$1001))</f>
        <v>478.99999999999784</v>
      </c>
      <c r="O5" s="46"/>
      <c r="P5" s="46"/>
    </row>
    <row r="7" spans="2:16" ht="27.75" customHeight="1" x14ac:dyDescent="0.3">
      <c r="B7" s="41" t="s">
        <v>3222</v>
      </c>
      <c r="C7" s="41"/>
      <c r="D7" s="41"/>
      <c r="F7" s="42" t="s">
        <v>3223</v>
      </c>
      <c r="G7" s="42"/>
      <c r="H7" s="42"/>
      <c r="J7" s="43" t="s">
        <v>3224</v>
      </c>
      <c r="K7" s="43"/>
      <c r="L7" s="43"/>
      <c r="N7" s="42" t="s">
        <v>3225</v>
      </c>
      <c r="O7" s="42"/>
      <c r="P7" s="42"/>
    </row>
    <row r="8" spans="2:16" ht="30" customHeight="1" x14ac:dyDescent="0.3">
      <c r="B8" s="44">
        <f>B5/N5</f>
        <v>503.40452588726731</v>
      </c>
      <c r="C8" s="44"/>
      <c r="D8" s="44"/>
      <c r="F8" s="45">
        <f>AVERAGE('Enriched Data'!$T$2:$T$1001)</f>
        <v>0.1626799999999996</v>
      </c>
      <c r="G8" s="45"/>
      <c r="H8" s="45"/>
      <c r="J8" s="46">
        <f>SUMPRODUCT(1/COUNTIF('Enriched Data'!$F$2:$F$1001,'Enriched Data'!$F$2:$F$1001))</f>
        <v>361.99999999999955</v>
      </c>
      <c r="K8" s="46"/>
      <c r="L8" s="46"/>
      <c r="N8" s="45">
        <f>COUNTIF('Enriched Data'!$AF$2:$AF$1001,"Loss-Making")/1000</f>
        <v>0.186</v>
      </c>
      <c r="O8" s="45"/>
      <c r="P8" s="45"/>
    </row>
    <row r="10" spans="2:16" ht="15" customHeight="1" x14ac:dyDescent="0.3">
      <c r="B10" s="40" t="s">
        <v>3226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</row>
  </sheetData>
  <mergeCells count="17">
    <mergeCell ref="B4:D4"/>
    <mergeCell ref="F4:H4"/>
    <mergeCell ref="J4:L4"/>
    <mergeCell ref="N4:P4"/>
    <mergeCell ref="B5:D5"/>
    <mergeCell ref="F5:H5"/>
    <mergeCell ref="J5:L5"/>
    <mergeCell ref="N5:P5"/>
    <mergeCell ref="B10:P10"/>
    <mergeCell ref="B7:D7"/>
    <mergeCell ref="F7:H7"/>
    <mergeCell ref="J7:L7"/>
    <mergeCell ref="N7:P7"/>
    <mergeCell ref="B8:D8"/>
    <mergeCell ref="F8:H8"/>
    <mergeCell ref="J8:L8"/>
    <mergeCell ref="N8:P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5395"/>
  </sheetPr>
  <dimension ref="A1:E45"/>
  <sheetViews>
    <sheetView showGridLines="0" zoomScaleNormal="100" workbookViewId="0">
      <pane ySplit="4" topLeftCell="A39" activePane="bottomLeft" state="frozen"/>
      <selection pane="bottomLeft" activeCell="C1" sqref="C1"/>
    </sheetView>
  </sheetViews>
  <sheetFormatPr defaultColWidth="8.6640625" defaultRowHeight="14.4" x14ac:dyDescent="0.3"/>
  <cols>
    <col min="1" max="1" width="4" customWidth="1"/>
    <col min="2" max="2" width="13" customWidth="1"/>
    <col min="3" max="3" width="34" customWidth="1"/>
    <col min="4" max="4" width="52" customWidth="1"/>
    <col min="5" max="5" width="30" customWidth="1"/>
  </cols>
  <sheetData>
    <row r="1" spans="1:5" ht="19.5" customHeight="1" x14ac:dyDescent="0.4">
      <c r="A1" s="7" t="s">
        <v>3227</v>
      </c>
    </row>
    <row r="2" spans="1:5" ht="15" customHeight="1" x14ac:dyDescent="0.3">
      <c r="A2" s="2" t="s">
        <v>3228</v>
      </c>
    </row>
    <row r="4" spans="1:5" ht="15" customHeight="1" x14ac:dyDescent="0.3">
      <c r="A4" s="17" t="s">
        <v>132</v>
      </c>
      <c r="B4" s="17" t="s">
        <v>3229</v>
      </c>
      <c r="C4" s="17" t="s">
        <v>3230</v>
      </c>
      <c r="D4" s="17" t="s">
        <v>3231</v>
      </c>
      <c r="E4" s="17" t="s">
        <v>3232</v>
      </c>
    </row>
    <row r="5" spans="1:5" ht="42" customHeight="1" x14ac:dyDescent="0.3">
      <c r="A5" s="26">
        <v>1</v>
      </c>
      <c r="B5" s="27" t="s">
        <v>3233</v>
      </c>
      <c r="C5" s="28" t="s">
        <v>3234</v>
      </c>
      <c r="D5" s="29" t="s">
        <v>3235</v>
      </c>
      <c r="E5" s="30" t="s">
        <v>3236</v>
      </c>
    </row>
    <row r="6" spans="1:5" ht="42" customHeight="1" x14ac:dyDescent="0.3">
      <c r="A6" s="31">
        <v>2</v>
      </c>
      <c r="B6" s="27" t="s">
        <v>3233</v>
      </c>
      <c r="C6" s="32" t="s">
        <v>3237</v>
      </c>
      <c r="D6" s="33" t="s">
        <v>3238</v>
      </c>
      <c r="E6" s="34" t="s">
        <v>3239</v>
      </c>
    </row>
    <row r="7" spans="1:5" ht="42" customHeight="1" x14ac:dyDescent="0.3">
      <c r="A7" s="26">
        <v>3</v>
      </c>
      <c r="B7" s="27" t="s">
        <v>3233</v>
      </c>
      <c r="C7" s="28" t="s">
        <v>3240</v>
      </c>
      <c r="D7" s="29" t="s">
        <v>3241</v>
      </c>
      <c r="E7" s="30" t="s">
        <v>3242</v>
      </c>
    </row>
    <row r="8" spans="1:5" ht="42" customHeight="1" x14ac:dyDescent="0.3">
      <c r="A8" s="31">
        <v>4</v>
      </c>
      <c r="B8" s="27" t="s">
        <v>3233</v>
      </c>
      <c r="C8" s="32" t="s">
        <v>3243</v>
      </c>
      <c r="D8" s="33" t="s">
        <v>3244</v>
      </c>
      <c r="E8" s="34" t="s">
        <v>3242</v>
      </c>
    </row>
    <row r="9" spans="1:5" ht="42" customHeight="1" x14ac:dyDescent="0.3">
      <c r="A9" s="26">
        <v>5</v>
      </c>
      <c r="B9" s="27" t="s">
        <v>3233</v>
      </c>
      <c r="C9" s="28" t="s">
        <v>3245</v>
      </c>
      <c r="D9" s="29" t="s">
        <v>3246</v>
      </c>
      <c r="E9" s="30" t="s">
        <v>3242</v>
      </c>
    </row>
    <row r="10" spans="1:5" ht="42" customHeight="1" x14ac:dyDescent="0.3">
      <c r="A10" s="31">
        <v>6</v>
      </c>
      <c r="B10" s="27" t="s">
        <v>3233</v>
      </c>
      <c r="C10" s="32" t="s">
        <v>3247</v>
      </c>
      <c r="D10" s="33" t="s">
        <v>3248</v>
      </c>
      <c r="E10" s="34" t="s">
        <v>3249</v>
      </c>
    </row>
    <row r="11" spans="1:5" ht="42" customHeight="1" x14ac:dyDescent="0.3">
      <c r="A11" s="26">
        <v>7</v>
      </c>
      <c r="B11" s="27" t="s">
        <v>3233</v>
      </c>
      <c r="C11" s="28" t="s">
        <v>3250</v>
      </c>
      <c r="D11" s="29" t="s">
        <v>3251</v>
      </c>
      <c r="E11" s="30" t="s">
        <v>3252</v>
      </c>
    </row>
    <row r="12" spans="1:5" ht="42" customHeight="1" x14ac:dyDescent="0.3">
      <c r="A12" s="31">
        <v>8</v>
      </c>
      <c r="B12" s="27" t="s">
        <v>3233</v>
      </c>
      <c r="C12" s="32" t="s">
        <v>3253</v>
      </c>
      <c r="D12" s="33" t="s">
        <v>3254</v>
      </c>
      <c r="E12" s="34" t="s">
        <v>3255</v>
      </c>
    </row>
    <row r="13" spans="1:5" ht="42" customHeight="1" x14ac:dyDescent="0.3">
      <c r="A13" s="26">
        <v>9</v>
      </c>
      <c r="B13" s="27" t="s">
        <v>3233</v>
      </c>
      <c r="C13" s="28" t="s">
        <v>3256</v>
      </c>
      <c r="D13" s="29" t="s">
        <v>3257</v>
      </c>
      <c r="E13" s="30" t="s">
        <v>3255</v>
      </c>
    </row>
    <row r="14" spans="1:5" ht="42" customHeight="1" x14ac:dyDescent="0.3">
      <c r="A14" s="31">
        <v>10</v>
      </c>
      <c r="B14" s="27" t="s">
        <v>3233</v>
      </c>
      <c r="C14" s="32" t="s">
        <v>3258</v>
      </c>
      <c r="D14" s="33" t="s">
        <v>3259</v>
      </c>
      <c r="E14" s="34" t="s">
        <v>3260</v>
      </c>
    </row>
    <row r="15" spans="1:5" ht="42" customHeight="1" x14ac:dyDescent="0.3">
      <c r="A15" s="26">
        <v>11</v>
      </c>
      <c r="B15" s="27" t="s">
        <v>3233</v>
      </c>
      <c r="C15" s="28" t="s">
        <v>3261</v>
      </c>
      <c r="D15" s="29" t="s">
        <v>3262</v>
      </c>
      <c r="E15" s="30" t="s">
        <v>3263</v>
      </c>
    </row>
    <row r="16" spans="1:5" ht="42" customHeight="1" x14ac:dyDescent="0.3">
      <c r="A16" s="31">
        <v>12</v>
      </c>
      <c r="B16" s="27" t="s">
        <v>3233</v>
      </c>
      <c r="C16" s="32" t="s">
        <v>3264</v>
      </c>
      <c r="D16" s="33" t="s">
        <v>3265</v>
      </c>
      <c r="E16" s="34" t="s">
        <v>3266</v>
      </c>
    </row>
    <row r="17" spans="1:5" ht="42" customHeight="1" x14ac:dyDescent="0.3">
      <c r="A17" s="26">
        <v>13</v>
      </c>
      <c r="B17" s="27" t="s">
        <v>3233</v>
      </c>
      <c r="C17" s="28" t="s">
        <v>3267</v>
      </c>
      <c r="D17" s="29" t="s">
        <v>3268</v>
      </c>
      <c r="E17" s="30" t="s">
        <v>3269</v>
      </c>
    </row>
    <row r="18" spans="1:5" ht="42" customHeight="1" x14ac:dyDescent="0.3">
      <c r="A18" s="31">
        <v>14</v>
      </c>
      <c r="B18" s="27" t="s">
        <v>3233</v>
      </c>
      <c r="C18" s="32" t="s">
        <v>3270</v>
      </c>
      <c r="D18" s="33" t="s">
        <v>3271</v>
      </c>
      <c r="E18" s="34" t="s">
        <v>3272</v>
      </c>
    </row>
    <row r="19" spans="1:5" ht="42" customHeight="1" x14ac:dyDescent="0.3">
      <c r="A19" s="26">
        <v>15</v>
      </c>
      <c r="B19" s="27" t="s">
        <v>3233</v>
      </c>
      <c r="C19" s="28" t="s">
        <v>3273</v>
      </c>
      <c r="D19" s="29" t="s">
        <v>3274</v>
      </c>
      <c r="E19" s="30" t="s">
        <v>3272</v>
      </c>
    </row>
    <row r="20" spans="1:5" ht="42" customHeight="1" x14ac:dyDescent="0.3">
      <c r="A20" s="31">
        <v>16</v>
      </c>
      <c r="B20" s="27" t="s">
        <v>3233</v>
      </c>
      <c r="C20" s="32" t="s">
        <v>3275</v>
      </c>
      <c r="D20" s="33" t="s">
        <v>3276</v>
      </c>
      <c r="E20" s="34" t="s">
        <v>3272</v>
      </c>
    </row>
    <row r="21" spans="1:5" ht="42" customHeight="1" x14ac:dyDescent="0.3">
      <c r="A21" s="26">
        <v>17</v>
      </c>
      <c r="B21" s="27" t="s">
        <v>3233</v>
      </c>
      <c r="C21" s="28" t="s">
        <v>3277</v>
      </c>
      <c r="D21" s="29" t="s">
        <v>3278</v>
      </c>
      <c r="E21" s="30" t="s">
        <v>3279</v>
      </c>
    </row>
    <row r="22" spans="1:5" ht="42" customHeight="1" x14ac:dyDescent="0.3">
      <c r="A22" s="31">
        <v>18</v>
      </c>
      <c r="B22" s="27" t="s">
        <v>3233</v>
      </c>
      <c r="C22" s="32" t="s">
        <v>3280</v>
      </c>
      <c r="D22" s="33" t="s">
        <v>3281</v>
      </c>
      <c r="E22" s="34" t="s">
        <v>3282</v>
      </c>
    </row>
    <row r="23" spans="1:5" ht="42" customHeight="1" x14ac:dyDescent="0.3">
      <c r="A23" s="26">
        <v>19</v>
      </c>
      <c r="B23" s="27" t="s">
        <v>3233</v>
      </c>
      <c r="C23" s="28" t="s">
        <v>3283</v>
      </c>
      <c r="D23" s="29" t="s">
        <v>3284</v>
      </c>
      <c r="E23" s="30" t="s">
        <v>12</v>
      </c>
    </row>
    <row r="24" spans="1:5" ht="42" customHeight="1" x14ac:dyDescent="0.3">
      <c r="A24" s="31">
        <v>20</v>
      </c>
      <c r="B24" s="27" t="s">
        <v>3233</v>
      </c>
      <c r="C24" s="32" t="s">
        <v>3285</v>
      </c>
      <c r="D24" s="33" t="s">
        <v>3286</v>
      </c>
      <c r="E24" s="34" t="s">
        <v>3287</v>
      </c>
    </row>
    <row r="25" spans="1:5" ht="42" customHeight="1" x14ac:dyDescent="0.3">
      <c r="A25" s="26">
        <v>21</v>
      </c>
      <c r="B25" s="35" t="s">
        <v>3288</v>
      </c>
      <c r="C25" s="28" t="s">
        <v>3289</v>
      </c>
      <c r="D25" s="29" t="s">
        <v>3290</v>
      </c>
      <c r="E25" s="30" t="s">
        <v>3291</v>
      </c>
    </row>
    <row r="26" spans="1:5" ht="42" customHeight="1" x14ac:dyDescent="0.3">
      <c r="A26" s="31">
        <v>22</v>
      </c>
      <c r="B26" s="35" t="s">
        <v>3288</v>
      </c>
      <c r="C26" s="32" t="s">
        <v>3292</v>
      </c>
      <c r="D26" s="33" t="s">
        <v>3293</v>
      </c>
      <c r="E26" s="34" t="s">
        <v>3294</v>
      </c>
    </row>
    <row r="27" spans="1:5" ht="42" customHeight="1" x14ac:dyDescent="0.3">
      <c r="A27" s="26">
        <v>23</v>
      </c>
      <c r="B27" s="35" t="s">
        <v>3288</v>
      </c>
      <c r="C27" s="28" t="s">
        <v>3295</v>
      </c>
      <c r="D27" s="29" t="s">
        <v>3296</v>
      </c>
      <c r="E27" s="30" t="s">
        <v>3297</v>
      </c>
    </row>
    <row r="28" spans="1:5" ht="42" customHeight="1" x14ac:dyDescent="0.3">
      <c r="A28" s="31">
        <v>24</v>
      </c>
      <c r="B28" s="35" t="s">
        <v>3288</v>
      </c>
      <c r="C28" s="32" t="s">
        <v>3298</v>
      </c>
      <c r="D28" s="33" t="s">
        <v>3299</v>
      </c>
      <c r="E28" s="34" t="s">
        <v>3300</v>
      </c>
    </row>
    <row r="29" spans="1:5" ht="42" customHeight="1" x14ac:dyDescent="0.3">
      <c r="A29" s="26">
        <v>25</v>
      </c>
      <c r="B29" s="35" t="s">
        <v>3288</v>
      </c>
      <c r="C29" s="28" t="s">
        <v>3301</v>
      </c>
      <c r="D29" s="29" t="s">
        <v>3302</v>
      </c>
      <c r="E29" s="30" t="s">
        <v>3303</v>
      </c>
    </row>
    <row r="30" spans="1:5" ht="42" customHeight="1" x14ac:dyDescent="0.3">
      <c r="A30" s="31">
        <v>26</v>
      </c>
      <c r="B30" s="35" t="s">
        <v>3288</v>
      </c>
      <c r="C30" s="32" t="s">
        <v>3304</v>
      </c>
      <c r="D30" s="33" t="s">
        <v>3305</v>
      </c>
      <c r="E30" s="34" t="s">
        <v>3269</v>
      </c>
    </row>
    <row r="31" spans="1:5" ht="42" customHeight="1" x14ac:dyDescent="0.3">
      <c r="A31" s="26">
        <v>27</v>
      </c>
      <c r="B31" s="35" t="s">
        <v>3288</v>
      </c>
      <c r="C31" s="28" t="s">
        <v>3306</v>
      </c>
      <c r="D31" s="29" t="s">
        <v>3307</v>
      </c>
      <c r="E31" s="30" t="s">
        <v>3308</v>
      </c>
    </row>
    <row r="32" spans="1:5" ht="42" customHeight="1" x14ac:dyDescent="0.3">
      <c r="A32" s="31">
        <v>28</v>
      </c>
      <c r="B32" s="35" t="s">
        <v>3288</v>
      </c>
      <c r="C32" s="32" t="s">
        <v>3309</v>
      </c>
      <c r="D32" s="33" t="s">
        <v>3310</v>
      </c>
      <c r="E32" s="34" t="s">
        <v>3311</v>
      </c>
    </row>
    <row r="33" spans="1:5" ht="42" customHeight="1" x14ac:dyDescent="0.3">
      <c r="A33" s="26">
        <v>29</v>
      </c>
      <c r="B33" s="35" t="s">
        <v>3288</v>
      </c>
      <c r="C33" s="28" t="s">
        <v>3312</v>
      </c>
      <c r="D33" s="29" t="s">
        <v>3313</v>
      </c>
      <c r="E33" s="30" t="s">
        <v>3249</v>
      </c>
    </row>
    <row r="34" spans="1:5" ht="42" customHeight="1" x14ac:dyDescent="0.3">
      <c r="A34" s="31">
        <v>30</v>
      </c>
      <c r="B34" s="35" t="s">
        <v>3288</v>
      </c>
      <c r="C34" s="32" t="s">
        <v>3314</v>
      </c>
      <c r="D34" s="33" t="s">
        <v>3315</v>
      </c>
      <c r="E34" s="34" t="s">
        <v>3316</v>
      </c>
    </row>
    <row r="35" spans="1:5" ht="42" customHeight="1" x14ac:dyDescent="0.3">
      <c r="A35" s="26">
        <v>31</v>
      </c>
      <c r="B35" s="35" t="s">
        <v>3288</v>
      </c>
      <c r="C35" s="28" t="s">
        <v>3317</v>
      </c>
      <c r="D35" s="29" t="s">
        <v>3318</v>
      </c>
      <c r="E35" s="30" t="s">
        <v>3319</v>
      </c>
    </row>
    <row r="36" spans="1:5" ht="42" customHeight="1" x14ac:dyDescent="0.3">
      <c r="A36" s="31">
        <v>32</v>
      </c>
      <c r="B36" s="35" t="s">
        <v>3288</v>
      </c>
      <c r="C36" s="32" t="s">
        <v>3320</v>
      </c>
      <c r="D36" s="33" t="s">
        <v>3321</v>
      </c>
      <c r="E36" s="34" t="s">
        <v>3322</v>
      </c>
    </row>
    <row r="37" spans="1:5" ht="42" customHeight="1" x14ac:dyDescent="0.3">
      <c r="A37" s="26">
        <v>33</v>
      </c>
      <c r="B37" s="35" t="s">
        <v>3288</v>
      </c>
      <c r="C37" s="28" t="s">
        <v>3323</v>
      </c>
      <c r="D37" s="29" t="s">
        <v>3324</v>
      </c>
      <c r="E37" s="30" t="s">
        <v>3272</v>
      </c>
    </row>
    <row r="38" spans="1:5" ht="42" customHeight="1" x14ac:dyDescent="0.3">
      <c r="A38" s="31">
        <v>34</v>
      </c>
      <c r="B38" s="36" t="s">
        <v>3325</v>
      </c>
      <c r="C38" s="32" t="s">
        <v>3326</v>
      </c>
      <c r="D38" s="33" t="s">
        <v>3327</v>
      </c>
      <c r="E38" s="34" t="s">
        <v>3328</v>
      </c>
    </row>
    <row r="39" spans="1:5" ht="42" customHeight="1" x14ac:dyDescent="0.3">
      <c r="A39" s="26">
        <v>35</v>
      </c>
      <c r="B39" s="36" t="s">
        <v>3325</v>
      </c>
      <c r="C39" s="28" t="s">
        <v>3329</v>
      </c>
      <c r="D39" s="29" t="s">
        <v>3330</v>
      </c>
      <c r="E39" s="30" t="s">
        <v>3331</v>
      </c>
    </row>
    <row r="40" spans="1:5" ht="42" customHeight="1" x14ac:dyDescent="0.3">
      <c r="A40" s="31">
        <v>36</v>
      </c>
      <c r="B40" s="36" t="s">
        <v>3325</v>
      </c>
      <c r="C40" s="32" t="s">
        <v>3332</v>
      </c>
      <c r="D40" s="33" t="s">
        <v>3333</v>
      </c>
      <c r="E40" s="34" t="s">
        <v>3269</v>
      </c>
    </row>
    <row r="41" spans="1:5" ht="42" customHeight="1" x14ac:dyDescent="0.3">
      <c r="A41" s="26">
        <v>37</v>
      </c>
      <c r="B41" s="36" t="s">
        <v>3325</v>
      </c>
      <c r="C41" s="28" t="s">
        <v>3334</v>
      </c>
      <c r="D41" s="29" t="s">
        <v>3335</v>
      </c>
      <c r="E41" s="30" t="s">
        <v>3336</v>
      </c>
    </row>
    <row r="42" spans="1:5" ht="42" customHeight="1" x14ac:dyDescent="0.3">
      <c r="A42" s="31">
        <v>38</v>
      </c>
      <c r="B42" s="36" t="s">
        <v>3325</v>
      </c>
      <c r="C42" s="32" t="s">
        <v>3337</v>
      </c>
      <c r="D42" s="33" t="s">
        <v>3338</v>
      </c>
      <c r="E42" s="34" t="s">
        <v>3339</v>
      </c>
    </row>
    <row r="43" spans="1:5" ht="42" customHeight="1" x14ac:dyDescent="0.3">
      <c r="A43" s="26">
        <v>39</v>
      </c>
      <c r="B43" s="36" t="s">
        <v>3325</v>
      </c>
      <c r="C43" s="28" t="s">
        <v>3340</v>
      </c>
      <c r="D43" s="29" t="s">
        <v>3341</v>
      </c>
      <c r="E43" s="30" t="s">
        <v>3342</v>
      </c>
    </row>
    <row r="44" spans="1:5" ht="42" customHeight="1" x14ac:dyDescent="0.3">
      <c r="A44" s="31">
        <v>40</v>
      </c>
      <c r="B44" s="36" t="s">
        <v>3325</v>
      </c>
      <c r="C44" s="32" t="s">
        <v>3343</v>
      </c>
      <c r="D44" s="33" t="s">
        <v>3344</v>
      </c>
      <c r="E44" s="34" t="s">
        <v>3345</v>
      </c>
    </row>
    <row r="45" spans="1:5" ht="42" customHeight="1" x14ac:dyDescent="0.3">
      <c r="A45" s="26">
        <v>41</v>
      </c>
      <c r="B45" s="36" t="s">
        <v>3325</v>
      </c>
      <c r="C45" s="28" t="s">
        <v>3346</v>
      </c>
      <c r="D45" s="29" t="s">
        <v>3347</v>
      </c>
      <c r="E45" s="30" t="s">
        <v>3348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75623"/>
  </sheetPr>
  <dimension ref="A1:D29"/>
  <sheetViews>
    <sheetView showGridLines="0" zoomScaleNormal="100" workbookViewId="0">
      <pane ySplit="4" topLeftCell="A5" activePane="bottomLeft" state="frozen"/>
      <selection pane="bottomLeft" activeCell="G6" sqref="G6"/>
    </sheetView>
  </sheetViews>
  <sheetFormatPr defaultColWidth="8.6640625" defaultRowHeight="14.4" x14ac:dyDescent="0.3"/>
  <cols>
    <col min="1" max="1" width="4" customWidth="1"/>
    <col min="2" max="3" width="55" customWidth="1"/>
    <col min="4" max="4" width="12" customWidth="1"/>
  </cols>
  <sheetData>
    <row r="1" spans="1:4" ht="19.5" customHeight="1" x14ac:dyDescent="0.4">
      <c r="A1" s="7" t="s">
        <v>3349</v>
      </c>
    </row>
    <row r="2" spans="1:4" ht="15" customHeight="1" x14ac:dyDescent="0.3">
      <c r="A2" s="2" t="s">
        <v>3350</v>
      </c>
    </row>
    <row r="4" spans="1:4" ht="23.25" customHeight="1" x14ac:dyDescent="0.3">
      <c r="A4" s="17" t="s">
        <v>132</v>
      </c>
      <c r="B4" s="17" t="s">
        <v>3351</v>
      </c>
      <c r="C4" s="17" t="s">
        <v>3352</v>
      </c>
      <c r="D4" s="17" t="s">
        <v>3353</v>
      </c>
    </row>
    <row r="5" spans="1:4" ht="48" customHeight="1" x14ac:dyDescent="0.3">
      <c r="A5" s="26">
        <v>1</v>
      </c>
      <c r="B5" s="29" t="s">
        <v>3354</v>
      </c>
      <c r="C5" s="29" t="s">
        <v>3355</v>
      </c>
      <c r="D5" s="37" t="s">
        <v>3356</v>
      </c>
    </row>
    <row r="6" spans="1:4" ht="48" customHeight="1" x14ac:dyDescent="0.3">
      <c r="A6" s="26">
        <v>2</v>
      </c>
      <c r="B6" s="29" t="s">
        <v>3357</v>
      </c>
      <c r="C6" s="29" t="s">
        <v>3358</v>
      </c>
      <c r="D6" s="37" t="s">
        <v>3356</v>
      </c>
    </row>
    <row r="7" spans="1:4" ht="48" customHeight="1" x14ac:dyDescent="0.3">
      <c r="A7" s="26">
        <v>3</v>
      </c>
      <c r="B7" s="29" t="s">
        <v>3359</v>
      </c>
      <c r="C7" s="29" t="s">
        <v>3360</v>
      </c>
      <c r="D7" s="37" t="s">
        <v>3356</v>
      </c>
    </row>
    <row r="8" spans="1:4" ht="48" customHeight="1" x14ac:dyDescent="0.3">
      <c r="A8" s="26">
        <v>4</v>
      </c>
      <c r="B8" s="29" t="s">
        <v>3361</v>
      </c>
      <c r="C8" s="29" t="s">
        <v>3362</v>
      </c>
      <c r="D8" s="37" t="s">
        <v>3356</v>
      </c>
    </row>
    <row r="9" spans="1:4" ht="48" customHeight="1" x14ac:dyDescent="0.3">
      <c r="A9" s="26">
        <v>5</v>
      </c>
      <c r="B9" s="29" t="s">
        <v>3363</v>
      </c>
      <c r="C9" s="29" t="s">
        <v>3364</v>
      </c>
      <c r="D9" s="37" t="s">
        <v>3356</v>
      </c>
    </row>
    <row r="10" spans="1:4" ht="48" customHeight="1" x14ac:dyDescent="0.3">
      <c r="A10" s="26">
        <v>6</v>
      </c>
      <c r="B10" s="29" t="s">
        <v>3365</v>
      </c>
      <c r="C10" s="29" t="s">
        <v>3366</v>
      </c>
      <c r="D10" s="37" t="s">
        <v>3356</v>
      </c>
    </row>
    <row r="11" spans="1:4" ht="48" customHeight="1" x14ac:dyDescent="0.3">
      <c r="A11" s="26">
        <v>7</v>
      </c>
      <c r="B11" s="29" t="s">
        <v>3367</v>
      </c>
      <c r="C11" s="29" t="s">
        <v>3368</v>
      </c>
      <c r="D11" s="38" t="s">
        <v>3369</v>
      </c>
    </row>
    <row r="12" spans="1:4" ht="48" customHeight="1" x14ac:dyDescent="0.3">
      <c r="A12" s="26">
        <v>8</v>
      </c>
      <c r="B12" s="29" t="s">
        <v>3370</v>
      </c>
      <c r="C12" s="29" t="s">
        <v>3371</v>
      </c>
      <c r="D12" s="37" t="s">
        <v>3356</v>
      </c>
    </row>
    <row r="13" spans="1:4" ht="48" customHeight="1" x14ac:dyDescent="0.3">
      <c r="A13" s="26">
        <v>9</v>
      </c>
      <c r="B13" s="29" t="s">
        <v>3372</v>
      </c>
      <c r="C13" s="29" t="s">
        <v>3373</v>
      </c>
      <c r="D13" s="38" t="s">
        <v>3369</v>
      </c>
    </row>
    <row r="14" spans="1:4" ht="48" customHeight="1" x14ac:dyDescent="0.3">
      <c r="A14" s="26">
        <v>10</v>
      </c>
      <c r="B14" s="29" t="s">
        <v>3374</v>
      </c>
      <c r="C14" s="29" t="s">
        <v>3375</v>
      </c>
      <c r="D14" s="38" t="s">
        <v>3369</v>
      </c>
    </row>
    <row r="15" spans="1:4" ht="48" customHeight="1" x14ac:dyDescent="0.3">
      <c r="A15" s="26">
        <v>11</v>
      </c>
      <c r="B15" s="29" t="s">
        <v>3376</v>
      </c>
      <c r="C15" s="29" t="s">
        <v>3377</v>
      </c>
      <c r="D15" s="39" t="s">
        <v>3378</v>
      </c>
    </row>
    <row r="16" spans="1:4" ht="48" customHeight="1" x14ac:dyDescent="0.3">
      <c r="A16" s="26">
        <v>12</v>
      </c>
      <c r="B16" s="29" t="s">
        <v>3379</v>
      </c>
      <c r="C16" s="29" t="s">
        <v>3380</v>
      </c>
      <c r="D16" s="37" t="s">
        <v>3356</v>
      </c>
    </row>
    <row r="17" spans="1:4" ht="48" customHeight="1" x14ac:dyDescent="0.3">
      <c r="A17" s="26">
        <v>13</v>
      </c>
      <c r="B17" s="29" t="s">
        <v>3381</v>
      </c>
      <c r="C17" s="29" t="s">
        <v>3382</v>
      </c>
      <c r="D17" s="38" t="s">
        <v>3369</v>
      </c>
    </row>
    <row r="18" spans="1:4" ht="48" customHeight="1" x14ac:dyDescent="0.3">
      <c r="A18" s="26">
        <v>14</v>
      </c>
      <c r="B18" s="29" t="s">
        <v>3383</v>
      </c>
      <c r="C18" s="29" t="s">
        <v>3384</v>
      </c>
      <c r="D18" s="39" t="s">
        <v>3378</v>
      </c>
    </row>
    <row r="19" spans="1:4" ht="48" customHeight="1" x14ac:dyDescent="0.3">
      <c r="A19" s="26">
        <v>15</v>
      </c>
      <c r="B19" s="29" t="s">
        <v>3385</v>
      </c>
      <c r="C19" s="29" t="s">
        <v>3386</v>
      </c>
      <c r="D19" s="39" t="s">
        <v>3378</v>
      </c>
    </row>
    <row r="20" spans="1:4" ht="48" customHeight="1" x14ac:dyDescent="0.3">
      <c r="A20" s="26">
        <v>16</v>
      </c>
      <c r="B20" s="29" t="s">
        <v>3387</v>
      </c>
      <c r="C20" s="29" t="s">
        <v>3388</v>
      </c>
      <c r="D20" s="37" t="s">
        <v>3356</v>
      </c>
    </row>
    <row r="21" spans="1:4" ht="48" customHeight="1" x14ac:dyDescent="0.3">
      <c r="A21" s="26">
        <v>17</v>
      </c>
      <c r="B21" s="29" t="s">
        <v>3389</v>
      </c>
      <c r="C21" s="29" t="s">
        <v>3390</v>
      </c>
      <c r="D21" s="38" t="s">
        <v>3369</v>
      </c>
    </row>
    <row r="22" spans="1:4" ht="48" customHeight="1" x14ac:dyDescent="0.3">
      <c r="A22" s="26">
        <v>18</v>
      </c>
      <c r="B22" s="29" t="s">
        <v>3391</v>
      </c>
      <c r="C22" s="29" t="s">
        <v>3392</v>
      </c>
      <c r="D22" s="38" t="s">
        <v>3369</v>
      </c>
    </row>
    <row r="23" spans="1:4" ht="48" customHeight="1" x14ac:dyDescent="0.3">
      <c r="A23" s="26">
        <v>19</v>
      </c>
      <c r="B23" s="29" t="s">
        <v>3393</v>
      </c>
      <c r="C23" s="29" t="s">
        <v>3394</v>
      </c>
      <c r="D23" s="39" t="s">
        <v>3378</v>
      </c>
    </row>
    <row r="24" spans="1:4" ht="48" customHeight="1" x14ac:dyDescent="0.3">
      <c r="A24" s="26">
        <v>20</v>
      </c>
      <c r="B24" s="29" t="s">
        <v>3395</v>
      </c>
      <c r="C24" s="29" t="s">
        <v>3396</v>
      </c>
      <c r="D24" s="38" t="s">
        <v>3369</v>
      </c>
    </row>
    <row r="25" spans="1:4" ht="48" customHeight="1" x14ac:dyDescent="0.3">
      <c r="A25" s="26">
        <v>21</v>
      </c>
      <c r="B25" s="29" t="s">
        <v>3397</v>
      </c>
      <c r="C25" s="29" t="s">
        <v>3398</v>
      </c>
      <c r="D25" s="38" t="s">
        <v>3369</v>
      </c>
    </row>
    <row r="26" spans="1:4" ht="48" customHeight="1" x14ac:dyDescent="0.3">
      <c r="A26" s="26">
        <v>22</v>
      </c>
      <c r="B26" s="29" t="s">
        <v>3399</v>
      </c>
      <c r="C26" s="29" t="s">
        <v>3400</v>
      </c>
      <c r="D26" s="39" t="s">
        <v>3378</v>
      </c>
    </row>
    <row r="27" spans="1:4" ht="48" customHeight="1" x14ac:dyDescent="0.3">
      <c r="A27" s="26">
        <v>23</v>
      </c>
      <c r="B27" s="29" t="s">
        <v>3401</v>
      </c>
      <c r="C27" s="29" t="s">
        <v>3402</v>
      </c>
      <c r="D27" s="39" t="s">
        <v>3378</v>
      </c>
    </row>
    <row r="28" spans="1:4" ht="48" customHeight="1" x14ac:dyDescent="0.3">
      <c r="A28" s="26">
        <v>24</v>
      </c>
      <c r="B28" s="29" t="s">
        <v>3403</v>
      </c>
      <c r="C28" s="29" t="s">
        <v>3404</v>
      </c>
      <c r="D28" s="39" t="s">
        <v>3378</v>
      </c>
    </row>
    <row r="29" spans="1:4" ht="48" customHeight="1" x14ac:dyDescent="0.3">
      <c r="A29" s="26">
        <v>25</v>
      </c>
      <c r="B29" s="29" t="s">
        <v>3405</v>
      </c>
      <c r="C29" s="29" t="s">
        <v>3406</v>
      </c>
      <c r="D29" s="37" t="s">
        <v>3356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Data Dictionary</vt:lpstr>
      <vt:lpstr>Cleaning Log</vt:lpstr>
      <vt:lpstr>Raw Data</vt:lpstr>
      <vt:lpstr>Enriched Data</vt:lpstr>
      <vt:lpstr>Summary Tables</vt:lpstr>
      <vt:lpstr>KPI Dashboard</vt:lpstr>
      <vt:lpstr>Business Questions</vt:lpstr>
      <vt:lpstr>Insights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 Sharma</cp:lastModifiedBy>
  <cp:revision>4</cp:revision>
  <dcterms:created xsi:type="dcterms:W3CDTF">2026-08-01T10:30:39Z</dcterms:created>
  <dcterms:modified xsi:type="dcterms:W3CDTF">2026-08-01T18:24:43Z</dcterms:modified>
  <dc:language>en-US</dc:language>
</cp:coreProperties>
</file>